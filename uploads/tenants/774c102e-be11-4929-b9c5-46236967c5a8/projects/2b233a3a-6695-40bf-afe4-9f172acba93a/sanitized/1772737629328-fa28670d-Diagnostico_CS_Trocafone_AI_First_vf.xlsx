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metadata.xml" ContentType="application/vnd.openxmlformats-officedocument.spreadsheetml.sheetMetadata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_Instruções" sheetId="1" r:id="rId1"/>
    <sheet name="2_Processos_Fluxos" sheetId="2" r:id="rId2"/>
    <sheet name="3_Tickets_Solicitacoes" sheetId="3" r:id="rId3"/>
    <sheet name="4_Integracoes_Tecnicas" sheetId="4" r:id="rId4"/>
    <sheet name="5_Infraestrutura_Tech" sheetId="5" r:id="rId5"/>
    <sheet name="6_Equipe_CS" sheetId="6" r:id="rId6"/>
    <sheet name="7_Metricas_Performance" sheetId="7" r:id="rId7"/>
    <sheet name="8_Orcamento_Recursos" sheetId="8" r:id="rId8"/>
    <sheet name="9_Oportunidades_Gaps" sheetId="9" r:id="rId9"/>
  </sheets>
</workbook>
</file>

<file path=xl/comments5.xml><?xml version="1.0" encoding="utf-8"?>
<comments xmlns="http://schemas.openxmlformats.org/spreadsheetml/2006/main">
  <authors>
    <author>tc={7D04E622-3945-49C2-B250-46101FD867AD}</author>
    <author>Alex Cordeiro</author>
    <author>tc={54EE7951-7262-4200-6969-000000000000}</author>
  </authors>
  <commentList>
    <comment ref="E7" author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média</t>
      </text>
    </comment>
    <comment ref="E8" authorId="2">
      <text>
        <t/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3" formatCode="_-* #,##0.00_-;\-* #,##0.00_-;_-* &quot;-&quot;??_-;_-@_-"/>
    <numFmt numFmtId="44" formatCode="_-&quot;R$&quot;\ * #,##0.00_-;\-&quot;R$&quot;\ * #,##0.00_-;_-&quot;R$&quot;\ * &quot;-&quot;??_-;_-@_-"/>
    <numFmt numFmtId="56" formatCode="&quot;上午/下午 &quot;hh&quot;時&quot;mm&quot;分&quot;ss&quot;秒 &quot;"/>
    <numFmt numFmtId="164" formatCode="_-* #,##0_-;\-* #,##0_-;_-* &quot;-&quot;??_-;_-@_-"/>
    <numFmt numFmtId="171" formatCode="#,##0.00_);\(#,##0.00\);\-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Relationship Id="rId13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heetJ5" id="{54EE7950-7262-4200-6969-000000000000}" userId="SheetJ5" providerId="None"/>
  <person displayName="Alex Cordeiro" id="{54EE7950-7262-4200-6969-000000000001}" userId="Alex Cordeiro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threadedComments/threadedComment5.xml><?xml version="1.0" encoding="utf-8"?>
<ThreadedComments xmlns="http://schemas.microsoft.com/office/spreadsheetml/2018/threadedcomments">
  <threadedComment ref="E8" id="{54EE7951-7262-4200-6969-000000000000}" personId="{54EE7950-7262-4200-6969-000000000001}">
    <text>mÃ©dia</text>
  </threadedComment>
</ThreadedComment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5.vml"/><Relationship Id="rId2" Type="http://schemas.microsoft.com/office/2017/10/relationships/threadedComment" Target="../threadedComments/threadedComment5.xml"/><Relationship Id="rId3" Type="http://schemas.openxmlformats.org/officeDocument/2006/relationships/comments" Target="../comments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 rightToLeft="0"/>
  </sheetViews>
  <sheetData>
    <row r="1">
      <c r="A1" t="str">
        <v>DIAGNÓSTICO CS TROCAFONE - TRANSFORMAÇÃO AI-FIRST</v>
      </c>
    </row>
    <row r="3">
      <c r="A3" t="str">
        <v>OBJETIVO DESTA PLANILHA</v>
      </c>
      <c r="B3" t="str">
        <v>Esta planilha visa coletar informações detalhadas sobre a área de Customer Success da Trocafone para desenvolver uma solução de transformação AI-First.</v>
      </c>
    </row>
    <row r="5">
      <c r="A5" t="str">
        <v>COMO PREENCHER</v>
      </c>
      <c r="B5" t="str">
        <v>Preencha todas as abas com informações precisas e atualizadas. Campos obrigatórios estão marcados com (*). Utilize N/A quando não aplicável.</v>
      </c>
    </row>
    <row r="7">
      <c r="A7" t="str">
        <v>ESTRUTURA DAS ABAS</v>
      </c>
    </row>
    <row r="8">
      <c r="A8" t="str">
        <v>Aba 2: Processos e Fluxos</v>
      </c>
      <c r="B8" t="str">
        <v>Liste todos os processos, subprocessos, tempos e gargalos no atendimento ao cliente</v>
      </c>
    </row>
    <row r="9">
      <c r="A9" t="str">
        <v>Aba 3: Tickets e Solicitações</v>
      </c>
      <c r="B9" t="str">
        <v>Forneça dados sobre tipos de tickets, volume, tempo de resolução e complexidade</v>
      </c>
    </row>
    <row r="10">
      <c r="A10" t="str">
        <v>Aba 4: Integrações Técnicas</v>
      </c>
      <c r="B10" t="str">
        <v>Detalhe integrações com sistemas internos/externos, APIs e desafios</v>
      </c>
    </row>
    <row r="11">
      <c r="A11" t="str">
        <v>Aba 5: Infraestrutura Tech</v>
      </c>
      <c r="B11" t="str">
        <v>Descreva ferramentas de CRM, helpdesk, automação e sistemas utilizados</v>
      </c>
    </row>
    <row r="12">
      <c r="A12" t="str">
        <v>Aba 6: Equipe CS</v>
      </c>
      <c r="B12" t="str">
        <v>Informe estrutura da equipe, skills, treinamento e modelo organizacional</v>
      </c>
    </row>
    <row r="13">
      <c r="A13" t="str">
        <v>Aba 7: Métricas Performance</v>
      </c>
      <c r="B13" t="str">
        <v>Liste KPIs atuais (NPS, CSAT, tempo resposta) e metas estabelecidas</v>
      </c>
    </row>
    <row r="14">
      <c r="A14" t="str">
        <v>Aba 8: Orçamento e Recursos</v>
      </c>
      <c r="B14" t="str">
        <v>Forneça informações sobre orçamento disponível e restrições</v>
      </c>
    </row>
    <row r="15">
      <c r="A15" t="str">
        <v>Aba 9: Oportunidades e Gaps</v>
      </c>
      <c r="B15" t="str">
        <v>Identifique principais oportunidades de automação e pontos de melhoria</v>
      </c>
    </row>
    <row r="17">
      <c r="A17" t="str">
        <v>CONTATO PARA DÚVIDAS</v>
      </c>
      <c r="B17" t="str">
        <v>Para qualquer dúvida sobre o preenchimento, entre em contato com a equipe do projeto AI-First</v>
      </c>
    </row>
    <row r="19">
      <c r="A19" t="str">
        <v>PRAZO DE ENTREGA</v>
      </c>
      <c r="B19" t="str">
        <v>Esta planilha deve ser preenchida e devolvida em até 5 dias úteis</v>
      </c>
    </row>
  </sheetData>
  <pageMargins left="0.75" right="0.75" top="1" bottom="1" header="0.5" footer="0.5"/>
  <ignoredErrors>
    <ignoredError numberStoredAsText="1" sqref="A1:B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6"/>
  <sheetViews>
    <sheetView workbookViewId="0" rightToLeft="0"/>
  </sheetViews>
  <sheetData>
    <row r="1">
      <c r="A1" t="str">
        <v>Processo*</v>
      </c>
      <c r="B1" t="str">
        <v>Subprocesso</v>
      </c>
      <c r="C1" t="str">
        <v>Etapas*</v>
      </c>
      <c r="D1" t="str">
        <v>Responsável*</v>
      </c>
      <c r="E1" t="str">
        <v>Sistema Utilizado</v>
      </c>
      <c r="F1" t="str">
        <v>Tempo Médio (dias)</v>
      </c>
      <c r="G1" t="str">
        <v>Pontos de Contato Cliente</v>
      </c>
      <c r="H1" t="str">
        <v>Observações</v>
      </c>
    </row>
    <row r="2">
      <c r="A2" t="str">
        <v>Suporte ao Cliente</v>
      </c>
      <c r="B2" t="str">
        <v>Dúvidas iniciais</v>
      </c>
      <c r="C2" t="str">
        <v>Status pedido, rastreio, previsão entrega</v>
      </c>
      <c r="D2" t="str">
        <v>CS Coordenador</v>
      </c>
      <c r="E2" t="str">
        <v>Take Blip</v>
      </c>
      <c r="F2" t="str">
        <v>0 (20 min)</v>
      </c>
      <c r="G2" t="str">
        <v>E-mail, whats, chat</v>
      </c>
      <c r="H2" t="str">
        <v>Processo automático</v>
      </c>
    </row>
    <row r="3">
      <c r="A3" t="str">
        <v>Suporte nível 1 (Frontoffice)</v>
      </c>
      <c r="B3" t="str">
        <v>Resolução problemas</v>
      </c>
      <c r="C3" t="str">
        <v>Recebimento, atraso entrega, devolução</v>
      </c>
      <c r="D3" t="str">
        <v>CS Operador Telemarketing</v>
      </c>
      <c r="E3" t="str">
        <v>Take Blip, Neoassist, Protheus, Tracker e Correios e DHL</v>
      </c>
      <c r="F3">
        <v>5</v>
      </c>
      <c r="G3" t="str">
        <v>E-mail, whats, chat</v>
      </c>
      <c r="H3" t="str">
        <v>Processo manual escalação diversos times</v>
      </c>
    </row>
    <row r="4">
      <c r="A4" t="str">
        <v>Suporte níve 2 (Backoffice)</v>
      </c>
      <c r="B4" t="str">
        <v>Resolução problemas</v>
      </c>
      <c r="C4" t="str">
        <v>Recebimento, análise, resolução, follow-up</v>
      </c>
      <c r="D4" t="str">
        <v>CS Atendente Backoffice</v>
      </c>
      <c r="E4" t="str">
        <v>Take Blip, Neoassist, Protheus, Tracker e Correios e DHL, Procon, Hugme, Predize, Marketplaces</v>
      </c>
      <c r="F4">
        <v>7</v>
      </c>
      <c r="G4" t="str">
        <v>E-mail, whats, chat, Procon, RA, Marketplaces</v>
      </c>
      <c r="H4" t="str">
        <v>Processo manual escalação diversos times</v>
      </c>
    </row>
    <row r="5">
      <c r="A5" t="str">
        <v>Onboarding colaboradores</v>
      </c>
      <c r="B5" t="str">
        <v>Ativação inicial e contínua</v>
      </c>
      <c r="C5" t="str">
        <v>Treinamentos, scripts, monitoria e relatórios</v>
      </c>
      <c r="D5" t="str">
        <v>CS Analyst</v>
      </c>
      <c r="E5" t="str">
        <v>Intranet, Neoassist, Looker studio, Delight</v>
      </c>
      <c r="F5" t="str">
        <v>Contínuo</v>
      </c>
      <c r="G5" t="str">
        <v/>
      </c>
      <c r="H5" t="str">
        <v/>
      </c>
    </row>
    <row r="6">
      <c r="A6" t="str">
        <v>Upsell/Cross-sell</v>
      </c>
      <c r="B6" t="str">
        <v>Expansão de compra</v>
      </c>
      <c r="C6" t="str">
        <v>Análise produto proposta, negociação</v>
      </c>
      <c r="D6" t="str">
        <v>CS Operador Telemarketing</v>
      </c>
      <c r="E6" t="str">
        <v>Take Blip, Neoassist</v>
      </c>
      <c r="F6">
        <v>1</v>
      </c>
      <c r="G6" t="str">
        <v>E-mail, whats, chat</v>
      </c>
      <c r="H6" t="str">
        <v xml:space="preserve">Processo manual  </v>
      </c>
    </row>
  </sheetData>
  <ignoredErrors>
    <ignoredError numberStoredAsText="1" sqref="A1:H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 rightToLeft="0"/>
  </sheetViews>
  <sheetData>
    <row r="1">
      <c r="A1" t="str">
        <v>Tipo de Ticket*</v>
      </c>
      <c r="B1" t="str">
        <v>Volume Mensal*</v>
      </c>
      <c r="C1" t="str">
        <v>Tempo Médio Resolução*</v>
      </c>
      <c r="D1" t="str">
        <v>Complexidade*</v>
      </c>
      <c r="E1" t="str">
        <v>Canal Entrada*</v>
      </c>
      <c r="F1" t="str">
        <v>Motivo Principal*</v>
      </c>
      <c r="G1" t="str">
        <v>Taxa Resolução 1º Contato</v>
      </c>
      <c r="H1" t="str">
        <v>Observações</v>
      </c>
    </row>
    <row r="2">
      <c r="A2" t="str">
        <v>Devolução</v>
      </c>
      <c r="B2">
        <v>1850</v>
      </c>
      <c r="C2" t="str">
        <v>15 dias</v>
      </c>
      <c r="D2" t="str">
        <v>Alta</v>
      </c>
      <c r="E2" t="str">
        <v>E-mail, Chat, Whatsapp</v>
      </c>
      <c r="F2" t="str">
        <v>Defeito técnico</v>
      </c>
      <c r="G2">
        <v>0</v>
      </c>
      <c r="H2" t="str">
        <v>Processo manual (devolução facilitada)</v>
      </c>
    </row>
    <row r="3">
      <c r="A3" t="str">
        <v>Status pedido</v>
      </c>
      <c r="B3">
        <v>1709</v>
      </c>
      <c r="C3" t="str">
        <v>10 minutos</v>
      </c>
      <c r="D3" t="str">
        <v>Baixa</v>
      </c>
      <c r="E3" t="str">
        <v xml:space="preserve">E-mail  </v>
      </c>
      <c r="F3" t="str">
        <v>Dúvida pedido</v>
      </c>
      <c r="G3">
        <v>0.63</v>
      </c>
      <c r="H3" t="str">
        <v>Processo automático - integrado ERP</v>
      </c>
    </row>
    <row r="4">
      <c r="A4" t="str">
        <v>Status entrega</v>
      </c>
      <c r="B4">
        <v>795</v>
      </c>
      <c r="C4" t="str">
        <v>10 dias</v>
      </c>
      <c r="D4" t="str">
        <v>Média</v>
      </c>
      <c r="E4" t="str">
        <v>E-mail, Chat, Whatsapp</v>
      </c>
      <c r="F4" t="str">
        <v>Atraso entrega</v>
      </c>
      <c r="G4">
        <v>0.1</v>
      </c>
      <c r="H4" t="str">
        <v>Dependência de retorno transportadora</v>
      </c>
    </row>
    <row r="5">
      <c r="A5" t="str">
        <v>Vendas de terceiros no nosso site</v>
      </c>
      <c r="B5">
        <v>521</v>
      </c>
      <c r="C5" t="str">
        <v>4 dias</v>
      </c>
      <c r="D5" t="str">
        <v>Alta</v>
      </c>
      <c r="E5" t="str">
        <v>Neoassist</v>
      </c>
      <c r="F5" t="str">
        <v>Defeito/devolução</v>
      </c>
      <c r="G5">
        <v>0</v>
      </c>
      <c r="H5" t="str">
        <v>Dependência de retorno do seller</v>
      </c>
    </row>
    <row r="6">
      <c r="A6" t="str">
        <v>Financeiro - reembolso</v>
      </c>
      <c r="B6">
        <v>358</v>
      </c>
      <c r="C6" t="str">
        <v>5 dias</v>
      </c>
      <c r="D6" t="str">
        <v>Média</v>
      </c>
      <c r="E6" t="str">
        <v>E-mail, Chat, Whatsapp</v>
      </c>
      <c r="F6" t="str">
        <v>Insatisfação - status reembolso</v>
      </c>
      <c r="G6">
        <v>0</v>
      </c>
      <c r="H6" t="str">
        <v>Dependência de retorno do financeiro</v>
      </c>
    </row>
  </sheetData>
  <pageMargins left="0.75" right="0.75" top="1" bottom="1" header="0.5" footer="0.5"/>
  <ignoredErrors>
    <ignoredError numberStoredAsText="1" sqref="A1:H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5"/>
  <sheetViews>
    <sheetView workbookViewId="0" rightToLeft="0"/>
  </sheetViews>
  <sheetData>
    <row r="1">
      <c r="A1" t="str">
        <v>Integração*</v>
      </c>
      <c r="B1" t="str">
        <v>Sistema Origem*</v>
      </c>
      <c r="C1" t="str">
        <v>Sistema Destino*</v>
      </c>
      <c r="D1" t="str">
        <v>Tipo*</v>
      </c>
      <c r="E1" t="str">
        <v>Frequência*</v>
      </c>
      <c r="F1" t="str">
        <v>Status</v>
      </c>
      <c r="G1" t="str">
        <v>Desafios/Observações</v>
      </c>
    </row>
    <row r="2">
      <c r="A2" t="str">
        <v>Blipdesk x Whatsapp</v>
      </c>
      <c r="B2" t="str">
        <v>Take Blip</v>
      </c>
      <c r="C2" t="str">
        <v>WhatsApp Business</v>
      </c>
      <c r="D2" t="str">
        <v>API</v>
      </c>
      <c r="E2" t="str">
        <v>Tempo real</v>
      </c>
      <c r="F2" t="str">
        <v>Ativo</v>
      </c>
    </row>
    <row r="3">
      <c r="A3" t="str">
        <v>Neoassist X Protheus</v>
      </c>
      <c r="B3" t="str">
        <v>Neoassist</v>
      </c>
      <c r="C3" t="str">
        <v>Protheus</v>
      </c>
      <c r="D3" t="str">
        <v>API/Manual</v>
      </c>
      <c r="E3" t="str">
        <v>Tempo real</v>
      </c>
      <c r="F3" t="str">
        <v>Ativo</v>
      </c>
      <c r="G3" t="str">
        <v>Limitações API (não esta tudo conectado)</v>
      </c>
    </row>
    <row r="4">
      <c r="A4" t="str">
        <v>Neoassist X Backoffice</v>
      </c>
      <c r="B4" t="str">
        <v>Backoffice</v>
      </c>
      <c r="C4" t="str">
        <v>Neoassist</v>
      </c>
      <c r="D4" t="str">
        <v>API</v>
      </c>
      <c r="E4" t="str">
        <v>Tempo real</v>
      </c>
      <c r="F4" t="str">
        <v>Ativo</v>
      </c>
      <c r="G4" t="str">
        <v>Processo manual</v>
      </c>
    </row>
    <row r="5">
      <c r="A5" t="str">
        <v>Protheus X Delight</v>
      </c>
      <c r="B5" t="str">
        <v>Protheus</v>
      </c>
      <c r="C5" t="str">
        <v>Delight</v>
      </c>
      <c r="D5" t="str">
        <v>Manual</v>
      </c>
      <c r="E5" t="str">
        <v>Semanal</v>
      </c>
      <c r="F5" t="str">
        <v>Inativo</v>
      </c>
      <c r="G5" t="str">
        <v>Processo manual</v>
      </c>
    </row>
  </sheetData>
  <pageMargins left="0.75" right="0.75" top="1" bottom="1" header="0.5" footer="0.5"/>
  <ignoredErrors>
    <ignoredError numberStoredAsText="1" sqref="A1:G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B15"/>
  <sheetViews>
    <sheetView workbookViewId="0" rightToLeft="0"/>
  </sheetViews>
  <sheetData>
    <row r="1">
      <c r="A1" t="str">
        <v>Ferramenta*</v>
      </c>
      <c r="B1" t="str">
        <v>Finalidade*</v>
      </c>
      <c r="C1" t="str">
        <v>Status*</v>
      </c>
      <c r="D1" t="str">
        <v>Licenças</v>
      </c>
      <c r="E1" t="str">
        <v>Custo Mensal</v>
      </c>
      <c r="F1" t="str">
        <v>Integração</v>
      </c>
      <c r="G1" t="str">
        <v>Satisfação (1-5)</v>
      </c>
      <c r="H1" t="str">
        <v>Observações</v>
      </c>
    </row>
    <row r="2">
      <c r="A2" t="str">
        <v>Zendesk</v>
      </c>
      <c r="B2" t="str">
        <v>Pagina de atendimento</v>
      </c>
      <c r="C2" t="str">
        <v>Ativo</v>
      </c>
      <c r="D2" t="str">
        <v>10</v>
      </c>
      <c r="E2">
        <v>875</v>
      </c>
      <c r="F2" t="str">
        <v>Artigos do site</v>
      </c>
      <c r="G2" t="str">
        <v>4</v>
      </c>
    </row>
    <row r="3">
      <c r="A3" t="str">
        <v>Neoassist</v>
      </c>
      <c r="B3" t="str">
        <v>Plataforma Neo Atendimento (e-mail/ Registro interno,chamados, telefonia)</v>
      </c>
      <c r="C3" t="str">
        <v>Ativo</v>
      </c>
      <c r="D3" t="str">
        <v>15</v>
      </c>
      <c r="E3">
        <v>15569.830000000002</v>
      </c>
      <c r="F3" t="str">
        <v>ERP/BKO</v>
      </c>
      <c r="G3" t="str">
        <v>3</v>
      </c>
      <c r="H3" t="str">
        <v>Ferramenta principal</v>
      </c>
    </row>
    <row r="4">
      <c r="A4" t="str">
        <v>Delighted</v>
      </c>
      <c r="B4" t="str">
        <v>Plataforma de NPS</v>
      </c>
      <c r="C4" t="str">
        <v>Ativo</v>
      </c>
      <c r="D4">
        <v>3</v>
      </c>
      <c r="E4">
        <v>1467</v>
      </c>
      <c r="F4" t="str">
        <v>BKO</v>
      </c>
      <c r="G4" t="str">
        <v>4</v>
      </c>
    </row>
    <row r="5">
      <c r="A5" t="str">
        <v>Predize</v>
      </c>
      <c r="B5" t="str">
        <v>Plataforma de atendimento Mktplace</v>
      </c>
      <c r="C5" t="str">
        <v>Ativo</v>
      </c>
      <c r="D5">
        <v>7</v>
      </c>
      <c r="E5">
        <v>4617.02</v>
      </c>
      <c r="F5" t="str">
        <v>Não</v>
      </c>
      <c r="G5" t="str">
        <v>5</v>
      </c>
      <c r="H5" t="str">
        <v>Curadoria de perguntas pré e IA</v>
      </c>
    </row>
    <row r="6">
      <c r="A6" t="str">
        <v>HugMe RA</v>
      </c>
      <c r="B6" t="str">
        <v>Plataforma Reclame aqui</v>
      </c>
      <c r="C6" t="str">
        <v>Ativo</v>
      </c>
      <c r="D6">
        <v>3</v>
      </c>
      <c r="E6">
        <v>4751.25</v>
      </c>
      <c r="F6" t="str">
        <v>Não</v>
      </c>
      <c r="G6">
        <v>3</v>
      </c>
    </row>
    <row r="7">
      <c r="A7" t="str">
        <v>Take Blip</v>
      </c>
      <c r="B7" t="str">
        <v>Plataforma de Atendimento Whatsapp e Chat</v>
      </c>
      <c r="C7" t="str">
        <v>Ativo</v>
      </c>
      <c r="D7" t="str">
        <v>Ilimitado</v>
      </c>
      <c r="E7">
        <v>15000</v>
      </c>
      <c r="F7" t="str">
        <v>Não</v>
      </c>
      <c r="G7">
        <v>3</v>
      </c>
    </row>
    <row r="8"/>
  </sheetData>
  <pageMargins left="0.75" right="0.75" top="1" bottom="1" header="0.5" footer="0.5"/>
  <ignoredErrors>
    <ignoredError numberStoredAsText="1" sqref="A1:DB15"/>
  </ignoredErrors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3"/>
  <sheetViews>
    <sheetView workbookViewId="0" rightToLeft="0"/>
  </sheetViews>
  <sheetData>
    <row r="1">
      <c r="A1" t="str">
        <v>Quantidade*</v>
      </c>
      <c r="B1" t="str">
        <v>Principais Skills*</v>
      </c>
      <c r="C1" t="str">
        <v>Senioridade</v>
      </c>
      <c r="D1" t="str">
        <v>Terceirizado*</v>
      </c>
      <c r="E1" t="str">
        <v>Custo Mensal</v>
      </c>
      <c r="F1" t="str">
        <v>Observações</v>
      </c>
    </row>
    <row r="2">
      <c r="A2">
        <v>5</v>
      </c>
      <c r="B2" t="str">
        <v>Comunicação</v>
      </c>
      <c r="C2" t="str">
        <v>Júnior</v>
      </c>
      <c r="D2" t="str">
        <v>Sim</v>
      </c>
      <c r="E2">
        <v>34500</v>
      </c>
      <c r="F2" t="str">
        <v>Primeiro nível atendimento</v>
      </c>
    </row>
    <row r="3">
      <c r="A3">
        <v>1</v>
      </c>
      <c r="B3" t="str">
        <v>Comunicação</v>
      </c>
      <c r="C3" t="str">
        <v>Júnior</v>
      </c>
      <c r="D3" t="str">
        <v>Não</v>
      </c>
      <c r="E3">
        <v>3700</v>
      </c>
      <c r="F3" t="str">
        <v>Primeiro nível atendimento</v>
      </c>
    </row>
    <row r="4">
      <c r="A4">
        <v>3</v>
      </c>
      <c r="B4" t="str">
        <v>Comuncação, análise de dados e resolução de problemas</v>
      </c>
      <c r="C4" t="str">
        <v>Júnior</v>
      </c>
      <c r="D4" t="str">
        <v>Não</v>
      </c>
      <c r="E4">
        <v>15000</v>
      </c>
      <c r="F4" t="str">
        <v>Casos complexos</v>
      </c>
    </row>
    <row r="5">
      <c r="A5">
        <v>1</v>
      </c>
      <c r="B5" t="str">
        <v>Relacionamento, treinamento, monitoria, relatórios</v>
      </c>
      <c r="C5" t="str">
        <v>Pleno</v>
      </c>
      <c r="D5" t="str">
        <v>Não</v>
      </c>
      <c r="E5">
        <v>6500</v>
      </c>
      <c r="F5" t="str">
        <v>Casos complexos e treinamentos</v>
      </c>
    </row>
    <row r="6">
      <c r="A6">
        <v>1</v>
      </c>
      <c r="B6" t="str">
        <v>Gestão, análise de dados, estratégia</v>
      </c>
      <c r="C6" t="str">
        <v>Senior</v>
      </c>
      <c r="D6" t="str">
        <v>Não</v>
      </c>
      <c r="E6">
        <v>12700</v>
      </c>
      <c r="F6" t="str">
        <v>Gestão da operação</v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</row>
  </sheetData>
  <ignoredErrors>
    <ignoredError numberStoredAsText="1" sqref="A1:F1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6"/>
  <sheetViews>
    <sheetView workbookViewId="0" rightToLeft="0"/>
  </sheetViews>
  <sheetData>
    <row r="1">
      <c r="A1" t="str">
        <v>Métrica*</v>
      </c>
      <c r="B1" t="str">
        <v>Valor Atual*</v>
      </c>
      <c r="C1" t="str">
        <v>Meta*</v>
      </c>
      <c r="D1" t="str">
        <v>Periodicidade*</v>
      </c>
      <c r="E1" t="str">
        <v>Fonte*</v>
      </c>
      <c r="F1" t="str">
        <v>Responsável</v>
      </c>
      <c r="G1" t="str">
        <v>Tendência</v>
      </c>
      <c r="H1" t="str">
        <v>Observações</v>
      </c>
    </row>
    <row r="2">
      <c r="A2" t="str">
        <v>NPS</v>
      </c>
      <c r="B2">
        <v>70</v>
      </c>
      <c r="C2">
        <v>65</v>
      </c>
      <c r="D2" t="str">
        <v>Trimestral</v>
      </c>
      <c r="E2" t="str">
        <v>Deligth</v>
      </c>
      <c r="F2" t="str">
        <v>CS Coordenador</v>
      </c>
      <c r="G2" t="str">
        <v>Crescente</v>
      </c>
      <c r="H2" t="str">
        <v>Benchmark varejo: 61</v>
      </c>
    </row>
    <row r="3">
      <c r="A3" t="str">
        <v>Tempo médio de espera (whatsapp/chat)</v>
      </c>
      <c r="B3">
        <v>2</v>
      </c>
      <c r="C3">
        <v>5</v>
      </c>
      <c r="D3" t="str">
        <v>Trimestral</v>
      </c>
      <c r="E3" t="str">
        <v>Take</v>
      </c>
      <c r="F3" t="str">
        <v>CS Coordenador</v>
      </c>
      <c r="G3" t="str">
        <v>Decrescente</v>
      </c>
      <c r="H3" t="str">
        <v>Melhorou nos últimos 3 meses</v>
      </c>
    </row>
    <row r="4">
      <c r="A4" t="str">
        <v>% de emails respondidos em 24hs úteis</v>
      </c>
      <c r="B4">
        <v>0.99</v>
      </c>
      <c r="C4">
        <v>0.97</v>
      </c>
      <c r="D4" t="str">
        <v>Diário</v>
      </c>
      <c r="E4" t="str">
        <v>NEO</v>
      </c>
      <c r="F4" t="str">
        <v>CS Coordenador</v>
      </c>
      <c r="G4" t="str">
        <v>Crescente</v>
      </c>
      <c r="H4" t="str">
        <v>Melhorou nos últimos 3 meses</v>
      </c>
    </row>
    <row r="5">
      <c r="A5" t="str">
        <v>Nota Reclame aqui  (últimos 6 meses)</v>
      </c>
      <c r="B5">
        <v>7.9</v>
      </c>
      <c r="C5">
        <v>8</v>
      </c>
      <c r="D5" t="str">
        <v>Mensal</v>
      </c>
      <c r="E5" t="str">
        <v>Hugme</v>
      </c>
      <c r="F5" t="str">
        <v>CS Coordenador</v>
      </c>
      <c r="G5" t="str">
        <v>Crescente</v>
      </c>
      <c r="H5" t="str">
        <v>Melhorou nos últimos 3 meses</v>
      </c>
    </row>
    <row r="6">
      <c r="A6" t="str">
        <v>CSAT</v>
      </c>
      <c r="B6">
        <v>3.8</v>
      </c>
      <c r="C6">
        <v>4</v>
      </c>
      <c r="D6" t="str">
        <v>Mensal</v>
      </c>
      <c r="E6" t="str">
        <v>Take/NEO</v>
      </c>
      <c r="F6" t="str">
        <v>CS Coordenador/</v>
      </c>
      <c r="G6" t="str">
        <v>Crescente</v>
      </c>
      <c r="H6" t="str">
        <v>Estável</v>
      </c>
    </row>
  </sheetData>
  <pageMargins left="0.75" right="0.75" top="1" bottom="1" header="0.5" footer="0.5"/>
  <ignoredErrors>
    <ignoredError numberStoredAsText="1" sqref="A1:H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G4"/>
  <sheetViews>
    <sheetView workbookViewId="0" rightToLeft="0"/>
  </sheetViews>
  <sheetData>
    <row r="1">
      <c r="A1" t="str">
        <v>Item*</v>
      </c>
      <c r="B1" t="str">
        <v>Valor Atual*</v>
      </c>
      <c r="C1" t="str">
        <v>% do Orçamento</v>
      </c>
      <c r="D1" t="str">
        <v>Fornecedor</v>
      </c>
      <c r="E1" t="str">
        <v>Contrato</v>
      </c>
      <c r="F1" t="str">
        <v>Renovação</v>
      </c>
      <c r="G1" t="str">
        <v>Restrição/Observação</v>
      </c>
    </row>
    <row r="2">
      <c r="A2" t="str">
        <v>Salários Equipe</v>
      </c>
      <c r="B2">
        <f>SUM('6_Equipe_CS'!G3:G6)</f>
        <v>37900</v>
      </c>
      <c r="C2">
        <f>B2/SUM($B$2:$B$4)</f>
        <v>0.3304845391659058</v>
      </c>
      <c r="D2" t="str">
        <v>Interno</v>
      </c>
      <c r="E2" t="str">
        <v>CLT</v>
      </c>
      <c r="F2" t="str">
        <v>N/A</v>
      </c>
      <c r="G2" t="str">
        <v>Inclui encargos</v>
      </c>
    </row>
    <row r="3">
      <c r="A3" t="str">
        <v>Salário Equipe Externa</v>
      </c>
      <c r="B3">
        <f>SUM('6_Equipe_CS'!G2)</f>
        <v>34500</v>
      </c>
      <c r="C3">
        <f>B3/SUM($B$2:$B$4)</f>
        <v>0.3008368496365106</v>
      </c>
      <c r="D3" t="str">
        <v>Externo</v>
      </c>
      <c r="E3" t="str">
        <v>Anual</v>
      </c>
      <c r="F3" t="str">
        <v>Anual</v>
      </c>
      <c r="G3" t="str">
        <v xml:space="preserve">Externo </v>
      </c>
    </row>
    <row r="4">
      <c r="A4" t="str">
        <v xml:space="preserve">Ferramentas </v>
      </c>
      <c r="B4">
        <f>SUM('5_Infraestrutura_Tech'!E2:E7)</f>
        <v>42280.100000000006</v>
      </c>
      <c r="C4">
        <f>B4/SUM($B$2:$B$4)</f>
        <v>0.36867861119758355</v>
      </c>
      <c r="D4" t="str">
        <v>Diversos</v>
      </c>
      <c r="E4" t="str">
        <v>Mensal</v>
      </c>
      <c r="F4" t="str">
        <v>Anual</v>
      </c>
      <c r="G4" t="str">
        <v>Zendesk, neo, externo etc</v>
      </c>
    </row>
  </sheetData>
  <pageMargins left="0.75" right="0.75" top="1" bottom="1" header="0.5" footer="0.5"/>
  <ignoredErrors>
    <ignoredError numberStoredAsText="1" sqref="A1:G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6"/>
  <sheetViews>
    <sheetView workbookViewId="0" rightToLeft="0"/>
  </sheetViews>
  <sheetData>
    <row r="1">
      <c r="A1" t="str">
        <v>Oportunidade*</v>
      </c>
      <c r="B1" t="str">
        <v>Impacto Esperado*</v>
      </c>
      <c r="C1" t="str">
        <v>Prioridade*</v>
      </c>
      <c r="D1" t="str">
        <v>Esforço</v>
      </c>
      <c r="E1" t="str">
        <v>Prazo</v>
      </c>
      <c r="F1" t="str">
        <v>Dependências</v>
      </c>
      <c r="G1" t="str">
        <v>Risco</v>
      </c>
      <c r="H1" t="str">
        <v>Observações</v>
      </c>
    </row>
    <row r="2">
      <c r="A2" t="str">
        <v>Integrações Chatbot WhatsApp</v>
      </c>
      <c r="B2" t="str">
        <v>Aumento 15% retenção</v>
      </c>
      <c r="C2" t="str">
        <v>Alta</v>
      </c>
      <c r="D2" t="str">
        <v>Médio</v>
      </c>
      <c r="E2" t="str">
        <v>3 meses</v>
      </c>
      <c r="F2" t="str">
        <v>Integração Vtex/ Protheus</v>
      </c>
      <c r="G2" t="str">
        <v>Baixo</v>
      </c>
      <c r="H2" t="str">
        <v>Impacto na experiência</v>
      </c>
    </row>
    <row r="3">
      <c r="A3" t="str">
        <v>Ia no Atendimento</v>
      </c>
      <c r="B3" t="str">
        <v>Aumento 15% retenção</v>
      </c>
      <c r="C3" t="str">
        <v>Alta</v>
      </c>
      <c r="D3" t="str">
        <v>Alto</v>
      </c>
      <c r="E3" t="str">
        <v>6 meses</v>
      </c>
      <c r="F3" t="str">
        <v>CRM, templates</v>
      </c>
      <c r="G3" t="str">
        <v>Médio</v>
      </c>
      <c r="H3" t="str">
        <v>Impacto na experiência</v>
      </c>
    </row>
    <row r="4">
      <c r="A4" t="str">
        <v>Automação relatórios</v>
      </c>
      <c r="B4" t="str">
        <v>Economia 15h/semana</v>
      </c>
      <c r="C4" t="str">
        <v>Baixa</v>
      </c>
      <c r="D4" t="str">
        <v>Baixo</v>
      </c>
      <c r="E4" t="str">
        <v>1 mês</v>
      </c>
      <c r="F4" t="str">
        <v>Power BI</v>
      </c>
      <c r="G4" t="str">
        <v>Baixo</v>
      </c>
      <c r="H4" t="str">
        <v>Eficiência operacional</v>
      </c>
    </row>
    <row r="5">
      <c r="A5" t="str">
        <v>Devolução facilitada</v>
      </c>
      <c r="B5" t="str">
        <v>Redução 30% no volume de atendimento</v>
      </c>
      <c r="C5" t="str">
        <v>Alta</v>
      </c>
      <c r="D5" t="str">
        <v>Alto</v>
      </c>
      <c r="E5" t="str">
        <v>3 meses</v>
      </c>
      <c r="F5" t="str">
        <v>Integração Vtex/ Protheus</v>
      </c>
      <c r="G5" t="str">
        <v>Médio</v>
      </c>
      <c r="H5" t="str">
        <v>Impacto na experiência</v>
      </c>
    </row>
    <row r="6">
      <c r="A6" t="str">
        <v>Melhorias sistêmicas</v>
      </c>
      <c r="B6" t="str">
        <v>Redução de 20% no tempo de resposta</v>
      </c>
      <c r="C6" t="str">
        <v>Média</v>
      </c>
      <c r="D6" t="str">
        <v>Alto</v>
      </c>
      <c r="E6" t="str">
        <v>1 mês</v>
      </c>
      <c r="F6" t="str">
        <v>Área de TI</v>
      </c>
      <c r="G6" t="str">
        <v>Baixo</v>
      </c>
      <c r="H6" t="str">
        <v>Integrar os sistêmicas para que o atendimento tenha mais autonomia</v>
      </c>
    </row>
  </sheetData>
  <pageMargins left="0.75" right="0.75" top="1" bottom="1" header="0.5" footer="0.5"/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1_Instruções</vt:lpstr>
      <vt:lpstr>2_Processos_Fluxos</vt:lpstr>
      <vt:lpstr>3_Tickets_Solicitacoes</vt:lpstr>
      <vt:lpstr>4_Integracoes_Tecnicas</vt:lpstr>
      <vt:lpstr>5_Infraestrutura_Tech</vt:lpstr>
      <vt:lpstr>6_Equipe_CS</vt:lpstr>
      <vt:lpstr>7_Metricas_Performance</vt:lpstr>
      <vt:lpstr>8_Orcamento_Recursos</vt:lpstr>
      <vt:lpstr>9_Oportunidades_Gaps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2025-06-30T12:22:59Z</dcterms:created>
  <dcterms:modified xsi:type="dcterms:W3CDTF">2025-08-14T21:03:08Z</dcterms:modified>
  <cp:lastModifiedBy>TROCAUSER</cp:lastModifiedBy>
  <dc:creator>openpyxl</dc:creator>
</cp:coreProperties>
</file>