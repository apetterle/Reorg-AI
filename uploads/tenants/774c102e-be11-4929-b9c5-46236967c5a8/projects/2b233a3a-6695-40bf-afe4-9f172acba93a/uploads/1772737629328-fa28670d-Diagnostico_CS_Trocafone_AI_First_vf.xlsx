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ROCAUSER\Documents\"/>
    </mc:Choice>
  </mc:AlternateContent>
  <xr:revisionPtr revIDLastSave="0" documentId="13_ncr:1_{02C285E5-9404-4735-AEED-68E093C17C57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1_Instruções" sheetId="1" r:id="rId1"/>
    <sheet name="2_Processos_Fluxos" sheetId="2" r:id="rId2"/>
    <sheet name="3_Tickets_Solicitacoes" sheetId="3" r:id="rId3"/>
    <sheet name="4_Integracoes_Tecnicas" sheetId="4" r:id="rId4"/>
    <sheet name="5_Infraestrutura_Tech" sheetId="5" r:id="rId5"/>
    <sheet name="6_Equipe_CS" sheetId="6" r:id="rId6"/>
    <sheet name="7_Metricas_Performance" sheetId="7" r:id="rId7"/>
    <sheet name="8_Orcamento_Recursos" sheetId="8" r:id="rId8"/>
    <sheet name="9_Oportunidades_Gaps" sheetId="9" r:id="rId9"/>
  </sheets>
  <calcPr calcId="181029"/>
</workbook>
</file>

<file path=xl/calcChain.xml><?xml version="1.0" encoding="utf-8"?>
<calcChain xmlns="http://schemas.openxmlformats.org/spreadsheetml/2006/main">
  <c r="C3" i="8" l="1"/>
  <c r="C4" i="8"/>
  <c r="C2" i="8"/>
  <c r="B4" i="8"/>
  <c r="B3" i="8"/>
  <c r="B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tc={7D04E622-3945-49C2-B250-46101FD867AD}</author>
  </authors>
  <commentList>
    <comment ref="E7" authorId="0" shapeId="0" xr:uid="{7D04E622-3945-49C2-B250-46101FD867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média</t>
        </r>
      </text>
    </comment>
  </commentList>
</comments>
</file>

<file path=xl/sharedStrings.xml><?xml version="1.0" encoding="utf-8"?>
<sst xmlns="http://schemas.openxmlformats.org/spreadsheetml/2006/main" count="334" uniqueCount="249">
  <si>
    <t>DIAGNÓSTICO CS TROCAFONE - TRANSFORMAÇÃO AI-FIRST</t>
  </si>
  <si>
    <t>OBJETIVO DESTA PLANILHA</t>
  </si>
  <si>
    <t>Esta planilha visa coletar informações detalhadas sobre a área de Customer Success da Trocafone para desenvolver uma solução de transformação AI-First.</t>
  </si>
  <si>
    <t>COMO PREENCHER</t>
  </si>
  <si>
    <t>Preencha todas as abas com informações precisas e atualizadas. Campos obrigatórios estão marcados com (*). Utilize N/A quando não aplicável.</t>
  </si>
  <si>
    <t>ESTRUTURA DAS ABAS</t>
  </si>
  <si>
    <t>Aba 2: Processos e Fluxos</t>
  </si>
  <si>
    <t>Liste todos os processos, subprocessos, tempos e gargalos no atendimento ao cliente</t>
  </si>
  <si>
    <t>Aba 3: Tickets e Solicitações</t>
  </si>
  <si>
    <t>Forneça dados sobre tipos de tickets, volume, tempo de resolução e complexidade</t>
  </si>
  <si>
    <t>Aba 4: Integrações Técnicas</t>
  </si>
  <si>
    <t>Detalhe integrações com sistemas internos/externos, APIs e desafios</t>
  </si>
  <si>
    <t>Aba 5: Infraestrutura Tech</t>
  </si>
  <si>
    <t>Descreva ferramentas de CRM, helpdesk, automação e sistemas utilizados</t>
  </si>
  <si>
    <t>Aba 6: Equipe CS</t>
  </si>
  <si>
    <t>Informe estrutura da equipe, skills, treinamento e modelo organizacional</t>
  </si>
  <si>
    <t>Aba 7: Métricas Performance</t>
  </si>
  <si>
    <t>Liste KPIs atuais (NPS, CSAT, tempo resposta) e metas estabelecidas</t>
  </si>
  <si>
    <t>Aba 8: Orçamento e Recursos</t>
  </si>
  <si>
    <t>Forneça informações sobre orçamento disponível e restrições</t>
  </si>
  <si>
    <t>Aba 9: Oportunidades e Gaps</t>
  </si>
  <si>
    <t>Identifique principais oportunidades de automação e pontos de melhoria</t>
  </si>
  <si>
    <t>CONTATO PARA DÚVIDAS</t>
  </si>
  <si>
    <t>Para qualquer dúvida sobre o preenchimento, entre em contato com a equipe do projeto AI-First</t>
  </si>
  <si>
    <t>PRAZO DE ENTREGA</t>
  </si>
  <si>
    <t>Esta planilha deve ser preenchida e devolvida em até 5 dias úteis</t>
  </si>
  <si>
    <t>Processo*</t>
  </si>
  <si>
    <t>Subprocesso</t>
  </si>
  <si>
    <t>Etapas*</t>
  </si>
  <si>
    <t>Responsável*</t>
  </si>
  <si>
    <t>Sistema Utilizado</t>
  </si>
  <si>
    <t>Tempo Médio (dias)</t>
  </si>
  <si>
    <t>Gargalos/Desafios</t>
  </si>
  <si>
    <t>Pontos de Contato Cliente</t>
  </si>
  <si>
    <t>Observações</t>
  </si>
  <si>
    <t>CS Analyst</t>
  </si>
  <si>
    <t>3</t>
  </si>
  <si>
    <t>Processo manual</t>
  </si>
  <si>
    <t>Resolução problemas</t>
  </si>
  <si>
    <t>Recebimento, análise, resolução, follow-up</t>
  </si>
  <si>
    <t>Zendesk</t>
  </si>
  <si>
    <t>5</t>
  </si>
  <si>
    <t>Upsell/Cross-sell</t>
  </si>
  <si>
    <t>Tipo de Ticket*</t>
  </si>
  <si>
    <t>Volume Mensal*</t>
  </si>
  <si>
    <t>Tempo Médio Resolução*</t>
  </si>
  <si>
    <t>Complexidade*</t>
  </si>
  <si>
    <t>Canal Entrada*</t>
  </si>
  <si>
    <t>Motivo Principal*</t>
  </si>
  <si>
    <t>Taxa Resolução 1º Contato</t>
  </si>
  <si>
    <t>Média</t>
  </si>
  <si>
    <t>Defeito técnico</t>
  </si>
  <si>
    <t>Baixa</t>
  </si>
  <si>
    <t>Alta</t>
  </si>
  <si>
    <t>Integração*</t>
  </si>
  <si>
    <t>Sistema Origem*</t>
  </si>
  <si>
    <t>Sistema Destino*</t>
  </si>
  <si>
    <t>Tipo*</t>
  </si>
  <si>
    <t>Frequência*</t>
  </si>
  <si>
    <t>Status</t>
  </si>
  <si>
    <t>Desafios/Observações</t>
  </si>
  <si>
    <t>API</t>
  </si>
  <si>
    <t>Ativo</t>
  </si>
  <si>
    <t>WhatsApp Business</t>
  </si>
  <si>
    <t>Tempo real</t>
  </si>
  <si>
    <t>Power BI</t>
  </si>
  <si>
    <t>Manual</t>
  </si>
  <si>
    <t>Inativo</t>
  </si>
  <si>
    <t>Ferramenta*</t>
  </si>
  <si>
    <t>Finalidade*</t>
  </si>
  <si>
    <t>Status*</t>
  </si>
  <si>
    <t>Licenças</t>
  </si>
  <si>
    <t>Custo Mensal</t>
  </si>
  <si>
    <t>Integração</t>
  </si>
  <si>
    <t>Satisfação (1-5)</t>
  </si>
  <si>
    <t>10</t>
  </si>
  <si>
    <t>4</t>
  </si>
  <si>
    <t>Ferramenta principal</t>
  </si>
  <si>
    <t>15</t>
  </si>
  <si>
    <t>Comunicação</t>
  </si>
  <si>
    <t>Cargo*</t>
  </si>
  <si>
    <t>Quantidade*</t>
  </si>
  <si>
    <t>Principais Skills*</t>
  </si>
  <si>
    <t>Senioridade</t>
  </si>
  <si>
    <t>Modelo Treinamento*</t>
  </si>
  <si>
    <t>Terceirizado*</t>
  </si>
  <si>
    <t>Júnior</t>
  </si>
  <si>
    <t>Não</t>
  </si>
  <si>
    <t>Primeiro nível atendimento</t>
  </si>
  <si>
    <t>Pleno</t>
  </si>
  <si>
    <t>Casos complexos</t>
  </si>
  <si>
    <t>Liderança + negociação</t>
  </si>
  <si>
    <t>Gestão da operação</t>
  </si>
  <si>
    <t>Métrica*</t>
  </si>
  <si>
    <t>Valor Atual*</t>
  </si>
  <si>
    <t>Meta*</t>
  </si>
  <si>
    <t>Periodicidade*</t>
  </si>
  <si>
    <t>Fonte*</t>
  </si>
  <si>
    <t>Responsável</t>
  </si>
  <si>
    <t>Tendência</t>
  </si>
  <si>
    <t>NPS</t>
  </si>
  <si>
    <t>Trimestral</t>
  </si>
  <si>
    <t>Estável</t>
  </si>
  <si>
    <t>CSAT</t>
  </si>
  <si>
    <t>Mensal</t>
  </si>
  <si>
    <t>Crescente</t>
  </si>
  <si>
    <t>Melhorou nos últimos 3 meses</t>
  </si>
  <si>
    <t>Diário</t>
  </si>
  <si>
    <t>Decrescente</t>
  </si>
  <si>
    <t>Semanal</t>
  </si>
  <si>
    <t>Item*</t>
  </si>
  <si>
    <t>% do Orçamento</t>
  </si>
  <si>
    <t>Fornecedor</t>
  </si>
  <si>
    <t>Contrato</t>
  </si>
  <si>
    <t>Renovação</t>
  </si>
  <si>
    <t>Restrição/Observação</t>
  </si>
  <si>
    <t>Salários Equipe</t>
  </si>
  <si>
    <t>Interno</t>
  </si>
  <si>
    <t>CLT</t>
  </si>
  <si>
    <t>N/A</t>
  </si>
  <si>
    <t>Inclui encargos</t>
  </si>
  <si>
    <t>Diversos</t>
  </si>
  <si>
    <t>Anual</t>
  </si>
  <si>
    <t>Oportunidade*</t>
  </si>
  <si>
    <t>Impacto Esperado*</t>
  </si>
  <si>
    <t>Prioridade*</t>
  </si>
  <si>
    <t>Esforço</t>
  </si>
  <si>
    <t>Prazo</t>
  </si>
  <si>
    <t>Dependências</t>
  </si>
  <si>
    <t>Risco</t>
  </si>
  <si>
    <t>Médio</t>
  </si>
  <si>
    <t>3 meses</t>
  </si>
  <si>
    <t>Baixo</t>
  </si>
  <si>
    <t>Alto</t>
  </si>
  <si>
    <t>6 meses</t>
  </si>
  <si>
    <t>CRM, templates</t>
  </si>
  <si>
    <t>Impacto na experiência</t>
  </si>
  <si>
    <t>Aumento 15% retenção</t>
  </si>
  <si>
    <t>Automação relatórios</t>
  </si>
  <si>
    <t>1 mês</t>
  </si>
  <si>
    <t>Eficiência operacional</t>
  </si>
  <si>
    <t>Dúvidas iniciais</t>
  </si>
  <si>
    <t>Status pedido, rastreio, previsão entrega</t>
  </si>
  <si>
    <t>CS Coordenador</t>
  </si>
  <si>
    <t>Take Blip</t>
  </si>
  <si>
    <t>0 (20 min)</t>
  </si>
  <si>
    <t>IA para ter integrações</t>
  </si>
  <si>
    <t>E-mail, whats, chat</t>
  </si>
  <si>
    <t>Processo automático</t>
  </si>
  <si>
    <t>Recebimento, atraso entrega, devolução</t>
  </si>
  <si>
    <t>CS Operador Telemarketing</t>
  </si>
  <si>
    <t>Take Blip, Neoassist</t>
  </si>
  <si>
    <t>Falta de informação (depende de retorno de outras áreas, transportes/financeiro)</t>
  </si>
  <si>
    <t>Processo manual escalação diversos times</t>
  </si>
  <si>
    <t>Suporte nível 1 (Frontoffice)</t>
  </si>
  <si>
    <t>CS Atendente Backoffice</t>
  </si>
  <si>
    <t>Take Blip, Neoassist, Protheus, Tracker e Correios e DHL</t>
  </si>
  <si>
    <t>E-mail, whats, chat, Procon, RA, Marketplaces</t>
  </si>
  <si>
    <t>Take Blip, Neoassist, Protheus, Tracker e Correios e DHL, Procon, Hugme, Predize, Marketplaces</t>
  </si>
  <si>
    <t>Onboarding colaboradores</t>
  </si>
  <si>
    <t>Ativação inicial e contínua</t>
  </si>
  <si>
    <t>Contínuo</t>
  </si>
  <si>
    <t>IA para monitoria e ferramentas melhores</t>
  </si>
  <si>
    <t>Treinamentos, scripts, monitoria e relatórios</t>
  </si>
  <si>
    <t>Intranet, Neoassist, Looker studio, Delight</t>
  </si>
  <si>
    <t>Expansão de compra</t>
  </si>
  <si>
    <t>Análise produto proposta, negociação</t>
  </si>
  <si>
    <t>Base de leads, falta de ferramentas</t>
  </si>
  <si>
    <t xml:space="preserve">Processo manual  </t>
  </si>
  <si>
    <t>Devolução</t>
  </si>
  <si>
    <t>15 dias</t>
  </si>
  <si>
    <t>E-mail, Chat, Whatsapp</t>
  </si>
  <si>
    <t>Processo manual (devolução facilitada)</t>
  </si>
  <si>
    <t>Status entrega</t>
  </si>
  <si>
    <t>10 dias</t>
  </si>
  <si>
    <t>Atraso entrega</t>
  </si>
  <si>
    <t>Vendas de terceiros no nosso site</t>
  </si>
  <si>
    <t>4 dias</t>
  </si>
  <si>
    <t>Neoassist</t>
  </si>
  <si>
    <t>Defeito/devolução</t>
  </si>
  <si>
    <t>Dependência de retorno do seller</t>
  </si>
  <si>
    <t>Financeiro - reembolso</t>
  </si>
  <si>
    <t>5 dias</t>
  </si>
  <si>
    <t>Insatisfação - status reembolso</t>
  </si>
  <si>
    <t>Dependência de retorno do financeiro</t>
  </si>
  <si>
    <t xml:space="preserve">E-mail  </t>
  </si>
  <si>
    <t>Status pedido</t>
  </si>
  <si>
    <t>10 minutos</t>
  </si>
  <si>
    <t>Dúvida pedido</t>
  </si>
  <si>
    <t>Processo automático - integrado ERP</t>
  </si>
  <si>
    <t>Blipdesk x Whatsapp</t>
  </si>
  <si>
    <t>Neoassist X Protheus</t>
  </si>
  <si>
    <t>Protheus</t>
  </si>
  <si>
    <t>Limitações API (não esta tudo conectado)</t>
  </si>
  <si>
    <t>Delight</t>
  </si>
  <si>
    <t>Protheus X Delight</t>
  </si>
  <si>
    <t>Onboarding + mensal</t>
  </si>
  <si>
    <t>Sim</t>
  </si>
  <si>
    <t>Senior</t>
  </si>
  <si>
    <t>Relacionamento, treinamento, monitoria, relatórios</t>
  </si>
  <si>
    <t>Relacionamento</t>
  </si>
  <si>
    <t>Pagina de atendimento</t>
  </si>
  <si>
    <t>Delighted</t>
  </si>
  <si>
    <t>Predize</t>
  </si>
  <si>
    <t>HugMe RA</t>
  </si>
  <si>
    <t>Plataforma Reclame aqui</t>
  </si>
  <si>
    <t>Plataforma de NPS</t>
  </si>
  <si>
    <t>Plataforma de Atendimento Whatsapp e Chat</t>
  </si>
  <si>
    <t>Plataforma de atendimento Mktplace</t>
  </si>
  <si>
    <t>Ilimitado</t>
  </si>
  <si>
    <t>Artigos do site</t>
  </si>
  <si>
    <t>BKO</t>
  </si>
  <si>
    <t>ERP/BKO</t>
  </si>
  <si>
    <t>Curadoria de perguntas pré e IA</t>
  </si>
  <si>
    <t>Integração Vtex/ Protheus</t>
  </si>
  <si>
    <t>Ia no Atendimento</t>
  </si>
  <si>
    <t>Devolução facilitada</t>
  </si>
  <si>
    <t>Redução 30% no volume de atendimento</t>
  </si>
  <si>
    <t>Integrações Chatbot WhatsApp</t>
  </si>
  <si>
    <t>Economia 15h/semana</t>
  </si>
  <si>
    <t xml:space="preserve">Ferramentas </t>
  </si>
  <si>
    <t>Zendesk, neo, externo etc</t>
  </si>
  <si>
    <t>Tempo médio de espera (whatsapp/chat)</t>
  </si>
  <si>
    <t>Deligth</t>
  </si>
  <si>
    <t>Take</t>
  </si>
  <si>
    <t>% de emails respondidos em 24hs úteis</t>
  </si>
  <si>
    <t>NEO</t>
  </si>
  <si>
    <t>Nota Reclame aqui  (últimos 6 meses)</t>
  </si>
  <si>
    <t>Hugme</t>
  </si>
  <si>
    <t>Take/NEO</t>
  </si>
  <si>
    <t>CS Coordenador/</t>
  </si>
  <si>
    <t>API/Manual</t>
  </si>
  <si>
    <t>Plataforma Neo Atendimento (e-mail/ Registro interno,chamados, telefonia)</t>
  </si>
  <si>
    <t>Suporte ao Cliente</t>
  </si>
  <si>
    <t>Suporte níve 2 (Backoffice)</t>
  </si>
  <si>
    <t>Dependência de retorno transportadora</t>
  </si>
  <si>
    <t>Neoassist X Backoffice</t>
  </si>
  <si>
    <t>Backoffice</t>
  </si>
  <si>
    <t>Casos complexos e treinamentos</t>
  </si>
  <si>
    <t>Comuncação, análise de dados e resolução de problemas</t>
  </si>
  <si>
    <t>Gestão, análise de dados, estratégia</t>
  </si>
  <si>
    <t>Benchmark varejo: 61</t>
  </si>
  <si>
    <t>Salário Equipe Externa</t>
  </si>
  <si>
    <t>Externo</t>
  </si>
  <si>
    <t xml:space="preserve">Externo </t>
  </si>
  <si>
    <t>Redução de 20% no tempo de resposta</t>
  </si>
  <si>
    <t>Área de TI</t>
  </si>
  <si>
    <t>Integrar os sistêmicas para que o atendimento tenha mais autonomia</t>
  </si>
  <si>
    <t>Melhorias sistêmicas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</si>
</sst>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71" formatCode="#,##0.00_);\(#,##0.00\);\-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44" fontId="0" fillId="0" borderId="1" xfId="2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9" fontId="0" fillId="0" borderId="1" xfId="3" applyFont="1" applyBorder="1"/>
    <xf numFmtId="0" fontId="0" fillId="4" borderId="0" xfId="0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5" fillId="0" borderId="0" xfId="0" applyFont="1"/>
    <xf numFmtId="171" fontId="6" fillId="0" borderId="0" xfId="0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0" fillId="0" borderId="1" xfId="3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0" fillId="0" borderId="1" xfId="1" applyNumberFormat="1" applyFont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0" fontId="5" fillId="0" borderId="0" xfId="0" applyFont="1"/>
    <xf numFmtId="171" fontId="6" fillId="0" borderId="0" xfId="0" applyNumberFormat="1" applyFont="1"/>
    <xf numFmtId="44" fontId="0" fillId="5" borderId="1" xfId="0" applyNumberFormat="1" applyFill="1" applyBorder="1"/>
    <xf numFmtId="9" fontId="0" fillId="5" borderId="1" xfId="3" applyNumberFormat="1" applyFont="1" applyFill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 Cordeiro" id="{8D9FAB04-5512-49E3-962E-CEED9E38AF9D}" userId="S-1-5-21-494841159-1245613894-2504561625-562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5-08-14T13:33:29.54" personId="{8D9FAB04-5512-49E3-962E-CEED9E38AF9D}" id="{7D04E622-3945-49C2-B250-46101FD867AD}">
    <text>média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ColWidth="8.77734375" defaultRowHeight="14.4" x14ac:dyDescent="0.3"/>
  <cols>
    <col min="1" max="1" width="25" customWidth="1"/>
    <col min="2" max="2" width="80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t="s">
        <v>2</v>
      </c>
    </row>
    <row r="5" spans="1:2" x14ac:dyDescent="0.3">
      <c r="A5" s="1" t="s">
        <v>3</v>
      </c>
      <c r="B5" t="s">
        <v>4</v>
      </c>
    </row>
    <row r="7" spans="1:2" x14ac:dyDescent="0.3">
      <c r="A7" s="1" t="s">
        <v>5</v>
      </c>
    </row>
    <row r="8" spans="1:2" x14ac:dyDescent="0.3">
      <c r="A8" t="s">
        <v>6</v>
      </c>
      <c r="B8" t="s">
        <v>7</v>
      </c>
    </row>
    <row r="9" spans="1:2" x14ac:dyDescent="0.3">
      <c r="A9" t="s">
        <v>8</v>
      </c>
      <c r="B9" t="s">
        <v>9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12</v>
      </c>
      <c r="B11" t="s">
        <v>13</v>
      </c>
    </row>
    <row r="12" spans="1:2" x14ac:dyDescent="0.3">
      <c r="A12" t="s">
        <v>14</v>
      </c>
      <c r="B12" t="s">
        <v>15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21</v>
      </c>
    </row>
    <row r="17" spans="1:2" x14ac:dyDescent="0.3">
      <c r="A17" s="1" t="s">
        <v>22</v>
      </c>
      <c r="B17" t="s">
        <v>23</v>
      </c>
    </row>
    <row r="19" spans="1:2" x14ac:dyDescent="0.3">
      <c r="A19" s="1" t="s">
        <v>24</v>
      </c>
      <c r="B19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zoomScaleNormal="100" workbookViewId="0">
      <selection activeCell="A2" sqref="A2:XFD2"/>
    </sheetView>
  </sheetViews>
  <sheetFormatPr defaultColWidth="8.77734375" defaultRowHeight="14.4" x14ac:dyDescent="0.3"/>
  <cols>
    <col min="1" max="1" width="24" bestFit="1" customWidth="1"/>
    <col min="2" max="2" width="21.33203125" customWidth="1"/>
    <col min="3" max="3" width="39.44140625" bestFit="1" customWidth="1"/>
    <col min="4" max="4" width="23.5546875" bestFit="1" customWidth="1"/>
    <col min="5" max="5" width="25.6640625" bestFit="1" customWidth="1"/>
    <col min="6" max="6" width="15" customWidth="1"/>
    <col min="7" max="7" width="25" customWidth="1"/>
    <col min="8" max="8" width="20" customWidth="1"/>
    <col min="9" max="9" width="36" bestFit="1" customWidth="1"/>
  </cols>
  <sheetData>
    <row r="1" spans="1:9" x14ac:dyDescent="0.3">
      <c r="A1" s="13" t="s">
        <v>26</v>
      </c>
      <c r="B1" s="13" t="s">
        <v>27</v>
      </c>
      <c r="C1" s="13" t="s">
        <v>28</v>
      </c>
      <c r="D1" s="13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</row>
    <row r="2" spans="1:9" ht="48" customHeight="1" x14ac:dyDescent="0.3">
      <c r="A2" s="17" t="s">
        <v>233</v>
      </c>
      <c r="B2" s="17" t="s">
        <v>141</v>
      </c>
      <c r="C2" s="17" t="s">
        <v>142</v>
      </c>
      <c r="D2" s="17" t="s">
        <v>143</v>
      </c>
      <c r="E2" s="17" t="s">
        <v>144</v>
      </c>
      <c r="F2" s="17" t="s">
        <v>145</v>
      </c>
      <c r="G2" s="17" t="s">
        <v>146</v>
      </c>
      <c r="H2" s="17" t="s">
        <v>147</v>
      </c>
      <c r="I2" s="17" t="s">
        <v>148</v>
      </c>
    </row>
    <row r="3" spans="1:9" ht="48" customHeight="1" x14ac:dyDescent="0.3">
      <c r="A3" s="17" t="s">
        <v>154</v>
      </c>
      <c r="B3" s="17" t="s">
        <v>38</v>
      </c>
      <c r="C3" s="17" t="s">
        <v>149</v>
      </c>
      <c r="D3" s="17" t="s">
        <v>150</v>
      </c>
      <c r="E3" s="18" t="s">
        <v>156</v>
      </c>
      <c r="F3" s="17">
        <v>5</v>
      </c>
      <c r="G3" s="19" t="s">
        <v>152</v>
      </c>
      <c r="H3" s="17" t="s">
        <v>147</v>
      </c>
      <c r="I3" s="17" t="s">
        <v>153</v>
      </c>
    </row>
    <row r="4" spans="1:9" ht="48" customHeight="1" x14ac:dyDescent="0.3">
      <c r="A4" s="17" t="s">
        <v>234</v>
      </c>
      <c r="B4" s="17" t="s">
        <v>38</v>
      </c>
      <c r="C4" s="17" t="s">
        <v>39</v>
      </c>
      <c r="D4" s="17" t="s">
        <v>155</v>
      </c>
      <c r="E4" s="20" t="s">
        <v>158</v>
      </c>
      <c r="F4" s="17">
        <v>7</v>
      </c>
      <c r="G4" s="19" t="s">
        <v>152</v>
      </c>
      <c r="H4" s="18" t="s">
        <v>157</v>
      </c>
      <c r="I4" s="17" t="s">
        <v>153</v>
      </c>
    </row>
    <row r="5" spans="1:9" ht="48" customHeight="1" x14ac:dyDescent="0.3">
      <c r="A5" s="17" t="s">
        <v>159</v>
      </c>
      <c r="B5" s="17" t="s">
        <v>160</v>
      </c>
      <c r="C5" s="17" t="s">
        <v>163</v>
      </c>
      <c r="D5" s="17" t="s">
        <v>35</v>
      </c>
      <c r="E5" s="18" t="s">
        <v>164</v>
      </c>
      <c r="F5" s="17" t="s">
        <v>161</v>
      </c>
      <c r="G5" s="18" t="s">
        <v>162</v>
      </c>
      <c r="H5" s="17"/>
      <c r="I5" s="17"/>
    </row>
    <row r="6" spans="1:9" ht="48" customHeight="1" x14ac:dyDescent="0.3">
      <c r="A6" s="17" t="s">
        <v>42</v>
      </c>
      <c r="B6" s="17" t="s">
        <v>165</v>
      </c>
      <c r="C6" s="17" t="s">
        <v>166</v>
      </c>
      <c r="D6" s="17" t="s">
        <v>150</v>
      </c>
      <c r="E6" s="18" t="s">
        <v>151</v>
      </c>
      <c r="F6" s="17">
        <v>1</v>
      </c>
      <c r="G6" s="18" t="s">
        <v>167</v>
      </c>
      <c r="H6" s="17" t="s">
        <v>147</v>
      </c>
      <c r="I6" s="17" t="s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zoomScale="110" zoomScaleNormal="110" workbookViewId="0">
      <selection activeCell="F11" sqref="F11"/>
    </sheetView>
  </sheetViews>
  <sheetFormatPr defaultColWidth="8.77734375" defaultRowHeight="14.4" x14ac:dyDescent="0.3"/>
  <cols>
    <col min="1" max="1" width="26.33203125" customWidth="1"/>
    <col min="2" max="2" width="15" customWidth="1"/>
    <col min="3" max="3" width="20" customWidth="1"/>
    <col min="4" max="4" width="15" customWidth="1"/>
    <col min="5" max="5" width="20.6640625" bestFit="1" customWidth="1"/>
    <col min="6" max="7" width="20" customWidth="1"/>
    <col min="8" max="8" width="35.109375" bestFit="1" customWidth="1"/>
  </cols>
  <sheetData>
    <row r="1" spans="1:8" x14ac:dyDescent="0.3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2" t="s">
        <v>49</v>
      </c>
      <c r="H1" s="2" t="s">
        <v>34</v>
      </c>
    </row>
    <row r="2" spans="1:8" x14ac:dyDescent="0.3">
      <c r="A2" s="3" t="s">
        <v>169</v>
      </c>
      <c r="B2" s="23">
        <v>1850</v>
      </c>
      <c r="C2" s="3" t="s">
        <v>170</v>
      </c>
      <c r="D2" s="3" t="s">
        <v>53</v>
      </c>
      <c r="E2" s="3" t="s">
        <v>171</v>
      </c>
      <c r="F2" s="3" t="s">
        <v>51</v>
      </c>
      <c r="G2" s="21">
        <v>0</v>
      </c>
      <c r="H2" s="3" t="s">
        <v>172</v>
      </c>
    </row>
    <row r="3" spans="1:8" x14ac:dyDescent="0.3">
      <c r="A3" s="3" t="s">
        <v>186</v>
      </c>
      <c r="B3" s="23">
        <v>1709</v>
      </c>
      <c r="C3" s="3" t="s">
        <v>187</v>
      </c>
      <c r="D3" s="3" t="s">
        <v>52</v>
      </c>
      <c r="E3" s="3" t="s">
        <v>185</v>
      </c>
      <c r="F3" s="3" t="s">
        <v>188</v>
      </c>
      <c r="G3" s="21">
        <v>0.63</v>
      </c>
      <c r="H3" s="3" t="s">
        <v>189</v>
      </c>
    </row>
    <row r="4" spans="1:8" x14ac:dyDescent="0.3">
      <c r="A4" s="3" t="s">
        <v>173</v>
      </c>
      <c r="B4" s="23">
        <v>795</v>
      </c>
      <c r="C4" s="3" t="s">
        <v>174</v>
      </c>
      <c r="D4" s="3" t="s">
        <v>50</v>
      </c>
      <c r="E4" s="3" t="s">
        <v>171</v>
      </c>
      <c r="F4" s="3" t="s">
        <v>175</v>
      </c>
      <c r="G4" s="21">
        <v>0.1</v>
      </c>
      <c r="H4" s="3" t="s">
        <v>235</v>
      </c>
    </row>
    <row r="5" spans="1:8" x14ac:dyDescent="0.3">
      <c r="A5" s="3" t="s">
        <v>176</v>
      </c>
      <c r="B5" s="23">
        <v>521</v>
      </c>
      <c r="C5" s="3" t="s">
        <v>177</v>
      </c>
      <c r="D5" s="3" t="s">
        <v>53</v>
      </c>
      <c r="E5" s="3" t="s">
        <v>178</v>
      </c>
      <c r="F5" s="3" t="s">
        <v>179</v>
      </c>
      <c r="G5" s="21">
        <v>0</v>
      </c>
      <c r="H5" s="3" t="s">
        <v>180</v>
      </c>
    </row>
    <row r="6" spans="1:8" x14ac:dyDescent="0.3">
      <c r="A6" s="3" t="s">
        <v>181</v>
      </c>
      <c r="B6" s="23">
        <v>358</v>
      </c>
      <c r="C6" s="3" t="s">
        <v>182</v>
      </c>
      <c r="D6" s="3" t="s">
        <v>50</v>
      </c>
      <c r="E6" s="3" t="s">
        <v>171</v>
      </c>
      <c r="F6" s="3" t="s">
        <v>183</v>
      </c>
      <c r="G6" s="21">
        <v>0</v>
      </c>
      <c r="H6" s="3" t="s">
        <v>184</v>
      </c>
    </row>
  </sheetData>
  <sortState xmlns:xlrd2="http://schemas.microsoft.com/office/spreadsheetml/2017/richdata2" ref="A2:H6">
    <sortCondition descending="1" ref="B2:B6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zoomScale="110" zoomScaleNormal="110" workbookViewId="0"/>
  </sheetViews>
  <sheetFormatPr defaultColWidth="8.77734375" defaultRowHeight="14.4" x14ac:dyDescent="0.3"/>
  <cols>
    <col min="1" max="1" width="20" customWidth="1"/>
    <col min="2" max="3" width="18" customWidth="1"/>
    <col min="4" max="5" width="15" customWidth="1"/>
    <col min="6" max="6" width="12" customWidth="1"/>
    <col min="7" max="7" width="35.44140625" bestFit="1" customWidth="1"/>
  </cols>
  <sheetData>
    <row r="1" spans="1:7" x14ac:dyDescent="0.3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 x14ac:dyDescent="0.3">
      <c r="A2" s="3" t="s">
        <v>190</v>
      </c>
      <c r="B2" s="3" t="s">
        <v>144</v>
      </c>
      <c r="C2" s="3" t="s">
        <v>63</v>
      </c>
      <c r="D2" s="3" t="s">
        <v>61</v>
      </c>
      <c r="E2" s="3" t="s">
        <v>64</v>
      </c>
      <c r="F2" s="3" t="s">
        <v>62</v>
      </c>
      <c r="G2" s="3"/>
    </row>
    <row r="3" spans="1:7" x14ac:dyDescent="0.3">
      <c r="A3" s="3" t="s">
        <v>191</v>
      </c>
      <c r="B3" s="3" t="s">
        <v>178</v>
      </c>
      <c r="C3" s="3" t="s">
        <v>192</v>
      </c>
      <c r="D3" s="3" t="s">
        <v>231</v>
      </c>
      <c r="E3" s="3" t="s">
        <v>64</v>
      </c>
      <c r="F3" s="3" t="s">
        <v>62</v>
      </c>
      <c r="G3" s="3" t="s">
        <v>193</v>
      </c>
    </row>
    <row r="4" spans="1:7" s="12" customFormat="1" x14ac:dyDescent="0.3">
      <c r="A4" s="14" t="s">
        <v>236</v>
      </c>
      <c r="B4" s="14" t="s">
        <v>237</v>
      </c>
      <c r="C4" s="14" t="s">
        <v>178</v>
      </c>
      <c r="D4" s="14" t="s">
        <v>61</v>
      </c>
      <c r="E4" s="14" t="s">
        <v>64</v>
      </c>
      <c r="F4" s="14" t="s">
        <v>62</v>
      </c>
      <c r="G4" s="14" t="s">
        <v>37</v>
      </c>
    </row>
    <row r="5" spans="1:7" x14ac:dyDescent="0.3">
      <c r="A5" s="3" t="s">
        <v>195</v>
      </c>
      <c r="B5" s="3" t="s">
        <v>192</v>
      </c>
      <c r="C5" s="3" t="s">
        <v>194</v>
      </c>
      <c r="D5" s="3" t="s">
        <v>66</v>
      </c>
      <c r="E5" s="3" t="s">
        <v>109</v>
      </c>
      <c r="F5" s="3" t="s">
        <v>67</v>
      </c>
      <c r="G5" s="3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B15"/>
  <sheetViews>
    <sheetView zoomScale="110" zoomScaleNormal="110" workbookViewId="0"/>
  </sheetViews>
  <sheetFormatPr defaultColWidth="8.77734375" defaultRowHeight="14.4" x14ac:dyDescent="0.3"/>
  <cols>
    <col min="1" max="1" width="20" style="6" customWidth="1"/>
    <col min="2" max="2" width="56.109375" style="6" bestFit="1" customWidth="1"/>
    <col min="3" max="4" width="12" style="6" customWidth="1"/>
    <col min="5" max="5" width="15" style="9" customWidth="1"/>
    <col min="6" max="6" width="18" style="6" customWidth="1"/>
    <col min="7" max="7" width="15" style="6" customWidth="1"/>
    <col min="8" max="8" width="27" style="6" bestFit="1" customWidth="1"/>
    <col min="9" max="16384" width="8.77734375" style="6"/>
  </cols>
  <sheetData>
    <row r="1" spans="1:106" s="11" customFormat="1" x14ac:dyDescent="0.3">
      <c r="A1" s="13" t="s">
        <v>68</v>
      </c>
      <c r="B1" s="13" t="s">
        <v>69</v>
      </c>
      <c r="C1" s="13" t="s">
        <v>70</v>
      </c>
      <c r="D1" s="13" t="s">
        <v>71</v>
      </c>
      <c r="E1" s="13" t="s">
        <v>72</v>
      </c>
      <c r="F1" s="13" t="s">
        <v>73</v>
      </c>
      <c r="G1" s="13" t="s">
        <v>74</v>
      </c>
      <c r="H1" s="13" t="s">
        <v>34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</row>
    <row r="2" spans="1:106" x14ac:dyDescent="0.3">
      <c r="A2" s="7" t="s">
        <v>40</v>
      </c>
      <c r="B2" s="7" t="s">
        <v>201</v>
      </c>
      <c r="C2" s="7" t="s">
        <v>62</v>
      </c>
      <c r="D2" s="7" t="s">
        <v>75</v>
      </c>
      <c r="E2" s="8">
        <v>875</v>
      </c>
      <c r="F2" s="7" t="s">
        <v>210</v>
      </c>
      <c r="G2" s="7" t="s">
        <v>76</v>
      </c>
      <c r="H2" s="7"/>
    </row>
    <row r="3" spans="1:106" x14ac:dyDescent="0.3">
      <c r="A3" s="7" t="s">
        <v>178</v>
      </c>
      <c r="B3" s="4" t="s">
        <v>232</v>
      </c>
      <c r="C3" s="7" t="s">
        <v>62</v>
      </c>
      <c r="D3" s="7" t="s">
        <v>78</v>
      </c>
      <c r="E3" s="8">
        <v>15569.830000000002</v>
      </c>
      <c r="F3" s="7" t="s">
        <v>212</v>
      </c>
      <c r="G3" s="7" t="s">
        <v>36</v>
      </c>
      <c r="H3" s="7" t="s">
        <v>77</v>
      </c>
    </row>
    <row r="4" spans="1:106" x14ac:dyDescent="0.3">
      <c r="A4" s="7" t="s">
        <v>202</v>
      </c>
      <c r="B4" s="7" t="s">
        <v>206</v>
      </c>
      <c r="C4" s="7" t="s">
        <v>62</v>
      </c>
      <c r="D4" s="7">
        <v>3</v>
      </c>
      <c r="E4" s="8">
        <v>1467</v>
      </c>
      <c r="F4" s="7" t="s">
        <v>211</v>
      </c>
      <c r="G4" s="7" t="s">
        <v>76</v>
      </c>
      <c r="H4" s="7"/>
    </row>
    <row r="5" spans="1:106" x14ac:dyDescent="0.3">
      <c r="A5" s="7" t="s">
        <v>203</v>
      </c>
      <c r="B5" s="7" t="s">
        <v>208</v>
      </c>
      <c r="C5" s="7" t="s">
        <v>62</v>
      </c>
      <c r="D5" s="7">
        <v>7</v>
      </c>
      <c r="E5" s="8">
        <v>4617.0200000000004</v>
      </c>
      <c r="F5" s="7" t="s">
        <v>87</v>
      </c>
      <c r="G5" s="7" t="s">
        <v>41</v>
      </c>
      <c r="H5" s="7" t="s">
        <v>213</v>
      </c>
    </row>
    <row r="6" spans="1:106" x14ac:dyDescent="0.3">
      <c r="A6" s="7" t="s">
        <v>204</v>
      </c>
      <c r="B6" s="7" t="s">
        <v>205</v>
      </c>
      <c r="C6" s="7" t="s">
        <v>62</v>
      </c>
      <c r="D6" s="7">
        <v>3</v>
      </c>
      <c r="E6" s="8">
        <v>4751.25</v>
      </c>
      <c r="F6" s="7" t="s">
        <v>87</v>
      </c>
      <c r="G6" s="7">
        <v>3</v>
      </c>
      <c r="H6" s="7"/>
    </row>
    <row r="7" spans="1:106" x14ac:dyDescent="0.3">
      <c r="A7" s="7" t="s">
        <v>144</v>
      </c>
      <c r="B7" s="7" t="s">
        <v>207</v>
      </c>
      <c r="C7" s="7" t="s">
        <v>62</v>
      </c>
      <c r="D7" s="7" t="s">
        <v>209</v>
      </c>
      <c r="E7" s="8">
        <v>15000</v>
      </c>
      <c r="F7" s="7" t="s">
        <v>87</v>
      </c>
      <c r="G7" s="7">
        <v>3</v>
      </c>
      <c r="H7" s="7"/>
    </row>
    <row r="10" spans="1:106" x14ac:dyDescent="0.3">
      <c r="C10" s="15"/>
      <c r="D10" s="16"/>
    </row>
    <row r="11" spans="1:106" x14ac:dyDescent="0.3">
      <c r="C11" s="15"/>
      <c r="D11" s="16"/>
    </row>
    <row r="12" spans="1:106" x14ac:dyDescent="0.3">
      <c r="C12" s="15"/>
      <c r="D12" s="16"/>
    </row>
    <row r="13" spans="1:106" x14ac:dyDescent="0.3">
      <c r="C13" s="15"/>
      <c r="D13" s="16"/>
    </row>
    <row r="14" spans="1:106" x14ac:dyDescent="0.3">
      <c r="C14" s="15"/>
      <c r="D14" s="16"/>
    </row>
    <row r="15" spans="1:106" x14ac:dyDescent="0.3">
      <c r="C15" s="15"/>
      <c r="D15" s="16"/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zoomScale="110" zoomScaleNormal="110" workbookViewId="0">
      <selection activeCell="E18" sqref="E18"/>
    </sheetView>
  </sheetViews>
  <sheetFormatPr defaultColWidth="8.77734375" defaultRowHeight="14.4" x14ac:dyDescent="0.3"/>
  <cols>
    <col min="1" max="1" width="24.33203125" bestFit="1" customWidth="1"/>
    <col min="2" max="2" width="10.88671875" customWidth="1"/>
    <col min="3" max="3" width="48.33203125" bestFit="1" customWidth="1"/>
    <col min="4" max="4" width="12" customWidth="1"/>
    <col min="5" max="5" width="25" customWidth="1"/>
    <col min="6" max="6" width="12" customWidth="1"/>
    <col min="7" max="7" width="17.21875" bestFit="1" customWidth="1"/>
    <col min="8" max="8" width="28" bestFit="1" customWidth="1"/>
  </cols>
  <sheetData>
    <row r="1" spans="1:8" x14ac:dyDescent="0.3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72</v>
      </c>
      <c r="H1" s="2" t="s">
        <v>34</v>
      </c>
    </row>
    <row r="2" spans="1:8" x14ac:dyDescent="0.3">
      <c r="A2" s="3" t="s">
        <v>150</v>
      </c>
      <c r="B2" s="4">
        <v>5</v>
      </c>
      <c r="C2" s="3" t="s">
        <v>79</v>
      </c>
      <c r="D2" s="3" t="s">
        <v>86</v>
      </c>
      <c r="E2" s="3" t="s">
        <v>196</v>
      </c>
      <c r="F2" s="3" t="s">
        <v>197</v>
      </c>
      <c r="G2" s="5">
        <v>34500</v>
      </c>
      <c r="H2" s="3" t="s">
        <v>88</v>
      </c>
    </row>
    <row r="3" spans="1:8" x14ac:dyDescent="0.3">
      <c r="A3" s="3" t="s">
        <v>150</v>
      </c>
      <c r="B3" s="4">
        <v>1</v>
      </c>
      <c r="C3" s="3" t="s">
        <v>79</v>
      </c>
      <c r="D3" s="3" t="s">
        <v>86</v>
      </c>
      <c r="E3" s="3" t="s">
        <v>196</v>
      </c>
      <c r="F3" s="3" t="s">
        <v>87</v>
      </c>
      <c r="G3" s="5">
        <v>3700</v>
      </c>
      <c r="H3" s="3" t="s">
        <v>88</v>
      </c>
    </row>
    <row r="4" spans="1:8" x14ac:dyDescent="0.3">
      <c r="A4" s="3" t="s">
        <v>155</v>
      </c>
      <c r="B4" s="4">
        <v>3</v>
      </c>
      <c r="C4" s="3" t="s">
        <v>239</v>
      </c>
      <c r="D4" s="3" t="s">
        <v>86</v>
      </c>
      <c r="E4" s="3" t="s">
        <v>196</v>
      </c>
      <c r="F4" s="3" t="s">
        <v>87</v>
      </c>
      <c r="G4" s="5">
        <v>15000</v>
      </c>
      <c r="H4" s="3" t="s">
        <v>90</v>
      </c>
    </row>
    <row r="5" spans="1:8" x14ac:dyDescent="0.3">
      <c r="A5" s="3" t="s">
        <v>35</v>
      </c>
      <c r="B5" s="4">
        <v>1</v>
      </c>
      <c r="C5" s="3" t="s">
        <v>199</v>
      </c>
      <c r="D5" s="3" t="s">
        <v>89</v>
      </c>
      <c r="E5" s="3" t="s">
        <v>200</v>
      </c>
      <c r="F5" s="3" t="s">
        <v>87</v>
      </c>
      <c r="G5" s="5">
        <v>6500</v>
      </c>
      <c r="H5" s="3" t="s">
        <v>238</v>
      </c>
    </row>
    <row r="6" spans="1:8" x14ac:dyDescent="0.3">
      <c r="A6" s="3" t="s">
        <v>143</v>
      </c>
      <c r="B6" s="4">
        <v>1</v>
      </c>
      <c r="C6" s="3" t="s">
        <v>240</v>
      </c>
      <c r="D6" s="3" t="s">
        <v>198</v>
      </c>
      <c r="E6" s="3" t="s">
        <v>91</v>
      </c>
      <c r="F6" s="3" t="s">
        <v>87</v>
      </c>
      <c r="G6" s="5">
        <v>12700</v>
      </c>
      <c r="H6" s="3" t="s">
        <v>92</v>
      </c>
    </row>
    <row r="11" spans="1:8" x14ac:dyDescent="0.3">
      <c r="D11" s="26"/>
      <c r="E11" s="27"/>
    </row>
    <row r="12" spans="1:8" x14ac:dyDescent="0.3">
      <c r="D12" s="26"/>
      <c r="E12" s="27"/>
    </row>
    <row r="13" spans="1:8" x14ac:dyDescent="0.3">
      <c r="D13" s="26"/>
      <c r="E13" s="2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zoomScale="120" zoomScaleNormal="120" workbookViewId="0">
      <selection activeCell="G8" sqref="G8"/>
    </sheetView>
  </sheetViews>
  <sheetFormatPr defaultColWidth="8.77734375" defaultRowHeight="14.4" x14ac:dyDescent="0.3"/>
  <cols>
    <col min="1" max="1" width="35" bestFit="1" customWidth="1"/>
    <col min="2" max="2" width="15" customWidth="1"/>
    <col min="3" max="3" width="12" customWidth="1"/>
    <col min="4" max="6" width="15" customWidth="1"/>
    <col min="7" max="7" width="12" customWidth="1"/>
    <col min="8" max="8" width="27.21875" bestFit="1" customWidth="1"/>
  </cols>
  <sheetData>
    <row r="1" spans="1:8" x14ac:dyDescent="0.3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34</v>
      </c>
    </row>
    <row r="2" spans="1:8" x14ac:dyDescent="0.3">
      <c r="A2" s="3" t="s">
        <v>100</v>
      </c>
      <c r="B2" s="3">
        <v>70</v>
      </c>
      <c r="C2" s="3">
        <v>65</v>
      </c>
      <c r="D2" s="3" t="s">
        <v>101</v>
      </c>
      <c r="E2" s="3" t="s">
        <v>223</v>
      </c>
      <c r="F2" s="3" t="s">
        <v>143</v>
      </c>
      <c r="G2" s="3" t="s">
        <v>105</v>
      </c>
      <c r="H2" s="24" t="s">
        <v>241</v>
      </c>
    </row>
    <row r="3" spans="1:8" x14ac:dyDescent="0.3">
      <c r="A3" s="3" t="s">
        <v>222</v>
      </c>
      <c r="B3" s="3">
        <v>2</v>
      </c>
      <c r="C3" s="3">
        <v>5</v>
      </c>
      <c r="D3" s="3" t="s">
        <v>101</v>
      </c>
      <c r="E3" s="3" t="s">
        <v>224</v>
      </c>
      <c r="F3" s="3" t="s">
        <v>143</v>
      </c>
      <c r="G3" s="3" t="s">
        <v>108</v>
      </c>
      <c r="H3" s="24" t="s">
        <v>106</v>
      </c>
    </row>
    <row r="4" spans="1:8" x14ac:dyDescent="0.3">
      <c r="A4" s="3" t="s">
        <v>225</v>
      </c>
      <c r="B4" s="10">
        <v>0.99</v>
      </c>
      <c r="C4" s="10">
        <v>0.97</v>
      </c>
      <c r="D4" s="3" t="s">
        <v>107</v>
      </c>
      <c r="E4" s="3" t="s">
        <v>226</v>
      </c>
      <c r="F4" s="3" t="s">
        <v>143</v>
      </c>
      <c r="G4" s="25" t="s">
        <v>105</v>
      </c>
      <c r="H4" s="24" t="s">
        <v>106</v>
      </c>
    </row>
    <row r="5" spans="1:8" x14ac:dyDescent="0.3">
      <c r="A5" s="3" t="s">
        <v>227</v>
      </c>
      <c r="B5" s="3">
        <v>7.9</v>
      </c>
      <c r="C5" s="3">
        <v>8</v>
      </c>
      <c r="D5" s="3" t="s">
        <v>104</v>
      </c>
      <c r="E5" s="3" t="s">
        <v>228</v>
      </c>
      <c r="F5" s="3" t="s">
        <v>143</v>
      </c>
      <c r="G5" s="3" t="s">
        <v>105</v>
      </c>
      <c r="H5" s="24" t="s">
        <v>106</v>
      </c>
    </row>
    <row r="6" spans="1:8" x14ac:dyDescent="0.3">
      <c r="A6" s="3" t="s">
        <v>103</v>
      </c>
      <c r="B6" s="3">
        <v>3.8</v>
      </c>
      <c r="C6" s="3">
        <v>4</v>
      </c>
      <c r="D6" s="3" t="s">
        <v>104</v>
      </c>
      <c r="E6" s="3" t="s">
        <v>229</v>
      </c>
      <c r="F6" s="3" t="s">
        <v>230</v>
      </c>
      <c r="G6" s="3" t="s">
        <v>105</v>
      </c>
      <c r="H6" s="24" t="s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zoomScale="120" zoomScaleNormal="120" workbookViewId="0"/>
  </sheetViews>
  <sheetFormatPr defaultColWidth="8.77734375" defaultRowHeight="14.4" x14ac:dyDescent="0.3"/>
  <cols>
    <col min="1" max="1" width="20" customWidth="1"/>
    <col min="2" max="2" width="18" customWidth="1"/>
    <col min="3" max="4" width="15" customWidth="1"/>
    <col min="5" max="6" width="12" customWidth="1"/>
    <col min="7" max="7" width="30" customWidth="1"/>
  </cols>
  <sheetData>
    <row r="1" spans="1:7" x14ac:dyDescent="0.3">
      <c r="A1" s="2" t="s">
        <v>110</v>
      </c>
      <c r="B1" s="2" t="s">
        <v>94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115</v>
      </c>
    </row>
    <row r="2" spans="1:7" x14ac:dyDescent="0.3">
      <c r="A2" s="3" t="s">
        <v>116</v>
      </c>
      <c r="B2" s="28">
        <f>SUM('6_Equipe_CS'!G3:G6)</f>
        <v>37900</v>
      </c>
      <c r="C2" s="29">
        <f>B2/SUM($B$2:$B$4)</f>
        <v>0.33048453916590581</v>
      </c>
      <c r="D2" s="3" t="s">
        <v>117</v>
      </c>
      <c r="E2" s="3" t="s">
        <v>118</v>
      </c>
      <c r="F2" s="3" t="s">
        <v>119</v>
      </c>
      <c r="G2" s="3" t="s">
        <v>120</v>
      </c>
    </row>
    <row r="3" spans="1:7" x14ac:dyDescent="0.3">
      <c r="A3" s="25" t="s">
        <v>242</v>
      </c>
      <c r="B3" s="28">
        <f>SUM('6_Equipe_CS'!G2)</f>
        <v>34500</v>
      </c>
      <c r="C3" s="29">
        <f t="shared" ref="C3:C4" si="0">B3/SUM($B$2:$B$4)</f>
        <v>0.30083684963651058</v>
      </c>
      <c r="D3" s="25" t="s">
        <v>243</v>
      </c>
      <c r="E3" s="25" t="s">
        <v>122</v>
      </c>
      <c r="F3" s="25" t="s">
        <v>122</v>
      </c>
      <c r="G3" s="25" t="s">
        <v>244</v>
      </c>
    </row>
    <row r="4" spans="1:7" x14ac:dyDescent="0.3">
      <c r="A4" s="25" t="s">
        <v>220</v>
      </c>
      <c r="B4" s="28">
        <f>SUM('5_Infraestrutura_Tech'!E2:E7)</f>
        <v>42280.100000000006</v>
      </c>
      <c r="C4" s="29">
        <f t="shared" si="0"/>
        <v>0.36867861119758355</v>
      </c>
      <c r="D4" s="25" t="s">
        <v>121</v>
      </c>
      <c r="E4" s="25" t="s">
        <v>104</v>
      </c>
      <c r="F4" s="25" t="s">
        <v>122</v>
      </c>
      <c r="G4" s="25" t="s">
        <v>221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tabSelected="1" zoomScale="110" zoomScaleNormal="110" workbookViewId="0"/>
  </sheetViews>
  <sheetFormatPr defaultColWidth="8.77734375" defaultRowHeight="14.4" x14ac:dyDescent="0.3"/>
  <cols>
    <col min="1" max="1" width="26.77734375" bestFit="1" customWidth="1"/>
    <col min="2" max="2" width="35" bestFit="1" customWidth="1"/>
    <col min="3" max="5" width="12" customWidth="1"/>
    <col min="6" max="6" width="22.6640625" bestFit="1" customWidth="1"/>
    <col min="7" max="7" width="12" customWidth="1"/>
    <col min="8" max="8" width="60.77734375" bestFit="1" customWidth="1"/>
  </cols>
  <sheetData>
    <row r="1" spans="1:8" x14ac:dyDescent="0.3">
      <c r="A1" s="2" t="s">
        <v>123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128</v>
      </c>
      <c r="G1" s="2" t="s">
        <v>129</v>
      </c>
      <c r="H1" s="2" t="s">
        <v>34</v>
      </c>
    </row>
    <row r="2" spans="1:8" x14ac:dyDescent="0.3">
      <c r="A2" s="3" t="s">
        <v>218</v>
      </c>
      <c r="B2" s="3" t="s">
        <v>137</v>
      </c>
      <c r="C2" s="3" t="s">
        <v>53</v>
      </c>
      <c r="D2" s="3" t="s">
        <v>130</v>
      </c>
      <c r="E2" s="3" t="s">
        <v>131</v>
      </c>
      <c r="F2" s="3" t="s">
        <v>214</v>
      </c>
      <c r="G2" s="3" t="s">
        <v>132</v>
      </c>
      <c r="H2" s="3" t="s">
        <v>136</v>
      </c>
    </row>
    <row r="3" spans="1:8" x14ac:dyDescent="0.3">
      <c r="A3" s="3" t="s">
        <v>215</v>
      </c>
      <c r="B3" s="3" t="s">
        <v>137</v>
      </c>
      <c r="C3" s="3" t="s">
        <v>53</v>
      </c>
      <c r="D3" s="3" t="s">
        <v>133</v>
      </c>
      <c r="E3" s="3" t="s">
        <v>134</v>
      </c>
      <c r="F3" s="3" t="s">
        <v>135</v>
      </c>
      <c r="G3" s="3" t="s">
        <v>130</v>
      </c>
      <c r="H3" s="3" t="s">
        <v>136</v>
      </c>
    </row>
    <row r="4" spans="1:8" x14ac:dyDescent="0.3">
      <c r="A4" s="3" t="s">
        <v>138</v>
      </c>
      <c r="B4" s="3" t="s">
        <v>219</v>
      </c>
      <c r="C4" s="3" t="s">
        <v>52</v>
      </c>
      <c r="D4" s="3" t="s">
        <v>132</v>
      </c>
      <c r="E4" s="3" t="s">
        <v>139</v>
      </c>
      <c r="F4" s="3" t="s">
        <v>65</v>
      </c>
      <c r="G4" s="3" t="s">
        <v>132</v>
      </c>
      <c r="H4" s="3" t="s">
        <v>140</v>
      </c>
    </row>
    <row r="5" spans="1:8" x14ac:dyDescent="0.3">
      <c r="A5" s="3" t="s">
        <v>216</v>
      </c>
      <c r="B5" s="3" t="s">
        <v>217</v>
      </c>
      <c r="C5" s="3" t="s">
        <v>53</v>
      </c>
      <c r="D5" s="3" t="s">
        <v>133</v>
      </c>
      <c r="E5" s="3" t="s">
        <v>131</v>
      </c>
      <c r="F5" s="3" t="s">
        <v>214</v>
      </c>
      <c r="G5" s="3" t="s">
        <v>130</v>
      </c>
      <c r="H5" s="3" t="s">
        <v>136</v>
      </c>
    </row>
    <row r="6" spans="1:8" x14ac:dyDescent="0.3">
      <c r="A6" s="25" t="s">
        <v>248</v>
      </c>
      <c r="B6" s="25" t="s">
        <v>245</v>
      </c>
      <c r="C6" s="25" t="s">
        <v>50</v>
      </c>
      <c r="D6" s="25" t="s">
        <v>133</v>
      </c>
      <c r="E6" s="25" t="s">
        <v>139</v>
      </c>
      <c r="F6" s="25" t="s">
        <v>246</v>
      </c>
      <c r="G6" s="25" t="s">
        <v>132</v>
      </c>
      <c r="H6" s="25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1_Instruções</vt:lpstr>
      <vt:lpstr>2_Processos_Fluxos</vt:lpstr>
      <vt:lpstr>3_Tickets_Solicitacoes</vt:lpstr>
      <vt:lpstr>4_Integracoes_Tecnicas</vt:lpstr>
      <vt:lpstr>5_Infraestrutura_Tech</vt:lpstr>
      <vt:lpstr>6_Equipe_CS</vt:lpstr>
      <vt:lpstr>7_Metricas_Performance</vt:lpstr>
      <vt:lpstr>8_Orcamento_Recursos</vt:lpstr>
      <vt:lpstr>9_Oportunidades_Gaps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TROCAUSER</cp:lastModifiedBy>
  <dcterms:created xsi:type="dcterms:W3CDTF">2025-06-30T12:22:59Z</dcterms:created>
  <dcterms:modified xsi:type="dcterms:W3CDTF">2025-08-14T21:03:08Z</dcterms:modified>
</cp:coreProperties>
</file>