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ROCAUSER\Documents\"/>
    </mc:Choice>
  </mc:AlternateContent>
  <xr:revisionPtr revIDLastSave="0" documentId="8_{62AD24C4-3907-46EE-848B-2BAF6A391F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inel SAC 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zMMe3Je5Tcw6kmFSzGgR6+syQiw=="/>
    </ext>
  </extLst>
</workbook>
</file>

<file path=xl/calcChain.xml><?xml version="1.0" encoding="utf-8"?>
<calcChain xmlns="http://schemas.openxmlformats.org/spreadsheetml/2006/main">
  <c r="FP304" i="1" l="1"/>
  <c r="FP376" i="1"/>
  <c r="FP398" i="1"/>
  <c r="FP381" i="1"/>
  <c r="FN390" i="1"/>
  <c r="FP390" i="1"/>
  <c r="FN30" i="1"/>
  <c r="FP332" i="1" l="1"/>
  <c r="FP339" i="1"/>
  <c r="FQ351" i="1"/>
  <c r="FP316" i="1"/>
  <c r="FP321" i="1"/>
  <c r="FP310" i="1"/>
  <c r="FP293" i="1"/>
  <c r="FP237" i="1"/>
  <c r="FN213" i="1"/>
  <c r="FP213" i="1"/>
  <c r="FP215" i="1"/>
  <c r="FQ193" i="1"/>
  <c r="FQ184" i="1"/>
  <c r="FO184" i="1"/>
  <c r="FQ143" i="1"/>
  <c r="FP126" i="1" l="1"/>
  <c r="FQ131" i="1" s="1"/>
  <c r="FP17" i="1"/>
  <c r="FQ404" i="1"/>
  <c r="FQ405" i="1"/>
  <c r="FQ394" i="1"/>
  <c r="FQ393" i="1"/>
  <c r="FQ392" i="1"/>
  <c r="FQ391" i="1"/>
  <c r="FQ385" i="1"/>
  <c r="FQ384" i="1"/>
  <c r="FQ383" i="1"/>
  <c r="FQ382" i="1"/>
  <c r="FP364" i="1"/>
  <c r="FP357" i="1"/>
  <c r="FP350" i="1"/>
  <c r="FP346" i="1"/>
  <c r="FQ344" i="1"/>
  <c r="FP336" i="1"/>
  <c r="FQ337" i="1" s="1"/>
  <c r="FP331" i="1"/>
  <c r="FP325" i="1"/>
  <c r="FP320" i="1"/>
  <c r="FP315" i="1"/>
  <c r="FP308" i="1"/>
  <c r="FP303" i="1"/>
  <c r="FP295" i="1"/>
  <c r="FQ282" i="1"/>
  <c r="FP280" i="1"/>
  <c r="FQ285" i="1" s="1"/>
  <c r="FQ275" i="1"/>
  <c r="FQ274" i="1"/>
  <c r="FQ273" i="1"/>
  <c r="FQ272" i="1"/>
  <c r="FP271" i="1"/>
  <c r="FP270" i="1"/>
  <c r="FQ266" i="1"/>
  <c r="FP263" i="1"/>
  <c r="FP259" i="1"/>
  <c r="FP256" i="1"/>
  <c r="FP249" i="1"/>
  <c r="FP73" i="1" s="1"/>
  <c r="FP242" i="1"/>
  <c r="FP241" i="1"/>
  <c r="FP240" i="1"/>
  <c r="FP239" i="1"/>
  <c r="FP231" i="1"/>
  <c r="FP230" i="1"/>
  <c r="FP229" i="1"/>
  <c r="FP226" i="1"/>
  <c r="FQ215" i="1"/>
  <c r="FP209" i="1"/>
  <c r="FP204" i="1"/>
  <c r="FP201" i="1" s="1"/>
  <c r="FP200" i="1" s="1"/>
  <c r="FP203" i="1"/>
  <c r="FP202" i="1"/>
  <c r="FQ201" i="1"/>
  <c r="FQ196" i="1"/>
  <c r="FQ195" i="1"/>
  <c r="FQ194" i="1"/>
  <c r="FQ187" i="1"/>
  <c r="FQ186" i="1"/>
  <c r="FQ185" i="1"/>
  <c r="FQ162" i="1"/>
  <c r="FP137" i="1" s="1"/>
  <c r="FQ156" i="1"/>
  <c r="FQ150" i="1"/>
  <c r="FP138" i="1"/>
  <c r="FP115" i="1"/>
  <c r="FQ120" i="1" s="1"/>
  <c r="FP107" i="1"/>
  <c r="FP101" i="1"/>
  <c r="FP89" i="1"/>
  <c r="FP251" i="1" s="1"/>
  <c r="FP76" i="1"/>
  <c r="FQ85" i="1" s="1"/>
  <c r="FP75" i="1"/>
  <c r="FP65" i="1"/>
  <c r="FP252" i="1" s="1"/>
  <c r="FP63" i="1"/>
  <c r="FP49" i="1"/>
  <c r="FP47" i="1"/>
  <c r="FP46" i="1" s="1"/>
  <c r="FP45" i="1" s="1"/>
  <c r="FQ38" i="1"/>
  <c r="FP38" i="1"/>
  <c r="FP37" i="1" s="1"/>
  <c r="FQ31" i="1"/>
  <c r="FP31" i="1"/>
  <c r="FP30" i="1" s="1"/>
  <c r="FQ25" i="1"/>
  <c r="FP25" i="1"/>
  <c r="FP24" i="1" s="1"/>
  <c r="FQ17" i="1"/>
  <c r="I33" i="1"/>
  <c r="FF256" i="1"/>
  <c r="FN256" i="1"/>
  <c r="FN237" i="1"/>
  <c r="FM25" i="1"/>
  <c r="FN31" i="1"/>
  <c r="EX89" i="1"/>
  <c r="EV89" i="1"/>
  <c r="ET89" i="1"/>
  <c r="FF76" i="1"/>
  <c r="FH76" i="1"/>
  <c r="FJ76" i="1"/>
  <c r="FN76" i="1"/>
  <c r="FL76" i="1"/>
  <c r="FN65" i="1"/>
  <c r="FN252" i="1" s="1"/>
  <c r="FL65" i="1"/>
  <c r="FL252" i="1" s="1"/>
  <c r="FN17" i="1"/>
  <c r="FN89" i="1"/>
  <c r="FL89" i="1"/>
  <c r="FJ89" i="1"/>
  <c r="FH89" i="1"/>
  <c r="FF89" i="1"/>
  <c r="FN332" i="1"/>
  <c r="FN331" i="1" s="1"/>
  <c r="FN357" i="1"/>
  <c r="FL357" i="1"/>
  <c r="FN326" i="1"/>
  <c r="FL326" i="1"/>
  <c r="FJ326" i="1"/>
  <c r="FH326" i="1"/>
  <c r="FF326" i="1"/>
  <c r="FD326" i="1"/>
  <c r="FB326" i="1"/>
  <c r="FN259" i="1"/>
  <c r="FO193" i="1"/>
  <c r="FO185" i="1"/>
  <c r="FL184" i="1"/>
  <c r="FM184" i="1" s="1"/>
  <c r="FH184" i="1"/>
  <c r="FI184" i="1" s="1"/>
  <c r="FN376" i="1"/>
  <c r="FN339" i="1"/>
  <c r="FQ14" i="1" l="1"/>
  <c r="FQ390" i="1"/>
  <c r="FQ381" i="1"/>
  <c r="FQ403" i="1"/>
  <c r="FQ286" i="1"/>
  <c r="FP279" i="1"/>
  <c r="FQ281" i="1"/>
  <c r="FQ284" i="1"/>
  <c r="FP294" i="1"/>
  <c r="FP224" i="1"/>
  <c r="FP71" i="1" s="1"/>
  <c r="FP70" i="1" s="1"/>
  <c r="FQ117" i="1"/>
  <c r="FQ118" i="1"/>
  <c r="FQ119" i="1"/>
  <c r="FQ129" i="1"/>
  <c r="FQ89" i="1"/>
  <c r="FQ78" i="1"/>
  <c r="FQ84" i="1"/>
  <c r="FQ86" i="1"/>
  <c r="FQ91" i="1"/>
  <c r="FQ82" i="1"/>
  <c r="FP250" i="1"/>
  <c r="FP248" i="1" s="1"/>
  <c r="FQ13" i="1"/>
  <c r="FQ12" i="1" s="1"/>
  <c r="FP13" i="1"/>
  <c r="FP16" i="1"/>
  <c r="FP232" i="1"/>
  <c r="FP225" i="1" s="1"/>
  <c r="FP243" i="1"/>
  <c r="FP14" i="1"/>
  <c r="FQ79" i="1"/>
  <c r="FQ87" i="1"/>
  <c r="FP74" i="1"/>
  <c r="FQ80" i="1"/>
  <c r="FQ88" i="1"/>
  <c r="FQ127" i="1"/>
  <c r="FP244" i="1"/>
  <c r="FQ81" i="1"/>
  <c r="FQ116" i="1"/>
  <c r="FQ128" i="1"/>
  <c r="FQ287" i="1"/>
  <c r="FQ401" i="1"/>
  <c r="FQ83" i="1"/>
  <c r="FQ90" i="1"/>
  <c r="FQ130" i="1"/>
  <c r="FQ402" i="1"/>
  <c r="FQ283" i="1"/>
  <c r="FL244" i="1"/>
  <c r="FN232" i="1"/>
  <c r="FN243" i="1"/>
  <c r="FN244" i="1"/>
  <c r="FN308" i="1"/>
  <c r="FL308" i="1"/>
  <c r="FN263" i="1"/>
  <c r="FL263" i="1"/>
  <c r="FP296" i="1" l="1"/>
  <c r="FP291" i="1"/>
  <c r="FP12" i="1"/>
  <c r="FP11" i="1" s="1"/>
  <c r="FP297" i="1"/>
  <c r="FP299" i="1"/>
  <c r="FP292" i="1"/>
  <c r="FP298" i="1"/>
  <c r="FP223" i="1"/>
  <c r="FP69" i="1"/>
  <c r="FQ115" i="1"/>
  <c r="FP238" i="1"/>
  <c r="FP236" i="1" s="1"/>
  <c r="FQ280" i="1"/>
  <c r="FQ76" i="1"/>
  <c r="FQ75" i="1"/>
  <c r="FQ400" i="1"/>
  <c r="FQ126" i="1"/>
  <c r="EV308" i="1"/>
  <c r="FN280" i="1"/>
  <c r="FN224" i="1" s="1"/>
  <c r="FN215" i="1"/>
  <c r="FN400" i="1"/>
  <c r="FN249" i="1" s="1"/>
  <c r="ET242" i="1"/>
  <c r="ET241" i="1"/>
  <c r="ET240" i="1"/>
  <c r="FN240" i="1"/>
  <c r="FL240" i="1"/>
  <c r="FJ240" i="1"/>
  <c r="FH240" i="1"/>
  <c r="FF240" i="1"/>
  <c r="FD240" i="1"/>
  <c r="FB240" i="1"/>
  <c r="EZ240" i="1"/>
  <c r="EX240" i="1"/>
  <c r="EV240" i="1"/>
  <c r="FL230" i="1"/>
  <c r="FN230" i="1"/>
  <c r="FO215" i="1"/>
  <c r="FM215" i="1"/>
  <c r="FL215" i="1"/>
  <c r="FJ215" i="1"/>
  <c r="FK215" i="1"/>
  <c r="FI215" i="1"/>
  <c r="FH215" i="1"/>
  <c r="FG215" i="1"/>
  <c r="FF215" i="1"/>
  <c r="FE215" i="1"/>
  <c r="FD215" i="1"/>
  <c r="FC215" i="1"/>
  <c r="FB215" i="1"/>
  <c r="FA215" i="1"/>
  <c r="EZ215" i="1"/>
  <c r="EY215" i="1"/>
  <c r="EX215" i="1"/>
  <c r="EW215" i="1"/>
  <c r="EV215" i="1"/>
  <c r="EU215" i="1"/>
  <c r="EU219" i="1" s="1"/>
  <c r="BH215" i="1"/>
  <c r="FN126" i="1"/>
  <c r="FO131" i="1" s="1"/>
  <c r="FN138" i="1"/>
  <c r="FO143" i="1"/>
  <c r="FN47" i="1"/>
  <c r="FN46" i="1" s="1"/>
  <c r="FN45" i="1" s="1"/>
  <c r="FO25" i="1"/>
  <c r="FO394" i="1"/>
  <c r="FO393" i="1"/>
  <c r="FO392" i="1"/>
  <c r="FO391" i="1"/>
  <c r="FO385" i="1"/>
  <c r="FO384" i="1"/>
  <c r="FO383" i="1"/>
  <c r="FO382" i="1"/>
  <c r="FN364" i="1"/>
  <c r="FN350" i="1"/>
  <c r="FO351" i="1" s="1"/>
  <c r="FN346" i="1"/>
  <c r="FO344" i="1"/>
  <c r="FN336" i="1"/>
  <c r="FN325" i="1"/>
  <c r="FN320" i="1"/>
  <c r="FN315" i="1"/>
  <c r="FN303" i="1"/>
  <c r="FN295" i="1"/>
  <c r="FO282" i="1"/>
  <c r="FO275" i="1"/>
  <c r="FO274" i="1"/>
  <c r="FO273" i="1"/>
  <c r="FO272" i="1"/>
  <c r="FN271" i="1"/>
  <c r="FN270" i="1" s="1"/>
  <c r="FO266" i="1"/>
  <c r="FN251" i="1"/>
  <c r="FN250" i="1" s="1"/>
  <c r="FN242" i="1"/>
  <c r="FN241" i="1"/>
  <c r="FN239" i="1"/>
  <c r="FN231" i="1"/>
  <c r="FN229" i="1"/>
  <c r="FN226" i="1"/>
  <c r="FN209" i="1"/>
  <c r="FN204" i="1"/>
  <c r="FN201" i="1" s="1"/>
  <c r="FN200" i="1" s="1"/>
  <c r="FN203" i="1"/>
  <c r="FN202" i="1"/>
  <c r="FO201" i="1"/>
  <c r="FO194" i="1"/>
  <c r="FO187" i="1"/>
  <c r="FO162" i="1"/>
  <c r="FO156" i="1"/>
  <c r="FO150" i="1"/>
  <c r="FN115" i="1"/>
  <c r="FO117" i="1" s="1"/>
  <c r="FN107" i="1"/>
  <c r="FN101" i="1"/>
  <c r="FO90" i="1"/>
  <c r="FN75" i="1"/>
  <c r="FN63" i="1"/>
  <c r="FN49" i="1"/>
  <c r="FO38" i="1"/>
  <c r="FN38" i="1"/>
  <c r="FO31" i="1"/>
  <c r="FN25" i="1"/>
  <c r="FN24" i="1" s="1"/>
  <c r="FO17" i="1"/>
  <c r="FL243" i="1"/>
  <c r="FL193" i="1"/>
  <c r="EW219" i="1" l="1"/>
  <c r="EY219" i="1" s="1"/>
  <c r="FA219" i="1" s="1"/>
  <c r="FC219" i="1" s="1"/>
  <c r="FE219" i="1" s="1"/>
  <c r="FN137" i="1"/>
  <c r="FN248" i="1"/>
  <c r="FN294" i="1"/>
  <c r="FN293" i="1"/>
  <c r="FN292" i="1" s="1"/>
  <c r="FN14" i="1"/>
  <c r="FN279" i="1"/>
  <c r="FN225" i="1"/>
  <c r="FN223" i="1" s="1"/>
  <c r="FO13" i="1"/>
  <c r="FO403" i="1"/>
  <c r="FN398" i="1"/>
  <c r="FO14" i="1"/>
  <c r="FO381" i="1"/>
  <c r="FO405" i="1"/>
  <c r="FO390" i="1"/>
  <c r="FN37" i="1"/>
  <c r="FN13" i="1"/>
  <c r="FO337" i="1"/>
  <c r="FN71" i="1"/>
  <c r="FO118" i="1"/>
  <c r="FO119" i="1"/>
  <c r="FN145" i="1"/>
  <c r="FO116" i="1"/>
  <c r="FO129" i="1"/>
  <c r="FO130" i="1"/>
  <c r="FO128" i="1"/>
  <c r="FO401" i="1"/>
  <c r="FO404" i="1"/>
  <c r="FO80" i="1"/>
  <c r="FO81" i="1"/>
  <c r="FO88" i="1"/>
  <c r="FN74" i="1"/>
  <c r="FN16" i="1"/>
  <c r="FO84" i="1"/>
  <c r="FO120" i="1"/>
  <c r="FO196" i="1"/>
  <c r="FO91" i="1"/>
  <c r="FO195" i="1"/>
  <c r="FO85" i="1"/>
  <c r="FO402" i="1"/>
  <c r="FO83" i="1"/>
  <c r="FO78" i="1"/>
  <c r="FO86" i="1"/>
  <c r="FO186" i="1"/>
  <c r="FO79" i="1"/>
  <c r="FO87" i="1"/>
  <c r="FO127" i="1"/>
  <c r="FO89" i="1"/>
  <c r="FO82" i="1"/>
  <c r="FN73" i="1"/>
  <c r="FL287" i="1"/>
  <c r="FO12" i="1" l="1"/>
  <c r="FN12" i="1"/>
  <c r="FN11" i="1" s="1"/>
  <c r="FN70" i="1"/>
  <c r="FN69" i="1" s="1"/>
  <c r="FN291" i="1"/>
  <c r="FN297" i="1"/>
  <c r="FN296" i="1"/>
  <c r="FN238" i="1"/>
  <c r="FN236" i="1" s="1"/>
  <c r="FO115" i="1"/>
  <c r="FO126" i="1"/>
  <c r="FO400" i="1"/>
  <c r="FO75" i="1"/>
  <c r="FO76" i="1"/>
  <c r="FO281" i="1"/>
  <c r="FO286" i="1"/>
  <c r="FO284" i="1"/>
  <c r="FO285" i="1"/>
  <c r="FN298" i="1"/>
  <c r="FO283" i="1"/>
  <c r="FO287" i="1"/>
  <c r="FJ403" i="1"/>
  <c r="FJ400" i="1" s="1"/>
  <c r="FK394" i="1"/>
  <c r="FK393" i="1"/>
  <c r="FK392" i="1"/>
  <c r="FK391" i="1"/>
  <c r="FK385" i="1"/>
  <c r="FK384" i="1"/>
  <c r="FK383" i="1"/>
  <c r="FK382" i="1"/>
  <c r="FJ376" i="1"/>
  <c r="FJ367" i="1"/>
  <c r="FJ364" i="1"/>
  <c r="FJ360" i="1"/>
  <c r="FJ357" i="1"/>
  <c r="FJ353" i="1"/>
  <c r="FJ350" i="1"/>
  <c r="FK351" i="1" s="1"/>
  <c r="FJ346" i="1"/>
  <c r="FK344" i="1"/>
  <c r="FJ339" i="1"/>
  <c r="FJ336" i="1"/>
  <c r="FK337" i="1" s="1"/>
  <c r="FJ332" i="1"/>
  <c r="FJ325" i="1"/>
  <c r="FJ320" i="1"/>
  <c r="FJ315" i="1"/>
  <c r="FJ308" i="1"/>
  <c r="FJ303" i="1"/>
  <c r="FJ295" i="1"/>
  <c r="FJ287" i="1"/>
  <c r="FJ280" i="1" s="1"/>
  <c r="FK282" i="1"/>
  <c r="FK275" i="1"/>
  <c r="FK274" i="1"/>
  <c r="FK273" i="1"/>
  <c r="FK272" i="1"/>
  <c r="FJ271" i="1"/>
  <c r="FJ270" i="1" s="1"/>
  <c r="FK266" i="1"/>
  <c r="FJ263" i="1"/>
  <c r="FJ256" i="1"/>
  <c r="FJ251" i="1"/>
  <c r="FJ242" i="1"/>
  <c r="FJ241" i="1"/>
  <c r="FJ239" i="1"/>
  <c r="FJ237" i="1"/>
  <c r="FJ231" i="1"/>
  <c r="FJ230" i="1"/>
  <c r="FJ229" i="1"/>
  <c r="FJ226" i="1"/>
  <c r="FJ213" i="1"/>
  <c r="FJ209" i="1"/>
  <c r="FJ204" i="1"/>
  <c r="FJ201" i="1" s="1"/>
  <c r="FJ200" i="1" s="1"/>
  <c r="FJ203" i="1"/>
  <c r="FJ202" i="1"/>
  <c r="FK201" i="1"/>
  <c r="FJ193" i="1"/>
  <c r="FK194" i="1" s="1"/>
  <c r="FJ184" i="1"/>
  <c r="FK187" i="1" s="1"/>
  <c r="FK162" i="1"/>
  <c r="FK156" i="1"/>
  <c r="FK150" i="1"/>
  <c r="FK143" i="1"/>
  <c r="FJ138" i="1"/>
  <c r="FJ126" i="1"/>
  <c r="FK130" i="1" s="1"/>
  <c r="FJ115" i="1"/>
  <c r="FK118" i="1" s="1"/>
  <c r="FJ107" i="1"/>
  <c r="FJ101" i="1"/>
  <c r="FK90" i="1"/>
  <c r="FJ75" i="1"/>
  <c r="FJ65" i="1"/>
  <c r="FJ244" i="1" s="1"/>
  <c r="FJ63" i="1"/>
  <c r="FJ49" i="1"/>
  <c r="FJ47" i="1"/>
  <c r="FJ46" i="1" s="1"/>
  <c r="FJ45" i="1" s="1"/>
  <c r="FK38" i="1"/>
  <c r="FJ38" i="1"/>
  <c r="FJ37" i="1" s="1"/>
  <c r="FK31" i="1"/>
  <c r="FJ31" i="1"/>
  <c r="FJ30" i="1" s="1"/>
  <c r="FK25" i="1"/>
  <c r="FJ25" i="1"/>
  <c r="FJ24" i="1" s="1"/>
  <c r="FK17" i="1"/>
  <c r="FJ17" i="1"/>
  <c r="FJ16" i="1" s="1"/>
  <c r="FB31" i="1"/>
  <c r="DQ213" i="1"/>
  <c r="DS213" i="1"/>
  <c r="EN213" i="1"/>
  <c r="FL213" i="1"/>
  <c r="FH213" i="1"/>
  <c r="FF213" i="1"/>
  <c r="FD213" i="1"/>
  <c r="FB213" i="1"/>
  <c r="EZ213" i="1"/>
  <c r="ET215" i="1"/>
  <c r="FJ137" i="1" l="1"/>
  <c r="FK13" i="1"/>
  <c r="FK119" i="1"/>
  <c r="FK120" i="1"/>
  <c r="FO280" i="1"/>
  <c r="FG219" i="1"/>
  <c r="FI219" i="1" s="1"/>
  <c r="FK219" i="1" s="1"/>
  <c r="FM219" i="1" s="1"/>
  <c r="FO219" i="1" s="1"/>
  <c r="FQ219" i="1" s="1"/>
  <c r="FN299" i="1"/>
  <c r="FK116" i="1"/>
  <c r="FK117" i="1"/>
  <c r="FK283" i="1"/>
  <c r="FJ293" i="1"/>
  <c r="FK127" i="1"/>
  <c r="FK390" i="1"/>
  <c r="FK14" i="1"/>
  <c r="FK131" i="1"/>
  <c r="FK381" i="1"/>
  <c r="FJ294" i="1"/>
  <c r="FJ291" i="1" s="1"/>
  <c r="FK281" i="1"/>
  <c r="FK286" i="1"/>
  <c r="FJ224" i="1"/>
  <c r="FJ71" i="1" s="1"/>
  <c r="FK405" i="1"/>
  <c r="FJ249" i="1"/>
  <c r="FJ73" i="1" s="1"/>
  <c r="FJ398" i="1"/>
  <c r="FK193" i="1"/>
  <c r="FK129" i="1"/>
  <c r="FJ279" i="1"/>
  <c r="FK195" i="1"/>
  <c r="FJ13" i="1"/>
  <c r="FK287" i="1"/>
  <c r="FK403" i="1"/>
  <c r="FJ145" i="1"/>
  <c r="FK196" i="1"/>
  <c r="FK284" i="1"/>
  <c r="FJ14" i="1"/>
  <c r="FK285" i="1"/>
  <c r="FJ331" i="1"/>
  <c r="FK401" i="1"/>
  <c r="FK91" i="1"/>
  <c r="FK85" i="1"/>
  <c r="FK185" i="1"/>
  <c r="FJ252" i="1"/>
  <c r="FJ250" i="1" s="1"/>
  <c r="FK78" i="1"/>
  <c r="FK86" i="1"/>
  <c r="FK186" i="1"/>
  <c r="FK402" i="1"/>
  <c r="FK79" i="1"/>
  <c r="FJ243" i="1"/>
  <c r="FJ238" i="1" s="1"/>
  <c r="FJ236" i="1" s="1"/>
  <c r="FJ74" i="1"/>
  <c r="FK80" i="1"/>
  <c r="FK88" i="1"/>
  <c r="FK128" i="1"/>
  <c r="FJ232" i="1"/>
  <c r="FJ225" i="1" s="1"/>
  <c r="FJ223" i="1" s="1"/>
  <c r="FK84" i="1"/>
  <c r="FK81" i="1"/>
  <c r="FK404" i="1"/>
  <c r="FK83" i="1"/>
  <c r="FK184" i="1"/>
  <c r="FK87" i="1"/>
  <c r="FK89" i="1"/>
  <c r="FJ298" i="1"/>
  <c r="FK82" i="1"/>
  <c r="FB308" i="1"/>
  <c r="FH320" i="1"/>
  <c r="FK115" i="1" l="1"/>
  <c r="FJ12" i="1"/>
  <c r="FJ11" i="1" s="1"/>
  <c r="FK12" i="1"/>
  <c r="FJ70" i="1"/>
  <c r="FJ69" i="1" s="1"/>
  <c r="FJ297" i="1"/>
  <c r="FK126" i="1"/>
  <c r="FJ299" i="1"/>
  <c r="FJ292" i="1"/>
  <c r="FK280" i="1"/>
  <c r="FJ296" i="1"/>
  <c r="FJ248" i="1"/>
  <c r="FK400" i="1"/>
  <c r="FK75" i="1"/>
  <c r="FK76" i="1"/>
  <c r="FM193" i="1"/>
  <c r="FL403" i="1"/>
  <c r="FL400" i="1" s="1"/>
  <c r="FM394" i="1"/>
  <c r="FM393" i="1"/>
  <c r="FM392" i="1"/>
  <c r="FM391" i="1"/>
  <c r="FM385" i="1"/>
  <c r="FM384" i="1"/>
  <c r="FM383" i="1"/>
  <c r="FM382" i="1"/>
  <c r="FL376" i="1"/>
  <c r="FL367" i="1"/>
  <c r="FL364" i="1"/>
  <c r="FL360" i="1"/>
  <c r="FL353" i="1"/>
  <c r="FL350" i="1"/>
  <c r="FM351" i="1" s="1"/>
  <c r="FL346" i="1"/>
  <c r="FM344" i="1"/>
  <c r="FL339" i="1"/>
  <c r="FL336" i="1"/>
  <c r="FM337" i="1" s="1"/>
  <c r="FL332" i="1"/>
  <c r="FL325" i="1"/>
  <c r="FL320" i="1"/>
  <c r="FL315" i="1"/>
  <c r="FL280" i="1"/>
  <c r="FM281" i="1" s="1"/>
  <c r="FM282" i="1"/>
  <c r="FM275" i="1"/>
  <c r="FM274" i="1"/>
  <c r="FM273" i="1"/>
  <c r="FM272" i="1"/>
  <c r="FL271" i="1"/>
  <c r="FL270" i="1" s="1"/>
  <c r="FM266" i="1"/>
  <c r="FL256" i="1"/>
  <c r="FL251" i="1"/>
  <c r="FL242" i="1"/>
  <c r="FL241" i="1"/>
  <c r="FL239" i="1"/>
  <c r="FL237" i="1"/>
  <c r="FL231" i="1"/>
  <c r="FL229" i="1"/>
  <c r="FL226" i="1"/>
  <c r="FL209" i="1"/>
  <c r="FL204" i="1"/>
  <c r="FL201" i="1" s="1"/>
  <c r="FL200" i="1" s="1"/>
  <c r="FL203" i="1"/>
  <c r="FL202" i="1"/>
  <c r="FM201" i="1"/>
  <c r="FM186" i="1"/>
  <c r="FM185" i="1"/>
  <c r="FM162" i="1"/>
  <c r="FM156" i="1"/>
  <c r="FM150" i="1"/>
  <c r="FM143" i="1"/>
  <c r="FL138" i="1"/>
  <c r="FL126" i="1"/>
  <c r="FM131" i="1" s="1"/>
  <c r="FL115" i="1"/>
  <c r="FM120" i="1" s="1"/>
  <c r="FL107" i="1"/>
  <c r="FL101" i="1"/>
  <c r="FM84" i="1"/>
  <c r="FL75" i="1"/>
  <c r="FL63" i="1"/>
  <c r="FL49" i="1"/>
  <c r="FL47" i="1"/>
  <c r="FL46" i="1" s="1"/>
  <c r="FL45" i="1" s="1"/>
  <c r="FM38" i="1"/>
  <c r="FL38" i="1"/>
  <c r="FL37" i="1" s="1"/>
  <c r="FM31" i="1"/>
  <c r="FL31" i="1"/>
  <c r="FL30" i="1" s="1"/>
  <c r="FL25" i="1"/>
  <c r="FL24" i="1" s="1"/>
  <c r="FM17" i="1"/>
  <c r="FL17" i="1"/>
  <c r="FL16" i="1" s="1"/>
  <c r="FL331" i="1" l="1"/>
  <c r="FM78" i="1"/>
  <c r="FM85" i="1"/>
  <c r="FM390" i="1"/>
  <c r="FM196" i="1"/>
  <c r="FM195" i="1"/>
  <c r="FL137" i="1"/>
  <c r="FM13" i="1"/>
  <c r="FM86" i="1"/>
  <c r="FM381" i="1"/>
  <c r="FL14" i="1"/>
  <c r="FM283" i="1"/>
  <c r="FM285" i="1"/>
  <c r="FL224" i="1"/>
  <c r="FL71" i="1" s="1"/>
  <c r="FM287" i="1"/>
  <c r="FL293" i="1"/>
  <c r="FL299" i="1" s="1"/>
  <c r="FM14" i="1"/>
  <c r="FL13" i="1"/>
  <c r="FL303" i="1"/>
  <c r="FM79" i="1"/>
  <c r="FM87" i="1"/>
  <c r="FM127" i="1"/>
  <c r="FL145" i="1"/>
  <c r="FM187" i="1"/>
  <c r="FL250" i="1"/>
  <c r="FM284" i="1"/>
  <c r="FL294" i="1"/>
  <c r="FL296" i="1" s="1"/>
  <c r="FM81" i="1"/>
  <c r="FM89" i="1"/>
  <c r="FM117" i="1"/>
  <c r="FM129" i="1"/>
  <c r="FL238" i="1"/>
  <c r="FL236" i="1" s="1"/>
  <c r="FL279" i="1"/>
  <c r="FM286" i="1"/>
  <c r="FL74" i="1"/>
  <c r="FM76" i="1" s="1"/>
  <c r="FM80" i="1"/>
  <c r="FM88" i="1"/>
  <c r="FM116" i="1"/>
  <c r="FM128" i="1"/>
  <c r="FL295" i="1"/>
  <c r="FM82" i="1"/>
  <c r="FM90" i="1"/>
  <c r="FM118" i="1"/>
  <c r="FM130" i="1"/>
  <c r="FM194" i="1"/>
  <c r="FL232" i="1"/>
  <c r="FL225" i="1" s="1"/>
  <c r="FM83" i="1"/>
  <c r="FM91" i="1"/>
  <c r="FM119" i="1"/>
  <c r="FH193" i="1"/>
  <c r="FM403" i="1" l="1"/>
  <c r="FL249" i="1"/>
  <c r="FL73" i="1" s="1"/>
  <c r="FL70" i="1" s="1"/>
  <c r="FL69" i="1" s="1"/>
  <c r="FM12" i="1"/>
  <c r="FL12" i="1"/>
  <c r="FL11" i="1" s="1"/>
  <c r="FL223" i="1"/>
  <c r="FM280" i="1"/>
  <c r="FL298" i="1"/>
  <c r="FL292" i="1"/>
  <c r="FM405" i="1"/>
  <c r="FL398" i="1"/>
  <c r="FM404" i="1"/>
  <c r="FM402" i="1"/>
  <c r="FM401" i="1"/>
  <c r="FM126" i="1"/>
  <c r="FL291" i="1"/>
  <c r="FL297" i="1"/>
  <c r="FM115" i="1"/>
  <c r="FM75" i="1"/>
  <c r="FH4" i="1"/>
  <c r="FH303" i="1" s="1"/>
  <c r="FH325" i="1"/>
  <c r="FH403" i="1"/>
  <c r="FH400" i="1" s="1"/>
  <c r="FI394" i="1"/>
  <c r="FI393" i="1"/>
  <c r="FI392" i="1"/>
  <c r="FI391" i="1"/>
  <c r="FI385" i="1"/>
  <c r="FI384" i="1"/>
  <c r="FI383" i="1"/>
  <c r="FI382" i="1"/>
  <c r="FH376" i="1"/>
  <c r="FH367" i="1"/>
  <c r="FH364" i="1"/>
  <c r="FH360" i="1"/>
  <c r="FH357" i="1"/>
  <c r="FH353" i="1"/>
  <c r="FH350" i="1"/>
  <c r="FI351" i="1" s="1"/>
  <c r="FH346" i="1"/>
  <c r="FI344" i="1"/>
  <c r="FH339" i="1"/>
  <c r="FH336" i="1"/>
  <c r="FI337" i="1" s="1"/>
  <c r="FH332" i="1"/>
  <c r="FH315" i="1"/>
  <c r="FH308" i="1"/>
  <c r="FH287" i="1"/>
  <c r="FI282" i="1"/>
  <c r="FI275" i="1"/>
  <c r="FI274" i="1"/>
  <c r="FI273" i="1"/>
  <c r="FI272" i="1"/>
  <c r="FH271" i="1"/>
  <c r="FI266" i="1"/>
  <c r="FH263" i="1"/>
  <c r="FH256" i="1"/>
  <c r="FH251" i="1"/>
  <c r="FH242" i="1"/>
  <c r="FH241" i="1"/>
  <c r="FH239" i="1"/>
  <c r="FH237" i="1"/>
  <c r="FH231" i="1"/>
  <c r="FH230" i="1"/>
  <c r="FH229" i="1"/>
  <c r="FH228" i="1"/>
  <c r="FH227" i="1"/>
  <c r="FH226" i="1"/>
  <c r="FH209" i="1"/>
  <c r="FH204" i="1"/>
  <c r="FH201" i="1" s="1"/>
  <c r="FH200" i="1" s="1"/>
  <c r="FH203" i="1"/>
  <c r="FH202" i="1"/>
  <c r="FI201" i="1"/>
  <c r="FI196" i="1"/>
  <c r="FI195" i="1"/>
  <c r="FI187" i="1"/>
  <c r="FI186" i="1"/>
  <c r="FI185" i="1"/>
  <c r="FI162" i="1"/>
  <c r="FI156" i="1"/>
  <c r="FI150" i="1"/>
  <c r="FI143" i="1"/>
  <c r="FH138" i="1"/>
  <c r="FH126" i="1"/>
  <c r="FI131" i="1" s="1"/>
  <c r="FH115" i="1"/>
  <c r="FI119" i="1" s="1"/>
  <c r="FH107" i="1"/>
  <c r="FH101" i="1"/>
  <c r="FI91" i="1"/>
  <c r="FH75" i="1"/>
  <c r="FH65" i="1"/>
  <c r="FH244" i="1" s="1"/>
  <c r="FH63" i="1"/>
  <c r="FH49" i="1"/>
  <c r="FH47" i="1"/>
  <c r="FH46" i="1" s="1"/>
  <c r="FH45" i="1" s="1"/>
  <c r="FI38" i="1"/>
  <c r="FH38" i="1"/>
  <c r="FH37" i="1" s="1"/>
  <c r="FI31" i="1"/>
  <c r="FH31" i="1"/>
  <c r="FH30" i="1" s="1"/>
  <c r="FI25" i="1"/>
  <c r="FH25" i="1"/>
  <c r="FH24" i="1" s="1"/>
  <c r="FI17" i="1"/>
  <c r="FH17" i="1"/>
  <c r="FG91" i="1"/>
  <c r="FF403" i="1"/>
  <c r="FB263" i="1"/>
  <c r="EZ263" i="1"/>
  <c r="EV237" i="1"/>
  <c r="FL248" i="1" l="1"/>
  <c r="FH243" i="1"/>
  <c r="FH238" i="1" s="1"/>
  <c r="FH236" i="1" s="1"/>
  <c r="FH252" i="1"/>
  <c r="FH250" i="1" s="1"/>
  <c r="FH295" i="1"/>
  <c r="FH13" i="1"/>
  <c r="FH270" i="1"/>
  <c r="FM400" i="1"/>
  <c r="FI13" i="1"/>
  <c r="FI390" i="1"/>
  <c r="FI381" i="1"/>
  <c r="FI78" i="1"/>
  <c r="FI88" i="1"/>
  <c r="FI80" i="1"/>
  <c r="FI81" i="1"/>
  <c r="FI89" i="1"/>
  <c r="FH74" i="1"/>
  <c r="FI75" i="1" s="1"/>
  <c r="FI86" i="1"/>
  <c r="FI79" i="1"/>
  <c r="FI87" i="1"/>
  <c r="FI82" i="1"/>
  <c r="FI84" i="1"/>
  <c r="FI85" i="1"/>
  <c r="FI401" i="1"/>
  <c r="FI405" i="1"/>
  <c r="FI404" i="1"/>
  <c r="FH249" i="1"/>
  <c r="FH73" i="1" s="1"/>
  <c r="FI403" i="1"/>
  <c r="FH137" i="1"/>
  <c r="FI402" i="1"/>
  <c r="FH398" i="1"/>
  <c r="FI116" i="1"/>
  <c r="FI117" i="1"/>
  <c r="FH145" i="1"/>
  <c r="FI120" i="1"/>
  <c r="FI14" i="1"/>
  <c r="FH16" i="1"/>
  <c r="FH331" i="1"/>
  <c r="FH14" i="1"/>
  <c r="FI127" i="1"/>
  <c r="FI128" i="1"/>
  <c r="FI193" i="1"/>
  <c r="FI90" i="1"/>
  <c r="FI118" i="1"/>
  <c r="FI130" i="1"/>
  <c r="FI194" i="1"/>
  <c r="FH232" i="1"/>
  <c r="FH225" i="1" s="1"/>
  <c r="FH280" i="1"/>
  <c r="FI286" i="1" s="1"/>
  <c r="FI129" i="1"/>
  <c r="FI83" i="1"/>
  <c r="FF193" i="1"/>
  <c r="FF184" i="1"/>
  <c r="FG184" i="1" s="1"/>
  <c r="FF4" i="1"/>
  <c r="FH12" i="1" l="1"/>
  <c r="FH11" i="1" s="1"/>
  <c r="FH248" i="1"/>
  <c r="FI12" i="1"/>
  <c r="FI287" i="1"/>
  <c r="FI76" i="1"/>
  <c r="FI400" i="1"/>
  <c r="FI115" i="1"/>
  <c r="FI284" i="1"/>
  <c r="FI281" i="1"/>
  <c r="FH224" i="1"/>
  <c r="FH71" i="1" s="1"/>
  <c r="FH70" i="1" s="1"/>
  <c r="FH69" i="1" s="1"/>
  <c r="FH279" i="1"/>
  <c r="FI285" i="1"/>
  <c r="FH294" i="1"/>
  <c r="FI283" i="1"/>
  <c r="FH293" i="1"/>
  <c r="FH298" i="1" s="1"/>
  <c r="FI126" i="1"/>
  <c r="FF400" i="1"/>
  <c r="FF287" i="1"/>
  <c r="FF280" i="1" s="1"/>
  <c r="FG394" i="1"/>
  <c r="FG393" i="1"/>
  <c r="FG392" i="1"/>
  <c r="FG391" i="1"/>
  <c r="FG385" i="1"/>
  <c r="FG384" i="1"/>
  <c r="FG383" i="1"/>
  <c r="FG382" i="1"/>
  <c r="FF376" i="1"/>
  <c r="FF367" i="1"/>
  <c r="FF364" i="1"/>
  <c r="FF360" i="1"/>
  <c r="FF357" i="1"/>
  <c r="FF353" i="1"/>
  <c r="FF350" i="1"/>
  <c r="FG351" i="1" s="1"/>
  <c r="FF346" i="1"/>
  <c r="FG344" i="1"/>
  <c r="FF339" i="1"/>
  <c r="FF336" i="1"/>
  <c r="FG337" i="1" s="1"/>
  <c r="FF332" i="1"/>
  <c r="FF325" i="1"/>
  <c r="FF320" i="1"/>
  <c r="FF315" i="1"/>
  <c r="FF308" i="1"/>
  <c r="FF303" i="1"/>
  <c r="FF295" i="1"/>
  <c r="FG282" i="1"/>
  <c r="FG275" i="1"/>
  <c r="FG274" i="1"/>
  <c r="FG273" i="1"/>
  <c r="FG272" i="1"/>
  <c r="FF271" i="1"/>
  <c r="FF270" i="1" s="1"/>
  <c r="FG266" i="1"/>
  <c r="FF263" i="1"/>
  <c r="FF251" i="1"/>
  <c r="FF242" i="1"/>
  <c r="FF241" i="1"/>
  <c r="FF237" i="1"/>
  <c r="FF231" i="1"/>
  <c r="FF230" i="1"/>
  <c r="FF229" i="1"/>
  <c r="FF228" i="1"/>
  <c r="FF227" i="1"/>
  <c r="FF226" i="1"/>
  <c r="FF209" i="1"/>
  <c r="FF204" i="1"/>
  <c r="FF201" i="1" s="1"/>
  <c r="FF200" i="1" s="1"/>
  <c r="FF203" i="1"/>
  <c r="FF202" i="1"/>
  <c r="FG201" i="1"/>
  <c r="FG196" i="1"/>
  <c r="FG186" i="1"/>
  <c r="FG185" i="1"/>
  <c r="FG162" i="1"/>
  <c r="FG156" i="1"/>
  <c r="FG150" i="1"/>
  <c r="FG143" i="1"/>
  <c r="FF138" i="1"/>
  <c r="FF126" i="1"/>
  <c r="FG130" i="1" s="1"/>
  <c r="FF115" i="1"/>
  <c r="FG120" i="1" s="1"/>
  <c r="FF107" i="1"/>
  <c r="FF101" i="1"/>
  <c r="FF239" i="1"/>
  <c r="FG83" i="1"/>
  <c r="FF75" i="1"/>
  <c r="FF65" i="1"/>
  <c r="FF63" i="1"/>
  <c r="FF49" i="1"/>
  <c r="FF47" i="1"/>
  <c r="FF46" i="1" s="1"/>
  <c r="FF45" i="1" s="1"/>
  <c r="FG38" i="1"/>
  <c r="FF38" i="1"/>
  <c r="FF37" i="1" s="1"/>
  <c r="FG31" i="1"/>
  <c r="FF31" i="1"/>
  <c r="FF30" i="1" s="1"/>
  <c r="FG25" i="1"/>
  <c r="FF25" i="1"/>
  <c r="FF24" i="1" s="1"/>
  <c r="FG17" i="1"/>
  <c r="FF17" i="1"/>
  <c r="FD285" i="1"/>
  <c r="FF232" i="1" l="1"/>
  <c r="FF225" i="1" s="1"/>
  <c r="FF244" i="1"/>
  <c r="FG13" i="1"/>
  <c r="FH223" i="1"/>
  <c r="FH291" i="1"/>
  <c r="FH297" i="1"/>
  <c r="FH296" i="1"/>
  <c r="FF13" i="1"/>
  <c r="FH299" i="1"/>
  <c r="FH292" i="1"/>
  <c r="FI280" i="1"/>
  <c r="FG390" i="1"/>
  <c r="FG14" i="1"/>
  <c r="FG88" i="1"/>
  <c r="FG81" i="1"/>
  <c r="FG78" i="1"/>
  <c r="FG85" i="1"/>
  <c r="FF331" i="1"/>
  <c r="FG118" i="1"/>
  <c r="FG381" i="1"/>
  <c r="FG287" i="1"/>
  <c r="FG405" i="1"/>
  <c r="FF249" i="1"/>
  <c r="FF73" i="1" s="1"/>
  <c r="FG403" i="1"/>
  <c r="FF137" i="1"/>
  <c r="FG116" i="1"/>
  <c r="FF14" i="1"/>
  <c r="FG281" i="1"/>
  <c r="FF224" i="1"/>
  <c r="FF71" i="1" s="1"/>
  <c r="FF279" i="1"/>
  <c r="FF294" i="1"/>
  <c r="FF296" i="1" s="1"/>
  <c r="FG284" i="1"/>
  <c r="FF293" i="1"/>
  <c r="FF298" i="1" s="1"/>
  <c r="FG283" i="1"/>
  <c r="FG79" i="1"/>
  <c r="FG86" i="1"/>
  <c r="FF16" i="1"/>
  <c r="FF74" i="1"/>
  <c r="FG76" i="1" s="1"/>
  <c r="FG80" i="1"/>
  <c r="FG87" i="1"/>
  <c r="FG127" i="1"/>
  <c r="FF145" i="1"/>
  <c r="FG187" i="1"/>
  <c r="FF252" i="1"/>
  <c r="FF250" i="1" s="1"/>
  <c r="FG401" i="1"/>
  <c r="FG402" i="1"/>
  <c r="FG82" i="1"/>
  <c r="FG117" i="1"/>
  <c r="FG129" i="1"/>
  <c r="FG193" i="1"/>
  <c r="FF243" i="1"/>
  <c r="FG285" i="1"/>
  <c r="FG128" i="1"/>
  <c r="FG89" i="1"/>
  <c r="FG194" i="1"/>
  <c r="FG84" i="1"/>
  <c r="FG90" i="1"/>
  <c r="FG119" i="1"/>
  <c r="FG131" i="1"/>
  <c r="FG195" i="1"/>
  <c r="FG404" i="1"/>
  <c r="FF398" i="1"/>
  <c r="FD193" i="1"/>
  <c r="FD184" i="1"/>
  <c r="FE184" i="1" s="1"/>
  <c r="FD4" i="1"/>
  <c r="FG12" i="1" l="1"/>
  <c r="FF12" i="1"/>
  <c r="FF11" i="1" s="1"/>
  <c r="FF238" i="1"/>
  <c r="FF236" i="1" s="1"/>
  <c r="FG400" i="1"/>
  <c r="FF223" i="1"/>
  <c r="FF248" i="1"/>
  <c r="FF70" i="1"/>
  <c r="FF69" i="1" s="1"/>
  <c r="FG115" i="1"/>
  <c r="FF291" i="1"/>
  <c r="FF297" i="1"/>
  <c r="FG126" i="1"/>
  <c r="FG280" i="1"/>
  <c r="FF299" i="1"/>
  <c r="FF292" i="1"/>
  <c r="FG75" i="1"/>
  <c r="FD49" i="1"/>
  <c r="FD287" i="1"/>
  <c r="FD280" i="1" s="1"/>
  <c r="FE281" i="1" s="1"/>
  <c r="FD403" i="1"/>
  <c r="FD400" i="1" s="1"/>
  <c r="FE394" i="1"/>
  <c r="FE393" i="1"/>
  <c r="FE392" i="1"/>
  <c r="FE391" i="1"/>
  <c r="FE385" i="1"/>
  <c r="FE384" i="1"/>
  <c r="FE383" i="1"/>
  <c r="FE382" i="1"/>
  <c r="FD376" i="1"/>
  <c r="FD367" i="1"/>
  <c r="FD364" i="1"/>
  <c r="FD360" i="1"/>
  <c r="FD357" i="1"/>
  <c r="FD353" i="1"/>
  <c r="FD350" i="1"/>
  <c r="FE351" i="1" s="1"/>
  <c r="FD346" i="1"/>
  <c r="FE344" i="1"/>
  <c r="FD339" i="1"/>
  <c r="FD336" i="1"/>
  <c r="FE337" i="1" s="1"/>
  <c r="FD332" i="1"/>
  <c r="FD325" i="1"/>
  <c r="FD320" i="1"/>
  <c r="FD315" i="1"/>
  <c r="FD308" i="1"/>
  <c r="FE282" i="1"/>
  <c r="FE275" i="1"/>
  <c r="FE274" i="1"/>
  <c r="FE273" i="1"/>
  <c r="FE272" i="1"/>
  <c r="FD271" i="1"/>
  <c r="FD270" i="1" s="1"/>
  <c r="FE266" i="1"/>
  <c r="FD263" i="1"/>
  <c r="FD256" i="1"/>
  <c r="FD242" i="1"/>
  <c r="FD241" i="1"/>
  <c r="FD237" i="1"/>
  <c r="FD231" i="1"/>
  <c r="FD230" i="1"/>
  <c r="FD229" i="1"/>
  <c r="FD228" i="1"/>
  <c r="FD227" i="1"/>
  <c r="FD226" i="1"/>
  <c r="FD209" i="1"/>
  <c r="FD204" i="1"/>
  <c r="FD201" i="1" s="1"/>
  <c r="FD200" i="1" s="1"/>
  <c r="FD203" i="1"/>
  <c r="FD202" i="1"/>
  <c r="FE201" i="1"/>
  <c r="FE195" i="1"/>
  <c r="FE194" i="1"/>
  <c r="FE193" i="1"/>
  <c r="FE196" i="1"/>
  <c r="FE186" i="1"/>
  <c r="FE162" i="1"/>
  <c r="FE156" i="1"/>
  <c r="FE150" i="1"/>
  <c r="FE143" i="1"/>
  <c r="FD138" i="1"/>
  <c r="FD126" i="1"/>
  <c r="FE131" i="1" s="1"/>
  <c r="FD115" i="1"/>
  <c r="FE119" i="1" s="1"/>
  <c r="FD107" i="1"/>
  <c r="FD101" i="1"/>
  <c r="FD85" i="1"/>
  <c r="FD75" i="1"/>
  <c r="FD65" i="1"/>
  <c r="FD244" i="1" s="1"/>
  <c r="FD63" i="1"/>
  <c r="FD47" i="1"/>
  <c r="FD46" i="1" s="1"/>
  <c r="FD45" i="1" s="1"/>
  <c r="FE38" i="1"/>
  <c r="FD38" i="1"/>
  <c r="FD37" i="1" s="1"/>
  <c r="FE31" i="1"/>
  <c r="FD31" i="1"/>
  <c r="FE25" i="1"/>
  <c r="FD25" i="1"/>
  <c r="FD24" i="1" s="1"/>
  <c r="FE17" i="1"/>
  <c r="FD17" i="1"/>
  <c r="FD16" i="1" s="1"/>
  <c r="FB285" i="1"/>
  <c r="FB287" i="1"/>
  <c r="FD76" i="1" l="1"/>
  <c r="FE84" i="1" s="1"/>
  <c r="FD89" i="1"/>
  <c r="FD251" i="1" s="1"/>
  <c r="FE390" i="1"/>
  <c r="FE381" i="1"/>
  <c r="FD243" i="1"/>
  <c r="FD331" i="1"/>
  <c r="FD13" i="1"/>
  <c r="FE283" i="1"/>
  <c r="FD224" i="1"/>
  <c r="FD71" i="1" s="1"/>
  <c r="FE287" i="1"/>
  <c r="FD279" i="1"/>
  <c r="FE285" i="1"/>
  <c r="FD293" i="1"/>
  <c r="FD299" i="1" s="1"/>
  <c r="FE405" i="1"/>
  <c r="FD249" i="1"/>
  <c r="FD73" i="1" s="1"/>
  <c r="FD398" i="1"/>
  <c r="FE403" i="1"/>
  <c r="FD137" i="1"/>
  <c r="FE129" i="1"/>
  <c r="FE117" i="1"/>
  <c r="FE120" i="1"/>
  <c r="FE14" i="1"/>
  <c r="FE13" i="1"/>
  <c r="FD14" i="1"/>
  <c r="FD30" i="1"/>
  <c r="FE185" i="1"/>
  <c r="FD303" i="1"/>
  <c r="FD239" i="1"/>
  <c r="FE127" i="1"/>
  <c r="FD145" i="1"/>
  <c r="FE187" i="1"/>
  <c r="FD252" i="1"/>
  <c r="FE284" i="1"/>
  <c r="FD294" i="1"/>
  <c r="FE401" i="1"/>
  <c r="FE116" i="1"/>
  <c r="FE128" i="1"/>
  <c r="FD295" i="1"/>
  <c r="FE402" i="1"/>
  <c r="FE118" i="1"/>
  <c r="FE130" i="1"/>
  <c r="FD232" i="1"/>
  <c r="FD225" i="1" s="1"/>
  <c r="FE404" i="1"/>
  <c r="EZ47" i="1"/>
  <c r="FE90" i="1" l="1"/>
  <c r="FE87" i="1"/>
  <c r="FE85" i="1"/>
  <c r="FE86" i="1"/>
  <c r="FE81" i="1"/>
  <c r="FE88" i="1"/>
  <c r="FD74" i="1"/>
  <c r="FE76" i="1" s="1"/>
  <c r="FE89" i="1"/>
  <c r="FE83" i="1"/>
  <c r="FE80" i="1"/>
  <c r="FE78" i="1"/>
  <c r="FE82" i="1"/>
  <c r="FE79" i="1"/>
  <c r="FD238" i="1"/>
  <c r="FD236" i="1" s="1"/>
  <c r="FD250" i="1"/>
  <c r="FD248" i="1" s="1"/>
  <c r="FE280" i="1"/>
  <c r="FD12" i="1"/>
  <c r="FD11" i="1" s="1"/>
  <c r="FE115" i="1"/>
  <c r="FD70" i="1"/>
  <c r="FD223" i="1"/>
  <c r="FD292" i="1"/>
  <c r="FD298" i="1"/>
  <c r="FE126" i="1"/>
  <c r="FE12" i="1"/>
  <c r="FD291" i="1"/>
  <c r="FD297" i="1"/>
  <c r="FD296" i="1"/>
  <c r="FE400" i="1"/>
  <c r="FB193" i="1"/>
  <c r="FC195" i="1" s="1"/>
  <c r="FB184" i="1"/>
  <c r="FC184" i="1" s="1"/>
  <c r="FB4" i="1"/>
  <c r="FB403" i="1"/>
  <c r="FB400" i="1" s="1"/>
  <c r="FC405" i="1" s="1"/>
  <c r="FC394" i="1"/>
  <c r="FC393" i="1"/>
  <c r="FC392" i="1"/>
  <c r="FC391" i="1"/>
  <c r="FC385" i="1"/>
  <c r="FC384" i="1"/>
  <c r="FC383" i="1"/>
  <c r="FC382" i="1"/>
  <c r="FB376" i="1"/>
  <c r="FB367" i="1"/>
  <c r="FB364" i="1"/>
  <c r="FB360" i="1"/>
  <c r="FB357" i="1"/>
  <c r="FB353" i="1"/>
  <c r="FB350" i="1"/>
  <c r="FC351" i="1" s="1"/>
  <c r="FB346" i="1"/>
  <c r="FC344" i="1"/>
  <c r="FB339" i="1"/>
  <c r="FB336" i="1"/>
  <c r="FC337" i="1" s="1"/>
  <c r="FB332" i="1"/>
  <c r="FB325" i="1"/>
  <c r="FB320" i="1"/>
  <c r="FB315" i="1"/>
  <c r="FC282" i="1"/>
  <c r="FC275" i="1"/>
  <c r="FC274" i="1"/>
  <c r="FC273" i="1"/>
  <c r="FC272" i="1"/>
  <c r="FB271" i="1"/>
  <c r="FC266" i="1"/>
  <c r="FB256" i="1"/>
  <c r="FB242" i="1"/>
  <c r="FB241" i="1"/>
  <c r="FB237" i="1"/>
  <c r="FB231" i="1"/>
  <c r="FB230" i="1"/>
  <c r="FB229" i="1"/>
  <c r="FB228" i="1"/>
  <c r="FB227" i="1"/>
  <c r="FB226" i="1"/>
  <c r="FB209" i="1"/>
  <c r="FB204" i="1"/>
  <c r="FB201" i="1" s="1"/>
  <c r="FB200" i="1" s="1"/>
  <c r="FB203" i="1"/>
  <c r="FB202" i="1"/>
  <c r="FC201" i="1"/>
  <c r="FC162" i="1"/>
  <c r="FC156" i="1"/>
  <c r="FC150" i="1"/>
  <c r="FC143" i="1"/>
  <c r="FB138" i="1"/>
  <c r="FB126" i="1"/>
  <c r="FC131" i="1" s="1"/>
  <c r="FB115" i="1"/>
  <c r="FC120" i="1" s="1"/>
  <c r="FB107" i="1"/>
  <c r="FB101" i="1"/>
  <c r="FB85" i="1"/>
  <c r="FB75" i="1"/>
  <c r="FB65" i="1"/>
  <c r="FB63" i="1"/>
  <c r="FB49" i="1"/>
  <c r="FB47" i="1"/>
  <c r="FB46" i="1" s="1"/>
  <c r="FB45" i="1" s="1"/>
  <c r="FC38" i="1"/>
  <c r="FB38" i="1"/>
  <c r="FB37" i="1" s="1"/>
  <c r="FC31" i="1"/>
  <c r="FB30" i="1"/>
  <c r="FC25" i="1"/>
  <c r="FB25" i="1"/>
  <c r="FB24" i="1" s="1"/>
  <c r="FC17" i="1"/>
  <c r="FB17" i="1"/>
  <c r="FB16" i="1" s="1"/>
  <c r="EV214" i="1"/>
  <c r="ET214" i="1"/>
  <c r="ET213" i="1"/>
  <c r="EZ75" i="1"/>
  <c r="EN65" i="1"/>
  <c r="FE75" i="1" l="1"/>
  <c r="FD69" i="1"/>
  <c r="FB76" i="1"/>
  <c r="FC83" i="1" s="1"/>
  <c r="FB89" i="1"/>
  <c r="FB251" i="1" s="1"/>
  <c r="FB244" i="1"/>
  <c r="FB243" i="1"/>
  <c r="FC193" i="1"/>
  <c r="FC196" i="1"/>
  <c r="FB252" i="1"/>
  <c r="FB270" i="1"/>
  <c r="FC390" i="1"/>
  <c r="FC14" i="1"/>
  <c r="FB13" i="1"/>
  <c r="FC185" i="1"/>
  <c r="FB145" i="1"/>
  <c r="FC116" i="1"/>
  <c r="FB331" i="1"/>
  <c r="FB14" i="1"/>
  <c r="FC119" i="1"/>
  <c r="FB280" i="1"/>
  <c r="FC13" i="1"/>
  <c r="FB137" i="1"/>
  <c r="FC381" i="1"/>
  <c r="FC401" i="1"/>
  <c r="FC403" i="1"/>
  <c r="FB303" i="1"/>
  <c r="FC186" i="1"/>
  <c r="FB239" i="1"/>
  <c r="FB295" i="1"/>
  <c r="FC402" i="1"/>
  <c r="FC187" i="1"/>
  <c r="FC128" i="1"/>
  <c r="FC117" i="1"/>
  <c r="FC129" i="1"/>
  <c r="FC127" i="1"/>
  <c r="FC118" i="1"/>
  <c r="FC130" i="1"/>
  <c r="FC194" i="1"/>
  <c r="FB232" i="1"/>
  <c r="FB225" i="1" s="1"/>
  <c r="FC404" i="1"/>
  <c r="FB249" i="1"/>
  <c r="FB73" i="1" s="1"/>
  <c r="FB398" i="1"/>
  <c r="EU25" i="1"/>
  <c r="FB250" i="1" l="1"/>
  <c r="FB248" i="1" s="1"/>
  <c r="FC80" i="1"/>
  <c r="FC87" i="1"/>
  <c r="FC89" i="1"/>
  <c r="FC84" i="1"/>
  <c r="FC126" i="1"/>
  <c r="FC12" i="1"/>
  <c r="FB12" i="1"/>
  <c r="FB11" i="1" s="1"/>
  <c r="FC285" i="1"/>
  <c r="FC283" i="1"/>
  <c r="FB279" i="1"/>
  <c r="FC281" i="1"/>
  <c r="FB293" i="1"/>
  <c r="FB292" i="1" s="1"/>
  <c r="FB294" i="1"/>
  <c r="FB296" i="1" s="1"/>
  <c r="FC284" i="1"/>
  <c r="FB224" i="1"/>
  <c r="FB71" i="1" s="1"/>
  <c r="FB70" i="1" s="1"/>
  <c r="FC287" i="1"/>
  <c r="FC82" i="1"/>
  <c r="FC78" i="1"/>
  <c r="FC90" i="1"/>
  <c r="FB74" i="1"/>
  <c r="FC76" i="1" s="1"/>
  <c r="FC79" i="1"/>
  <c r="FC81" i="1"/>
  <c r="FC86" i="1"/>
  <c r="FC88" i="1"/>
  <c r="FC400" i="1"/>
  <c r="FC85" i="1"/>
  <c r="FB238" i="1"/>
  <c r="FB236" i="1" s="1"/>
  <c r="FC115" i="1"/>
  <c r="FC280" i="1" l="1"/>
  <c r="FB299" i="1"/>
  <c r="FB298" i="1"/>
  <c r="FC75" i="1"/>
  <c r="FB297" i="1"/>
  <c r="FB291" i="1"/>
  <c r="FB223" i="1"/>
  <c r="FB69" i="1"/>
  <c r="EZ184" i="1"/>
  <c r="FA184" i="1" s="1"/>
  <c r="EX184" i="1"/>
  <c r="EY184" i="1" s="1"/>
  <c r="EX193" i="1"/>
  <c r="EY193" i="1" s="1"/>
  <c r="EZ193" i="1"/>
  <c r="FA193" i="1" s="1"/>
  <c r="EZ285" i="1" l="1"/>
  <c r="EZ287" i="1" l="1"/>
  <c r="EV403" i="1"/>
  <c r="EX403" i="1"/>
  <c r="EZ403" i="1"/>
  <c r="EZ326" i="1"/>
  <c r="EZ4" i="1" l="1"/>
  <c r="EZ400" i="1" l="1"/>
  <c r="FA405" i="1" s="1"/>
  <c r="FA394" i="1"/>
  <c r="FA393" i="1"/>
  <c r="FA392" i="1"/>
  <c r="FA391" i="1"/>
  <c r="FA385" i="1"/>
  <c r="FA384" i="1"/>
  <c r="FA383" i="1"/>
  <c r="FA382" i="1"/>
  <c r="EZ376" i="1"/>
  <c r="EZ367" i="1"/>
  <c r="EZ364" i="1"/>
  <c r="EZ360" i="1"/>
  <c r="EZ357" i="1"/>
  <c r="EZ353" i="1"/>
  <c r="EZ350" i="1"/>
  <c r="FA351" i="1" s="1"/>
  <c r="EZ346" i="1"/>
  <c r="FA344" i="1"/>
  <c r="EZ339" i="1"/>
  <c r="EZ336" i="1"/>
  <c r="FA337" i="1" s="1"/>
  <c r="EZ332" i="1"/>
  <c r="EZ325" i="1"/>
  <c r="EZ320" i="1"/>
  <c r="EZ315" i="1"/>
  <c r="EZ308" i="1"/>
  <c r="EZ303" i="1"/>
  <c r="EZ295" i="1"/>
  <c r="EZ280" i="1"/>
  <c r="FA282" i="1"/>
  <c r="FA275" i="1"/>
  <c r="FA274" i="1"/>
  <c r="FA273" i="1"/>
  <c r="FA272" i="1"/>
  <c r="EZ271" i="1"/>
  <c r="EZ270" i="1" s="1"/>
  <c r="FA266" i="1"/>
  <c r="EZ256" i="1"/>
  <c r="EZ242" i="1"/>
  <c r="EZ241" i="1"/>
  <c r="EZ237" i="1"/>
  <c r="EZ231" i="1"/>
  <c r="EZ230" i="1"/>
  <c r="EZ229" i="1"/>
  <c r="EZ228" i="1"/>
  <c r="EZ227" i="1"/>
  <c r="EZ226" i="1"/>
  <c r="EZ209" i="1"/>
  <c r="EZ204" i="1"/>
  <c r="EZ201" i="1" s="1"/>
  <c r="EZ200" i="1" s="1"/>
  <c r="EZ203" i="1"/>
  <c r="EZ202" i="1"/>
  <c r="FA201" i="1"/>
  <c r="FA196" i="1"/>
  <c r="FA195" i="1"/>
  <c r="FA194" i="1"/>
  <c r="FA187" i="1"/>
  <c r="FA186" i="1"/>
  <c r="FA185" i="1"/>
  <c r="FA162" i="1"/>
  <c r="FA156" i="1"/>
  <c r="FA150" i="1"/>
  <c r="FA143" i="1"/>
  <c r="EZ138" i="1"/>
  <c r="EZ126" i="1"/>
  <c r="FA130" i="1" s="1"/>
  <c r="EZ115" i="1"/>
  <c r="FA118" i="1" s="1"/>
  <c r="EZ107" i="1"/>
  <c r="EZ101" i="1"/>
  <c r="EZ85" i="1"/>
  <c r="EZ65" i="1"/>
  <c r="EZ244" i="1" s="1"/>
  <c r="EZ63" i="1"/>
  <c r="EZ49" i="1"/>
  <c r="EZ46" i="1"/>
  <c r="EZ45" i="1" s="1"/>
  <c r="FA38" i="1"/>
  <c r="EZ38" i="1"/>
  <c r="EZ37" i="1" s="1"/>
  <c r="FA31" i="1"/>
  <c r="EZ31" i="1"/>
  <c r="EZ30" i="1" s="1"/>
  <c r="FA25" i="1"/>
  <c r="EZ25" i="1"/>
  <c r="EZ24" i="1" s="1"/>
  <c r="FA17" i="1"/>
  <c r="EZ17" i="1"/>
  <c r="EZ16" i="1" s="1"/>
  <c r="EX285" i="1"/>
  <c r="EX287" i="1"/>
  <c r="EX4" i="1"/>
  <c r="EZ89" i="1" l="1"/>
  <c r="EZ251" i="1" s="1"/>
  <c r="EZ76" i="1"/>
  <c r="FA390" i="1"/>
  <c r="FA14" i="1"/>
  <c r="FA13" i="1"/>
  <c r="EZ14" i="1"/>
  <c r="EZ331" i="1"/>
  <c r="EZ249" i="1"/>
  <c r="EZ73" i="1" s="1"/>
  <c r="FA401" i="1"/>
  <c r="EZ398" i="1"/>
  <c r="FA381" i="1"/>
  <c r="EZ137" i="1"/>
  <c r="FA131" i="1"/>
  <c r="FA119" i="1"/>
  <c r="FA281" i="1"/>
  <c r="FA287" i="1"/>
  <c r="EZ224" i="1"/>
  <c r="EZ71" i="1" s="1"/>
  <c r="EZ279" i="1"/>
  <c r="EZ294" i="1"/>
  <c r="EZ296" i="1" s="1"/>
  <c r="FA284" i="1"/>
  <c r="EZ293" i="1"/>
  <c r="EZ298" i="1" s="1"/>
  <c r="FA283" i="1"/>
  <c r="EZ13" i="1"/>
  <c r="FA120" i="1"/>
  <c r="EZ239" i="1"/>
  <c r="EZ252" i="1"/>
  <c r="FA127" i="1"/>
  <c r="EZ145" i="1"/>
  <c r="EZ243" i="1"/>
  <c r="FA285" i="1"/>
  <c r="FA402" i="1"/>
  <c r="FA116" i="1"/>
  <c r="FA128" i="1"/>
  <c r="EZ232" i="1"/>
  <c r="EZ225" i="1" s="1"/>
  <c r="FA403" i="1"/>
  <c r="FA117" i="1"/>
  <c r="FA129" i="1"/>
  <c r="FA404" i="1"/>
  <c r="FA89" i="1" l="1"/>
  <c r="EZ250" i="1"/>
  <c r="EZ248" i="1" s="1"/>
  <c r="EZ74" i="1"/>
  <c r="FA75" i="1" s="1"/>
  <c r="FA85" i="1"/>
  <c r="FA280" i="1"/>
  <c r="FA84" i="1"/>
  <c r="FA82" i="1"/>
  <c r="FA83" i="1"/>
  <c r="FA78" i="1"/>
  <c r="FA87" i="1"/>
  <c r="FA86" i="1"/>
  <c r="FA79" i="1"/>
  <c r="FA80" i="1"/>
  <c r="FA90" i="1"/>
  <c r="FA88" i="1"/>
  <c r="FA81" i="1"/>
  <c r="FA12" i="1"/>
  <c r="EZ12" i="1"/>
  <c r="EZ11" i="1" s="1"/>
  <c r="EZ70" i="1"/>
  <c r="FA400" i="1"/>
  <c r="EZ223" i="1"/>
  <c r="FA126" i="1"/>
  <c r="FA115" i="1"/>
  <c r="EZ299" i="1"/>
  <c r="EZ292" i="1"/>
  <c r="EZ238" i="1"/>
  <c r="EZ236" i="1" s="1"/>
  <c r="EZ291" i="1"/>
  <c r="EZ297" i="1"/>
  <c r="EX326" i="1"/>
  <c r="FA76" i="1" l="1"/>
  <c r="EZ69" i="1"/>
  <c r="EX280" i="1"/>
  <c r="EX224" i="1" s="1"/>
  <c r="EX71" i="1" s="1"/>
  <c r="EX228" i="1"/>
  <c r="EX227" i="1"/>
  <c r="EX138" i="1"/>
  <c r="EX115" i="1"/>
  <c r="EY117" i="1" s="1"/>
  <c r="EX126" i="1"/>
  <c r="EY131" i="1" s="1"/>
  <c r="EV126" i="1"/>
  <c r="EX65" i="1"/>
  <c r="EX244" i="1" s="1"/>
  <c r="EX47" i="1"/>
  <c r="EX46" i="1" s="1"/>
  <c r="EX45" i="1" s="1"/>
  <c r="ET251" i="1"/>
  <c r="EX400" i="1"/>
  <c r="EX398" i="1" s="1"/>
  <c r="EY394" i="1"/>
  <c r="EY393" i="1"/>
  <c r="EY392" i="1"/>
  <c r="EY391" i="1"/>
  <c r="EY385" i="1"/>
  <c r="EY384" i="1"/>
  <c r="EY383" i="1"/>
  <c r="EY382" i="1"/>
  <c r="EX376" i="1"/>
  <c r="EX367" i="1"/>
  <c r="EX364" i="1"/>
  <c r="EX360" i="1"/>
  <c r="EX357" i="1"/>
  <c r="EY358" i="1" s="1"/>
  <c r="EX353" i="1"/>
  <c r="EX350" i="1"/>
  <c r="EY351" i="1" s="1"/>
  <c r="EX346" i="1"/>
  <c r="EY344" i="1"/>
  <c r="EX339" i="1"/>
  <c r="EX336" i="1"/>
  <c r="EY337" i="1" s="1"/>
  <c r="EX332" i="1"/>
  <c r="EX325" i="1"/>
  <c r="EX320" i="1"/>
  <c r="EX315" i="1"/>
  <c r="EX308" i="1"/>
  <c r="EY282" i="1"/>
  <c r="EY275" i="1"/>
  <c r="EY274" i="1"/>
  <c r="EY273" i="1"/>
  <c r="EY272" i="1"/>
  <c r="EX271" i="1"/>
  <c r="EX270" i="1" s="1"/>
  <c r="EY266" i="1"/>
  <c r="EX263" i="1"/>
  <c r="EX256" i="1"/>
  <c r="EX242" i="1"/>
  <c r="EX241" i="1"/>
  <c r="EX237" i="1"/>
  <c r="EX231" i="1"/>
  <c r="EX230" i="1"/>
  <c r="EX229" i="1"/>
  <c r="EX226" i="1"/>
  <c r="EX209" i="1"/>
  <c r="EX204" i="1"/>
  <c r="EX201" i="1" s="1"/>
  <c r="EX200" i="1" s="1"/>
  <c r="EX203" i="1"/>
  <c r="EX202" i="1"/>
  <c r="EY201" i="1"/>
  <c r="EY196" i="1"/>
  <c r="EY185" i="1"/>
  <c r="EY162" i="1"/>
  <c r="EY156" i="1"/>
  <c r="EY150" i="1"/>
  <c r="EY143" i="1"/>
  <c r="EX107" i="1"/>
  <c r="EX101" i="1"/>
  <c r="EX85" i="1"/>
  <c r="EX76" i="1" s="1"/>
  <c r="EX75" i="1"/>
  <c r="EX63" i="1"/>
  <c r="EX49" i="1"/>
  <c r="EY38" i="1"/>
  <c r="EX38" i="1"/>
  <c r="EX37" i="1" s="1"/>
  <c r="EY31" i="1"/>
  <c r="EX31" i="1"/>
  <c r="EY25" i="1"/>
  <c r="EX25" i="1"/>
  <c r="EX24" i="1" s="1"/>
  <c r="EY17" i="1"/>
  <c r="EX17" i="1"/>
  <c r="EX16" i="1" s="1"/>
  <c r="EY85" i="1" l="1"/>
  <c r="EY390" i="1"/>
  <c r="EY13" i="1"/>
  <c r="EY14" i="1"/>
  <c r="EY401" i="1"/>
  <c r="EY404" i="1"/>
  <c r="EY403" i="1"/>
  <c r="EX249" i="1"/>
  <c r="EX73" i="1" s="1"/>
  <c r="EX70" i="1" s="1"/>
  <c r="EY402" i="1"/>
  <c r="EX13" i="1"/>
  <c r="EY405" i="1"/>
  <c r="EX145" i="1"/>
  <c r="EY381" i="1"/>
  <c r="EX331" i="1"/>
  <c r="EX137" i="1"/>
  <c r="EY116" i="1"/>
  <c r="EY118" i="1"/>
  <c r="EY120" i="1"/>
  <c r="EY119" i="1"/>
  <c r="EY281" i="1"/>
  <c r="EY287" i="1"/>
  <c r="EX279" i="1"/>
  <c r="EX294" i="1"/>
  <c r="EX296" i="1" s="1"/>
  <c r="EY284" i="1"/>
  <c r="EX293" i="1"/>
  <c r="EX298" i="1" s="1"/>
  <c r="EY283" i="1"/>
  <c r="EX303" i="1"/>
  <c r="EX14" i="1"/>
  <c r="EX30" i="1"/>
  <c r="EY186" i="1"/>
  <c r="EX239" i="1"/>
  <c r="EX251" i="1"/>
  <c r="EY127" i="1"/>
  <c r="EY187" i="1"/>
  <c r="EX252" i="1"/>
  <c r="EX295" i="1"/>
  <c r="EY129" i="1"/>
  <c r="EX243" i="1"/>
  <c r="EY285" i="1"/>
  <c r="EY128" i="1"/>
  <c r="EY130" i="1"/>
  <c r="EY194" i="1"/>
  <c r="EX232" i="1"/>
  <c r="EX225" i="1" s="1"/>
  <c r="EX223" i="1" s="1"/>
  <c r="EY195" i="1"/>
  <c r="EV47" i="1"/>
  <c r="ET47" i="1"/>
  <c r="ET46" i="1" s="1"/>
  <c r="EV285" i="1"/>
  <c r="EX74" i="1" l="1"/>
  <c r="EY75" i="1" s="1"/>
  <c r="EY78" i="1"/>
  <c r="EY84" i="1"/>
  <c r="EY83" i="1"/>
  <c r="EY90" i="1"/>
  <c r="EY82" i="1"/>
  <c r="EY81" i="1"/>
  <c r="EY79" i="1"/>
  <c r="EY88" i="1"/>
  <c r="EY80" i="1"/>
  <c r="EY87" i="1"/>
  <c r="EY86" i="1"/>
  <c r="EY89" i="1"/>
  <c r="EY12" i="1"/>
  <c r="EX12" i="1"/>
  <c r="EX11" i="1" s="1"/>
  <c r="EY400" i="1"/>
  <c r="EX250" i="1"/>
  <c r="EX248" i="1" s="1"/>
  <c r="EY115" i="1"/>
  <c r="EY126" i="1"/>
  <c r="EX238" i="1"/>
  <c r="EX236" i="1" s="1"/>
  <c r="EX299" i="1"/>
  <c r="EX292" i="1"/>
  <c r="EY280" i="1"/>
  <c r="EX291" i="1"/>
  <c r="EX297" i="1"/>
  <c r="EV326" i="1"/>
  <c r="EV193" i="1"/>
  <c r="EW193" i="1" s="1"/>
  <c r="EV184" i="1"/>
  <c r="EW184" i="1" s="1"/>
  <c r="EY76" i="1" l="1"/>
  <c r="EX69" i="1"/>
  <c r="EV4" i="1"/>
  <c r="EV295" i="1" s="1"/>
  <c r="EV287" i="1"/>
  <c r="EV280" i="1" s="1"/>
  <c r="EW287" i="1" s="1"/>
  <c r="EV400" i="1"/>
  <c r="EV398" i="1" s="1"/>
  <c r="EW394" i="1"/>
  <c r="EW393" i="1"/>
  <c r="EW392" i="1"/>
  <c r="EW391" i="1"/>
  <c r="EW385" i="1"/>
  <c r="EW384" i="1"/>
  <c r="EW383" i="1"/>
  <c r="EW382" i="1"/>
  <c r="EV376" i="1"/>
  <c r="EV367" i="1"/>
  <c r="EV364" i="1"/>
  <c r="EV360" i="1"/>
  <c r="EV357" i="1"/>
  <c r="EW358" i="1" s="1"/>
  <c r="EV353" i="1"/>
  <c r="EV350" i="1"/>
  <c r="EW351" i="1" s="1"/>
  <c r="EV346" i="1"/>
  <c r="EW344" i="1"/>
  <c r="EV339" i="1"/>
  <c r="EV336" i="1"/>
  <c r="EW337" i="1" s="1"/>
  <c r="EV332" i="1"/>
  <c r="EV325" i="1"/>
  <c r="EV320" i="1"/>
  <c r="EV315" i="1"/>
  <c r="EW282" i="1"/>
  <c r="EW275" i="1"/>
  <c r="EW274" i="1"/>
  <c r="EW273" i="1"/>
  <c r="EW272" i="1"/>
  <c r="EV271" i="1"/>
  <c r="EW266" i="1"/>
  <c r="EV263" i="1"/>
  <c r="EV256" i="1"/>
  <c r="EV242" i="1"/>
  <c r="EV241" i="1"/>
  <c r="EV231" i="1"/>
  <c r="EV230" i="1"/>
  <c r="EV229" i="1"/>
  <c r="EV228" i="1"/>
  <c r="EV227" i="1"/>
  <c r="EV226" i="1"/>
  <c r="EV209" i="1"/>
  <c r="EV204" i="1"/>
  <c r="EV201" i="1" s="1"/>
  <c r="EV200" i="1" s="1"/>
  <c r="EV203" i="1"/>
  <c r="EV202" i="1"/>
  <c r="EW201" i="1"/>
  <c r="EW196" i="1"/>
  <c r="EW195" i="1"/>
  <c r="EW194" i="1"/>
  <c r="EW187" i="1"/>
  <c r="EW162" i="1"/>
  <c r="EW156" i="1"/>
  <c r="EW150" i="1"/>
  <c r="EW143" i="1"/>
  <c r="EV138" i="1"/>
  <c r="EW128" i="1"/>
  <c r="EV115" i="1"/>
  <c r="EV145" i="1" s="1"/>
  <c r="EV107" i="1"/>
  <c r="EV101" i="1"/>
  <c r="EV251" i="1"/>
  <c r="EV85" i="1"/>
  <c r="EV76" i="1" s="1"/>
  <c r="EV75" i="1"/>
  <c r="EV65" i="1"/>
  <c r="EV63" i="1"/>
  <c r="EV49" i="1"/>
  <c r="EV46" i="1"/>
  <c r="EV45" i="1" s="1"/>
  <c r="EW38" i="1"/>
  <c r="EV38" i="1"/>
  <c r="EV37" i="1" s="1"/>
  <c r="EW31" i="1"/>
  <c r="EV31" i="1"/>
  <c r="EV30" i="1" s="1"/>
  <c r="EW25" i="1"/>
  <c r="EV25" i="1"/>
  <c r="EV24" i="1" s="1"/>
  <c r="EW17" i="1"/>
  <c r="EV17" i="1"/>
  <c r="EV16" i="1" s="1"/>
  <c r="ET285" i="1"/>
  <c r="EV243" i="1" l="1"/>
  <c r="EV252" i="1"/>
  <c r="EV232" i="1"/>
  <c r="EV225" i="1" s="1"/>
  <c r="EV239" i="1"/>
  <c r="EW401" i="1"/>
  <c r="EW402" i="1"/>
  <c r="EV244" i="1"/>
  <c r="EW403" i="1"/>
  <c r="EV13" i="1"/>
  <c r="EW14" i="1"/>
  <c r="EW13" i="1"/>
  <c r="EV249" i="1"/>
  <c r="EV73" i="1" s="1"/>
  <c r="EW404" i="1"/>
  <c r="EW405" i="1"/>
  <c r="EV270" i="1"/>
  <c r="EW390" i="1"/>
  <c r="EW381" i="1"/>
  <c r="EV331" i="1"/>
  <c r="EW127" i="1"/>
  <c r="EW129" i="1"/>
  <c r="EW130" i="1"/>
  <c r="EW131" i="1"/>
  <c r="EV303" i="1"/>
  <c r="EV224" i="1"/>
  <c r="EV71" i="1" s="1"/>
  <c r="EV137" i="1"/>
  <c r="EW117" i="1"/>
  <c r="EW116" i="1"/>
  <c r="EW119" i="1"/>
  <c r="EW120" i="1"/>
  <c r="EW118" i="1"/>
  <c r="EV14" i="1"/>
  <c r="EW85" i="1"/>
  <c r="EW281" i="1"/>
  <c r="EW185" i="1"/>
  <c r="EW186" i="1"/>
  <c r="EW283" i="1"/>
  <c r="EV293" i="1"/>
  <c r="EV250" i="1"/>
  <c r="EW284" i="1"/>
  <c r="EV294" i="1"/>
  <c r="EV279" i="1"/>
  <c r="EW285" i="1"/>
  <c r="ET326" i="1"/>
  <c r="EV238" i="1" l="1"/>
  <c r="EV236" i="1" s="1"/>
  <c r="EV74" i="1"/>
  <c r="EW76" i="1" s="1"/>
  <c r="EW84" i="1"/>
  <c r="EW83" i="1"/>
  <c r="EW82" i="1"/>
  <c r="EW81" i="1"/>
  <c r="EW88" i="1"/>
  <c r="EW80" i="1"/>
  <c r="EW87" i="1"/>
  <c r="EW79" i="1"/>
  <c r="EW86" i="1"/>
  <c r="EW78" i="1"/>
  <c r="EW89" i="1"/>
  <c r="EW12" i="1"/>
  <c r="EV12" i="1"/>
  <c r="EV11" i="1" s="1"/>
  <c r="EW400" i="1"/>
  <c r="EW126" i="1"/>
  <c r="EV248" i="1"/>
  <c r="EV70" i="1"/>
  <c r="EW115" i="1"/>
  <c r="EV223" i="1"/>
  <c r="EW280" i="1"/>
  <c r="EV299" i="1"/>
  <c r="EV292" i="1"/>
  <c r="EV297" i="1"/>
  <c r="EV291" i="1"/>
  <c r="EV298" i="1"/>
  <c r="EV296" i="1"/>
  <c r="ET193" i="1"/>
  <c r="EU196" i="1" s="1"/>
  <c r="ET184" i="1"/>
  <c r="EU186" i="1" s="1"/>
  <c r="EU162" i="1"/>
  <c r="ET287" i="1"/>
  <c r="ET280" i="1" s="1"/>
  <c r="ET400" i="1"/>
  <c r="EU404" i="1" s="1"/>
  <c r="EU394" i="1"/>
  <c r="EU393" i="1"/>
  <c r="EU392" i="1"/>
  <c r="EU391" i="1"/>
  <c r="EU385" i="1"/>
  <c r="EU384" i="1"/>
  <c r="EU383" i="1"/>
  <c r="EU382" i="1"/>
  <c r="ET376" i="1"/>
  <c r="ET367" i="1"/>
  <c r="ET364" i="1"/>
  <c r="ET360" i="1"/>
  <c r="ET357" i="1"/>
  <c r="EU358" i="1" s="1"/>
  <c r="ET353" i="1"/>
  <c r="ET350" i="1"/>
  <c r="EU351" i="1" s="1"/>
  <c r="ET346" i="1"/>
  <c r="EU344" i="1"/>
  <c r="ET339" i="1"/>
  <c r="ET336" i="1"/>
  <c r="EU337" i="1" s="1"/>
  <c r="ET332" i="1"/>
  <c r="ET325" i="1"/>
  <c r="ET320" i="1"/>
  <c r="ET315" i="1"/>
  <c r="ET308" i="1"/>
  <c r="ET303" i="1"/>
  <c r="ET295" i="1"/>
  <c r="EU282" i="1"/>
  <c r="EU275" i="1"/>
  <c r="EU274" i="1"/>
  <c r="EU273" i="1"/>
  <c r="EU272" i="1"/>
  <c r="ET271" i="1"/>
  <c r="ET270" i="1" s="1"/>
  <c r="EU266" i="1"/>
  <c r="ET263" i="1"/>
  <c r="ET256" i="1"/>
  <c r="ET237" i="1"/>
  <c r="ET231" i="1"/>
  <c r="ET230" i="1"/>
  <c r="ET229" i="1"/>
  <c r="ET228" i="1"/>
  <c r="ET227" i="1"/>
  <c r="ET226" i="1"/>
  <c r="ET209" i="1"/>
  <c r="ET204" i="1"/>
  <c r="ET201" i="1" s="1"/>
  <c r="ET200" i="1" s="1"/>
  <c r="ET203" i="1"/>
  <c r="ET202" i="1"/>
  <c r="EU201" i="1"/>
  <c r="EU156" i="1"/>
  <c r="EU150" i="1"/>
  <c r="EU143" i="1"/>
  <c r="ET138" i="1"/>
  <c r="ET126" i="1"/>
  <c r="EU131" i="1" s="1"/>
  <c r="ET115" i="1"/>
  <c r="EU119" i="1" s="1"/>
  <c r="ET107" i="1"/>
  <c r="ET101" i="1"/>
  <c r="ET85" i="1"/>
  <c r="ET75" i="1"/>
  <c r="ET65" i="1"/>
  <c r="ET63" i="1"/>
  <c r="ET49" i="1"/>
  <c r="ET45" i="1"/>
  <c r="EU38" i="1"/>
  <c r="ET38" i="1"/>
  <c r="ET37" i="1" s="1"/>
  <c r="EU31" i="1"/>
  <c r="ET31" i="1"/>
  <c r="ET30" i="1" s="1"/>
  <c r="ET25" i="1"/>
  <c r="EU17" i="1"/>
  <c r="ET17" i="1"/>
  <c r="ET16" i="1" s="1"/>
  <c r="DC17" i="1"/>
  <c r="DC13" i="1" s="1"/>
  <c r="ER287" i="1"/>
  <c r="ER285" i="1"/>
  <c r="ER326" i="1"/>
  <c r="ET239" i="1" l="1"/>
  <c r="ET76" i="1"/>
  <c r="ET74" i="1" s="1"/>
  <c r="EU75" i="1" s="1"/>
  <c r="ET252" i="1"/>
  <c r="ET243" i="1"/>
  <c r="EW75" i="1"/>
  <c r="EV69" i="1"/>
  <c r="ET249" i="1"/>
  <c r="ET73" i="1" s="1"/>
  <c r="EU193" i="1"/>
  <c r="EU184" i="1"/>
  <c r="EU194" i="1"/>
  <c r="EU381" i="1"/>
  <c r="EU195" i="1"/>
  <c r="ET250" i="1"/>
  <c r="EU187" i="1"/>
  <c r="EU185" i="1"/>
  <c r="EU390" i="1"/>
  <c r="EU401" i="1"/>
  <c r="EU405" i="1"/>
  <c r="ET398" i="1"/>
  <c r="ET137" i="1"/>
  <c r="EU120" i="1"/>
  <c r="EU116" i="1"/>
  <c r="ET145" i="1"/>
  <c r="ET14" i="1"/>
  <c r="EU13" i="1"/>
  <c r="EU14" i="1"/>
  <c r="ET24" i="1"/>
  <c r="ET13" i="1"/>
  <c r="ET331" i="1"/>
  <c r="EU287" i="1"/>
  <c r="ET224" i="1"/>
  <c r="ET71" i="1" s="1"/>
  <c r="EU284" i="1"/>
  <c r="ET279" i="1"/>
  <c r="ET294" i="1"/>
  <c r="EU281" i="1"/>
  <c r="ET293" i="1"/>
  <c r="EU283" i="1"/>
  <c r="EU117" i="1"/>
  <c r="EU129" i="1"/>
  <c r="EU285" i="1"/>
  <c r="EU402" i="1"/>
  <c r="EU128" i="1"/>
  <c r="EU118" i="1"/>
  <c r="EU130" i="1"/>
  <c r="ET232" i="1"/>
  <c r="ET225" i="1" s="1"/>
  <c r="ET244" i="1"/>
  <c r="EU403" i="1"/>
  <c r="EU127" i="1"/>
  <c r="ER193" i="1"/>
  <c r="ES195" i="1" s="1"/>
  <c r="ER184" i="1"/>
  <c r="ES184" i="1" s="1"/>
  <c r="ER89" i="1"/>
  <c r="ER251" i="1" s="1"/>
  <c r="ES162" i="1"/>
  <c r="ER400" i="1"/>
  <c r="ES403" i="1" s="1"/>
  <c r="ES394" i="1"/>
  <c r="ES393" i="1"/>
  <c r="ES392" i="1"/>
  <c r="ES391" i="1"/>
  <c r="ES385" i="1"/>
  <c r="ES384" i="1"/>
  <c r="ES383" i="1"/>
  <c r="ES382" i="1"/>
  <c r="ER376" i="1"/>
  <c r="ER367" i="1"/>
  <c r="ER364" i="1"/>
  <c r="ER360" i="1"/>
  <c r="ER357" i="1"/>
  <c r="ES358" i="1" s="1"/>
  <c r="ER353" i="1"/>
  <c r="ER350" i="1"/>
  <c r="ES351" i="1" s="1"/>
  <c r="ER346" i="1"/>
  <c r="ES344" i="1"/>
  <c r="ER339" i="1"/>
  <c r="ER336" i="1"/>
  <c r="ES337" i="1" s="1"/>
  <c r="ER332" i="1"/>
  <c r="ER325" i="1"/>
  <c r="ER320" i="1"/>
  <c r="ER315" i="1"/>
  <c r="ER308" i="1"/>
  <c r="ER303" i="1"/>
  <c r="ER295" i="1"/>
  <c r="ES282" i="1"/>
  <c r="ER280" i="1"/>
  <c r="ES283" i="1" s="1"/>
  <c r="ES275" i="1"/>
  <c r="ES274" i="1"/>
  <c r="ES273" i="1"/>
  <c r="ES272" i="1"/>
  <c r="ER271" i="1"/>
  <c r="ER270" i="1" s="1"/>
  <c r="ES266" i="1"/>
  <c r="ER263" i="1"/>
  <c r="ER256" i="1"/>
  <c r="ER242" i="1"/>
  <c r="ER241" i="1"/>
  <c r="ER237" i="1"/>
  <c r="ER231" i="1"/>
  <c r="ER230" i="1"/>
  <c r="ER229" i="1"/>
  <c r="ER228" i="1"/>
  <c r="ER227" i="1"/>
  <c r="ER226" i="1"/>
  <c r="ES215" i="1"/>
  <c r="ER215" i="1"/>
  <c r="ER209" i="1"/>
  <c r="ER204" i="1"/>
  <c r="ER201" i="1" s="1"/>
  <c r="ER200" i="1" s="1"/>
  <c r="ER203" i="1"/>
  <c r="ER202" i="1"/>
  <c r="ES201" i="1"/>
  <c r="ES185" i="1"/>
  <c r="ES156" i="1"/>
  <c r="ES150" i="1"/>
  <c r="ES143" i="1"/>
  <c r="ER138" i="1"/>
  <c r="ER126" i="1"/>
  <c r="ER115" i="1"/>
  <c r="ES118" i="1" s="1"/>
  <c r="ER107" i="1"/>
  <c r="ER101" i="1"/>
  <c r="ER85" i="1"/>
  <c r="ER75" i="1"/>
  <c r="ER65" i="1"/>
  <c r="ER244" i="1" s="1"/>
  <c r="ER63" i="1"/>
  <c r="ER49" i="1"/>
  <c r="ER47" i="1"/>
  <c r="ES38" i="1"/>
  <c r="ER38" i="1"/>
  <c r="ES31" i="1"/>
  <c r="ER31" i="1"/>
  <c r="ER30" i="1" s="1"/>
  <c r="ES25" i="1"/>
  <c r="ER25" i="1"/>
  <c r="ER24" i="1" s="1"/>
  <c r="ES17" i="1"/>
  <c r="ER17" i="1"/>
  <c r="EP326" i="1"/>
  <c r="EV213" i="1" l="1"/>
  <c r="ES187" i="1"/>
  <c r="ER46" i="1"/>
  <c r="ER45" i="1" s="1"/>
  <c r="ES130" i="1"/>
  <c r="ES127" i="1"/>
  <c r="ET248" i="1"/>
  <c r="ET70" i="1"/>
  <c r="ET69" i="1" s="1"/>
  <c r="ES13" i="1"/>
  <c r="ET238" i="1"/>
  <c r="ET236" i="1" s="1"/>
  <c r="ES194" i="1"/>
  <c r="ER76" i="1"/>
  <c r="ER74" i="1" s="1"/>
  <c r="ES76" i="1" s="1"/>
  <c r="ET223" i="1"/>
  <c r="ET12" i="1"/>
  <c r="ET11" i="1" s="1"/>
  <c r="EU12" i="1"/>
  <c r="EU126" i="1"/>
  <c r="EU400" i="1"/>
  <c r="ET299" i="1"/>
  <c r="ET292" i="1"/>
  <c r="ET298" i="1"/>
  <c r="EU280" i="1"/>
  <c r="ET297" i="1"/>
  <c r="ET291" i="1"/>
  <c r="EU115" i="1"/>
  <c r="ET296" i="1"/>
  <c r="EU76" i="1"/>
  <c r="ER16" i="1"/>
  <c r="ER13" i="1"/>
  <c r="ER14" i="1"/>
  <c r="ES14" i="1"/>
  <c r="ES193" i="1"/>
  <c r="ER37" i="1"/>
  <c r="ES404" i="1"/>
  <c r="ES390" i="1"/>
  <c r="ES405" i="1"/>
  <c r="ER398" i="1"/>
  <c r="ES402" i="1"/>
  <c r="ER249" i="1"/>
  <c r="ER73" i="1" s="1"/>
  <c r="ES401" i="1"/>
  <c r="ES381" i="1"/>
  <c r="ER331" i="1"/>
  <c r="ES285" i="1"/>
  <c r="ER224" i="1"/>
  <c r="ER71" i="1" s="1"/>
  <c r="ES287" i="1"/>
  <c r="ER294" i="1"/>
  <c r="ER291" i="1" s="1"/>
  <c r="ER279" i="1"/>
  <c r="ER137" i="1"/>
  <c r="ES116" i="1"/>
  <c r="ES119" i="1"/>
  <c r="ES131" i="1"/>
  <c r="ES120" i="1"/>
  <c r="ES196" i="1"/>
  <c r="ER213" i="1"/>
  <c r="ES281" i="1"/>
  <c r="ER293" i="1"/>
  <c r="ES186" i="1"/>
  <c r="ER239" i="1"/>
  <c r="ER145" i="1"/>
  <c r="ER252" i="1"/>
  <c r="ER250" i="1" s="1"/>
  <c r="ES284" i="1"/>
  <c r="ES128" i="1"/>
  <c r="ES117" i="1"/>
  <c r="ES129" i="1"/>
  <c r="ER243" i="1"/>
  <c r="ER232" i="1"/>
  <c r="ER225" i="1" s="1"/>
  <c r="EP193" i="1"/>
  <c r="EQ193" i="1" s="1"/>
  <c r="EP184" i="1"/>
  <c r="EQ187" i="1" s="1"/>
  <c r="EX213" i="1" l="1"/>
  <c r="ES126" i="1"/>
  <c r="ER12" i="1"/>
  <c r="ER11" i="1" s="1"/>
  <c r="ES12" i="1"/>
  <c r="ER223" i="1"/>
  <c r="EQ194" i="1"/>
  <c r="EQ195" i="1"/>
  <c r="EQ196" i="1"/>
  <c r="ES400" i="1"/>
  <c r="ER248" i="1"/>
  <c r="ER70" i="1"/>
  <c r="ER69" i="1" s="1"/>
  <c r="ES280" i="1"/>
  <c r="ES115" i="1"/>
  <c r="ES75" i="1"/>
  <c r="ER297" i="1"/>
  <c r="ER296" i="1"/>
  <c r="EQ184" i="1"/>
  <c r="EQ185" i="1"/>
  <c r="EQ186" i="1"/>
  <c r="ER299" i="1"/>
  <c r="ER298" i="1"/>
  <c r="ER292" i="1"/>
  <c r="ER238" i="1"/>
  <c r="ER236" i="1" s="1"/>
  <c r="EP47" i="1" l="1"/>
  <c r="EP46" i="1" s="1"/>
  <c r="EN47" i="1"/>
  <c r="EP350" i="1"/>
  <c r="EQ351" i="1" s="1"/>
  <c r="EN326" i="1"/>
  <c r="EP332" i="1"/>
  <c r="EP325" i="1"/>
  <c r="EP280" i="1"/>
  <c r="EP279" i="1" s="1"/>
  <c r="EP242" i="1"/>
  <c r="EP241" i="1"/>
  <c r="EP230" i="1"/>
  <c r="EP228" i="1"/>
  <c r="EP227" i="1"/>
  <c r="EP215" i="1"/>
  <c r="EP213" i="1" s="1"/>
  <c r="EP126" i="1"/>
  <c r="EQ129" i="1" s="1"/>
  <c r="EP38" i="1"/>
  <c r="EP31" i="1"/>
  <c r="EP30" i="1" s="1"/>
  <c r="EP25" i="1"/>
  <c r="EP24" i="1" s="1"/>
  <c r="EP17" i="1"/>
  <c r="EP400" i="1"/>
  <c r="EQ402" i="1" s="1"/>
  <c r="EQ394" i="1"/>
  <c r="EQ393" i="1"/>
  <c r="EQ392" i="1"/>
  <c r="EQ391" i="1"/>
  <c r="EQ385" i="1"/>
  <c r="EQ384" i="1"/>
  <c r="EQ383" i="1"/>
  <c r="EQ382" i="1"/>
  <c r="EP376" i="1"/>
  <c r="EP367" i="1"/>
  <c r="EP364" i="1"/>
  <c r="EP360" i="1"/>
  <c r="EP357" i="1"/>
  <c r="EQ358" i="1" s="1"/>
  <c r="EP353" i="1"/>
  <c r="EP346" i="1"/>
  <c r="EQ344" i="1"/>
  <c r="EP339" i="1"/>
  <c r="EP336" i="1"/>
  <c r="EQ337" i="1" s="1"/>
  <c r="EP320" i="1"/>
  <c r="EP315" i="1"/>
  <c r="EP308" i="1"/>
  <c r="EP303" i="1"/>
  <c r="EQ282" i="1"/>
  <c r="EQ275" i="1"/>
  <c r="EQ274" i="1"/>
  <c r="EQ273" i="1"/>
  <c r="EQ272" i="1"/>
  <c r="EP271" i="1"/>
  <c r="EP270" i="1" s="1"/>
  <c r="EQ266" i="1"/>
  <c r="EP263" i="1"/>
  <c r="EP256" i="1"/>
  <c r="EP251" i="1"/>
  <c r="EP237" i="1"/>
  <c r="EP231" i="1"/>
  <c r="EP229" i="1"/>
  <c r="EP226" i="1"/>
  <c r="EQ215" i="1"/>
  <c r="EP209" i="1"/>
  <c r="EP204" i="1"/>
  <c r="EP201" i="1" s="1"/>
  <c r="EP200" i="1" s="1"/>
  <c r="EP203" i="1"/>
  <c r="EP202" i="1"/>
  <c r="EQ201" i="1"/>
  <c r="EQ162" i="1"/>
  <c r="EQ156" i="1"/>
  <c r="EQ150" i="1"/>
  <c r="EQ143" i="1"/>
  <c r="EP138" i="1"/>
  <c r="EP115" i="1"/>
  <c r="EQ118" i="1" s="1"/>
  <c r="EP107" i="1"/>
  <c r="EP101" i="1"/>
  <c r="EP85" i="1"/>
  <c r="EP76" i="1" s="1"/>
  <c r="EP75" i="1"/>
  <c r="EP65" i="1"/>
  <c r="EP243" i="1" s="1"/>
  <c r="EP63" i="1"/>
  <c r="EP49" i="1"/>
  <c r="EQ38" i="1"/>
  <c r="EQ31" i="1"/>
  <c r="EQ25" i="1"/>
  <c r="EQ17" i="1"/>
  <c r="EP295" i="1"/>
  <c r="DM256" i="1"/>
  <c r="EP244" i="1" l="1"/>
  <c r="EP13" i="1"/>
  <c r="EP37" i="1"/>
  <c r="EP14" i="1"/>
  <c r="EQ14" i="1"/>
  <c r="EQ13" i="1"/>
  <c r="EP232" i="1"/>
  <c r="EP225" i="1" s="1"/>
  <c r="EQ381" i="1"/>
  <c r="EP239" i="1"/>
  <c r="EP238" i="1" s="1"/>
  <c r="EP236" i="1" s="1"/>
  <c r="EQ390" i="1"/>
  <c r="EQ401" i="1"/>
  <c r="EQ403" i="1"/>
  <c r="EQ404" i="1"/>
  <c r="EP249" i="1"/>
  <c r="EP73" i="1" s="1"/>
  <c r="EQ405" i="1"/>
  <c r="EP398" i="1"/>
  <c r="EP145" i="1"/>
  <c r="EQ285" i="1"/>
  <c r="EQ287" i="1"/>
  <c r="EP224" i="1"/>
  <c r="EP71" i="1" s="1"/>
  <c r="EP137" i="1"/>
  <c r="EQ130" i="1"/>
  <c r="EQ131" i="1"/>
  <c r="EQ128" i="1"/>
  <c r="EQ119" i="1"/>
  <c r="EQ117" i="1"/>
  <c r="EQ116" i="1"/>
  <c r="EP74" i="1"/>
  <c r="EP45" i="1"/>
  <c r="EP16" i="1"/>
  <c r="EP331" i="1"/>
  <c r="EQ120" i="1"/>
  <c r="EQ281" i="1"/>
  <c r="EP293" i="1"/>
  <c r="EP294" i="1"/>
  <c r="EQ283" i="1"/>
  <c r="EQ127" i="1"/>
  <c r="EP252" i="1"/>
  <c r="EP250" i="1" s="1"/>
  <c r="EQ284" i="1"/>
  <c r="EP12" i="1" l="1"/>
  <c r="EP11" i="1" s="1"/>
  <c r="EQ12" i="1"/>
  <c r="EP248" i="1"/>
  <c r="EP70" i="1"/>
  <c r="EP69" i="1" s="1"/>
  <c r="EQ400" i="1"/>
  <c r="EQ126" i="1"/>
  <c r="EP223" i="1"/>
  <c r="EQ115" i="1"/>
  <c r="EQ75" i="1"/>
  <c r="EQ76" i="1"/>
  <c r="EP291" i="1"/>
  <c r="EP297" i="1"/>
  <c r="EP299" i="1"/>
  <c r="EP298" i="1"/>
  <c r="EP292" i="1"/>
  <c r="EQ280" i="1"/>
  <c r="EP296" i="1"/>
  <c r="DQ326" i="1" l="1"/>
  <c r="DS326" i="1"/>
  <c r="EN193" i="1" l="1"/>
  <c r="EO193" i="1" s="1"/>
  <c r="EN184" i="1"/>
  <c r="EO186" i="1" s="1"/>
  <c r="EN4" i="1"/>
  <c r="EO184" i="1" l="1"/>
  <c r="EO185" i="1"/>
  <c r="EO187" i="1"/>
  <c r="EN49" i="1"/>
  <c r="EN46" i="1"/>
  <c r="EN45" i="1" s="1"/>
  <c r="EN350" i="1"/>
  <c r="EO351" i="1" s="1"/>
  <c r="EN332" i="1"/>
  <c r="EN325" i="1"/>
  <c r="EN280" i="1"/>
  <c r="EN224" i="1" s="1"/>
  <c r="EN71" i="1" s="1"/>
  <c r="EN242" i="1"/>
  <c r="EN241" i="1"/>
  <c r="EN237" i="1"/>
  <c r="EN227" i="1"/>
  <c r="EN215" i="1"/>
  <c r="EN219" i="1" s="1"/>
  <c r="EP219" i="1" s="1"/>
  <c r="ER219" i="1" s="1"/>
  <c r="EO162" i="1"/>
  <c r="EO156" i="1"/>
  <c r="EN126" i="1"/>
  <c r="EO127" i="1" s="1"/>
  <c r="EN115" i="1"/>
  <c r="EO117" i="1" s="1"/>
  <c r="EN17" i="1"/>
  <c r="EN400" i="1"/>
  <c r="EO403" i="1" s="1"/>
  <c r="EO394" i="1"/>
  <c r="EO393" i="1"/>
  <c r="EO392" i="1"/>
  <c r="EO391" i="1"/>
  <c r="EO385" i="1"/>
  <c r="EO384" i="1"/>
  <c r="EO383" i="1"/>
  <c r="EO382" i="1"/>
  <c r="EN376" i="1"/>
  <c r="EN367" i="1"/>
  <c r="EN364" i="1"/>
  <c r="EN360" i="1"/>
  <c r="EN357" i="1"/>
  <c r="EO358" i="1" s="1"/>
  <c r="EN353" i="1"/>
  <c r="EN346" i="1"/>
  <c r="EO344" i="1"/>
  <c r="EN339" i="1"/>
  <c r="EN336" i="1"/>
  <c r="EO337" i="1" s="1"/>
  <c r="EN320" i="1"/>
  <c r="EN315" i="1"/>
  <c r="EN308" i="1"/>
  <c r="EO282" i="1"/>
  <c r="EO275" i="1"/>
  <c r="EO274" i="1"/>
  <c r="EO273" i="1"/>
  <c r="EO272" i="1"/>
  <c r="EN271" i="1"/>
  <c r="EN270" i="1" s="1"/>
  <c r="EO266" i="1"/>
  <c r="EN263" i="1"/>
  <c r="EN256" i="1"/>
  <c r="EN251" i="1"/>
  <c r="EN231" i="1"/>
  <c r="EN230" i="1"/>
  <c r="EN229" i="1"/>
  <c r="EN228" i="1"/>
  <c r="EN226" i="1"/>
  <c r="EO215" i="1"/>
  <c r="EO219" i="1" s="1"/>
  <c r="EQ219" i="1" s="1"/>
  <c r="ES219" i="1" s="1"/>
  <c r="EN209" i="1"/>
  <c r="EN204" i="1"/>
  <c r="EN201" i="1" s="1"/>
  <c r="EN200" i="1" s="1"/>
  <c r="EN203" i="1"/>
  <c r="EN202" i="1"/>
  <c r="EO201" i="1"/>
  <c r="EO196" i="1"/>
  <c r="EO195" i="1"/>
  <c r="EO194" i="1"/>
  <c r="EO150" i="1"/>
  <c r="EO143" i="1"/>
  <c r="EN138" i="1"/>
  <c r="EN107" i="1"/>
  <c r="EN101" i="1"/>
  <c r="EN85" i="1"/>
  <c r="EN239" i="1" s="1"/>
  <c r="EN75" i="1"/>
  <c r="EN243" i="1"/>
  <c r="EN63" i="1"/>
  <c r="EO38" i="1"/>
  <c r="EN38" i="1"/>
  <c r="EO31" i="1"/>
  <c r="EN31" i="1"/>
  <c r="EN30" i="1" s="1"/>
  <c r="EO25" i="1"/>
  <c r="EN25" i="1"/>
  <c r="EN24" i="1" s="1"/>
  <c r="EO17" i="1"/>
  <c r="EN295" i="1"/>
  <c r="DT383" i="1"/>
  <c r="DT382" i="1"/>
  <c r="DS320" i="1"/>
  <c r="DQ320" i="1"/>
  <c r="DO320" i="1"/>
  <c r="DM320" i="1"/>
  <c r="DK320" i="1"/>
  <c r="DI320" i="1"/>
  <c r="DG320" i="1"/>
  <c r="DE320" i="1"/>
  <c r="DC320" i="1"/>
  <c r="DC308" i="1"/>
  <c r="DS308" i="1"/>
  <c r="DQ308" i="1"/>
  <c r="DO308" i="1"/>
  <c r="DM308" i="1"/>
  <c r="DK308" i="1"/>
  <c r="DI308" i="1"/>
  <c r="DG308" i="1"/>
  <c r="DE308" i="1"/>
  <c r="CC321" i="1"/>
  <c r="CC320" i="1" s="1"/>
  <c r="CA321" i="1"/>
  <c r="CA320" i="1" s="1"/>
  <c r="BY321" i="1"/>
  <c r="BY320" i="1" s="1"/>
  <c r="BW321" i="1"/>
  <c r="BW320" i="1" s="1"/>
  <c r="BU321" i="1"/>
  <c r="BU320" i="1" s="1"/>
  <c r="I321" i="1"/>
  <c r="DA320" i="1"/>
  <c r="CY320" i="1"/>
  <c r="CW320" i="1"/>
  <c r="CU320" i="1"/>
  <c r="CS320" i="1"/>
  <c r="CQ320" i="1"/>
  <c r="CO320" i="1"/>
  <c r="CM320" i="1"/>
  <c r="CK320" i="1"/>
  <c r="CI320" i="1"/>
  <c r="CG320" i="1"/>
  <c r="CE320" i="1"/>
  <c r="BS320" i="1"/>
  <c r="BQ320" i="1"/>
  <c r="BO320" i="1"/>
  <c r="BM320" i="1"/>
  <c r="BK320" i="1"/>
  <c r="BI320" i="1"/>
  <c r="BG320" i="1"/>
  <c r="BE320" i="1"/>
  <c r="BC320" i="1"/>
  <c r="BA320" i="1"/>
  <c r="AY320" i="1"/>
  <c r="AW320" i="1"/>
  <c r="AU320" i="1"/>
  <c r="AS320" i="1"/>
  <c r="AQ320" i="1"/>
  <c r="AO320" i="1"/>
  <c r="AM320" i="1"/>
  <c r="AK320" i="1"/>
  <c r="AI320" i="1"/>
  <c r="AG320" i="1"/>
  <c r="AE320" i="1"/>
  <c r="AC320" i="1"/>
  <c r="AA320" i="1"/>
  <c r="Y320" i="1"/>
  <c r="W320" i="1"/>
  <c r="U320" i="1"/>
  <c r="S320" i="1"/>
  <c r="Q320" i="1"/>
  <c r="O320" i="1"/>
  <c r="M320" i="1"/>
  <c r="K320" i="1"/>
  <c r="I310" i="1"/>
  <c r="DC303" i="1"/>
  <c r="DS315" i="1"/>
  <c r="DI295" i="1"/>
  <c r="DO263" i="1"/>
  <c r="DM263" i="1"/>
  <c r="EN37" i="1" l="1"/>
  <c r="EN14" i="1"/>
  <c r="EO14" i="1"/>
  <c r="EN13" i="1"/>
  <c r="EO13" i="1"/>
  <c r="EO381" i="1"/>
  <c r="EN249" i="1"/>
  <c r="EN73" i="1" s="1"/>
  <c r="EN70" i="1" s="1"/>
  <c r="EN398" i="1"/>
  <c r="EN294" i="1"/>
  <c r="EN296" i="1" s="1"/>
  <c r="EN145" i="1"/>
  <c r="EN279" i="1"/>
  <c r="EN137" i="1"/>
  <c r="EN244" i="1"/>
  <c r="EN238" i="1" s="1"/>
  <c r="EN236" i="1" s="1"/>
  <c r="EO118" i="1"/>
  <c r="EO119" i="1"/>
  <c r="EO404" i="1"/>
  <c r="EN232" i="1"/>
  <c r="EN225" i="1" s="1"/>
  <c r="EN223" i="1" s="1"/>
  <c r="EO405" i="1"/>
  <c r="EO129" i="1"/>
  <c r="EO390" i="1"/>
  <c r="EO128" i="1"/>
  <c r="EO130" i="1"/>
  <c r="EO116" i="1"/>
  <c r="EO131" i="1"/>
  <c r="EN16" i="1"/>
  <c r="EN331" i="1"/>
  <c r="EN303" i="1"/>
  <c r="EN293" i="1"/>
  <c r="EO287" i="1"/>
  <c r="EO120" i="1"/>
  <c r="EO283" i="1"/>
  <c r="EO281" i="1"/>
  <c r="EN76" i="1"/>
  <c r="EN74" i="1" s="1"/>
  <c r="EN252" i="1"/>
  <c r="EN250" i="1" s="1"/>
  <c r="EO284" i="1"/>
  <c r="EO401" i="1"/>
  <c r="EO285" i="1"/>
  <c r="EO402" i="1"/>
  <c r="I320" i="1"/>
  <c r="EO12" i="1" l="1"/>
  <c r="EN248" i="1"/>
  <c r="EO400" i="1"/>
  <c r="EN12" i="1"/>
  <c r="EN11" i="1" s="1"/>
  <c r="EO126" i="1"/>
  <c r="EO115" i="1"/>
  <c r="EN299" i="1"/>
  <c r="EN292" i="1"/>
  <c r="EO280" i="1"/>
  <c r="EN298" i="1"/>
  <c r="EN297" i="1"/>
  <c r="EN291" i="1"/>
  <c r="DS237" i="1"/>
  <c r="DC209" i="1"/>
  <c r="DR193" i="1"/>
  <c r="DN184" i="1"/>
  <c r="DK49" i="1"/>
  <c r="DS47" i="1"/>
  <c r="DT25" i="1"/>
  <c r="DS25" i="1"/>
  <c r="DS24" i="1" s="1"/>
  <c r="DR25" i="1"/>
  <c r="DQ25" i="1"/>
  <c r="DQ24" i="1" s="1"/>
  <c r="DP25" i="1"/>
  <c r="DO25" i="1"/>
  <c r="DO24" i="1" s="1"/>
  <c r="DN25" i="1"/>
  <c r="DM25" i="1"/>
  <c r="DM24" i="1" s="1"/>
  <c r="DL25" i="1"/>
  <c r="DK25" i="1"/>
  <c r="DK24" i="1" s="1"/>
  <c r="DJ25" i="1"/>
  <c r="DI25" i="1"/>
  <c r="DI24" i="1" s="1"/>
  <c r="DH25" i="1"/>
  <c r="DG25" i="1"/>
  <c r="DG24" i="1" s="1"/>
  <c r="DF25" i="1"/>
  <c r="DE25" i="1"/>
  <c r="DE24" i="1" s="1"/>
  <c r="DD25" i="1"/>
  <c r="DC25" i="1"/>
  <c r="DC24" i="1" s="1"/>
  <c r="DT31" i="1"/>
  <c r="I32" i="1"/>
  <c r="DS31" i="1"/>
  <c r="DS30" i="1" s="1"/>
  <c r="DR31" i="1"/>
  <c r="DQ31" i="1"/>
  <c r="DQ30" i="1" s="1"/>
  <c r="DP31" i="1"/>
  <c r="DO31" i="1"/>
  <c r="DO30" i="1" s="1"/>
  <c r="DN31" i="1"/>
  <c r="DM31" i="1"/>
  <c r="DM30" i="1" s="1"/>
  <c r="DL31" i="1"/>
  <c r="DK31" i="1"/>
  <c r="DK30" i="1" s="1"/>
  <c r="DJ31" i="1"/>
  <c r="DI31" i="1"/>
  <c r="DI30" i="1" s="1"/>
  <c r="DH31" i="1"/>
  <c r="DG31" i="1"/>
  <c r="DG30" i="1" s="1"/>
  <c r="DF31" i="1"/>
  <c r="DE31" i="1"/>
  <c r="DE30" i="1" s="1"/>
  <c r="DD31" i="1"/>
  <c r="DC31" i="1"/>
  <c r="DC30" i="1" s="1"/>
  <c r="DB31" i="1"/>
  <c r="DA31" i="1"/>
  <c r="CZ31" i="1"/>
  <c r="CY31" i="1"/>
  <c r="CY30" i="1" s="1"/>
  <c r="CX31" i="1"/>
  <c r="CW31" i="1"/>
  <c r="CW30" i="1" s="1"/>
  <c r="CV31" i="1"/>
  <c r="CU31" i="1"/>
  <c r="CU30" i="1" s="1"/>
  <c r="CT31" i="1"/>
  <c r="CS31" i="1"/>
  <c r="CS30" i="1" s="1"/>
  <c r="CR31" i="1"/>
  <c r="CQ31" i="1"/>
  <c r="CQ30" i="1" s="1"/>
  <c r="CP31" i="1"/>
  <c r="CO31" i="1"/>
  <c r="CO30" i="1" s="1"/>
  <c r="CN31" i="1"/>
  <c r="CM31" i="1"/>
  <c r="CM30" i="1" s="1"/>
  <c r="CL31" i="1"/>
  <c r="CK31" i="1"/>
  <c r="CK30" i="1" s="1"/>
  <c r="CJ31" i="1"/>
  <c r="CI31" i="1"/>
  <c r="CI30" i="1" s="1"/>
  <c r="CH31" i="1"/>
  <c r="CG31" i="1"/>
  <c r="CG30" i="1" s="1"/>
  <c r="CF31" i="1"/>
  <c r="CE31" i="1"/>
  <c r="CE30" i="1" s="1"/>
  <c r="CD31" i="1"/>
  <c r="CC31" i="1"/>
  <c r="CC30" i="1" s="1"/>
  <c r="CB31" i="1"/>
  <c r="CA31" i="1"/>
  <c r="CA30" i="1" s="1"/>
  <c r="BZ31" i="1"/>
  <c r="BY31" i="1"/>
  <c r="BY30" i="1" s="1"/>
  <c r="BX31" i="1"/>
  <c r="BW31" i="1"/>
  <c r="BW30" i="1" s="1"/>
  <c r="BV31" i="1"/>
  <c r="BU31" i="1"/>
  <c r="BU30" i="1" s="1"/>
  <c r="BT31" i="1"/>
  <c r="BS31" i="1"/>
  <c r="BS30" i="1" s="1"/>
  <c r="BR31" i="1"/>
  <c r="BQ31" i="1"/>
  <c r="BQ30" i="1" s="1"/>
  <c r="BP31" i="1"/>
  <c r="BO31" i="1"/>
  <c r="BO30" i="1" s="1"/>
  <c r="BN31" i="1"/>
  <c r="BM31" i="1"/>
  <c r="BM30" i="1" s="1"/>
  <c r="BL31" i="1"/>
  <c r="BK31" i="1"/>
  <c r="BK30" i="1" s="1"/>
  <c r="BJ31" i="1"/>
  <c r="BI31" i="1"/>
  <c r="BI30" i="1" s="1"/>
  <c r="BH31" i="1"/>
  <c r="BG31" i="1"/>
  <c r="BG30" i="1" s="1"/>
  <c r="BF31" i="1"/>
  <c r="BE31" i="1"/>
  <c r="BE30" i="1" s="1"/>
  <c r="BD31" i="1"/>
  <c r="BC31" i="1"/>
  <c r="BC30" i="1" s="1"/>
  <c r="BB31" i="1"/>
  <c r="BA31" i="1"/>
  <c r="BA30" i="1" s="1"/>
  <c r="AZ31" i="1"/>
  <c r="AY31" i="1"/>
  <c r="AY30" i="1" s="1"/>
  <c r="AX31" i="1"/>
  <c r="AW31" i="1"/>
  <c r="AW30" i="1" s="1"/>
  <c r="AV31" i="1"/>
  <c r="AU31" i="1"/>
  <c r="AU30" i="1" s="1"/>
  <c r="AT31" i="1"/>
  <c r="AS31" i="1"/>
  <c r="AS30" i="1" s="1"/>
  <c r="AR31" i="1"/>
  <c r="AQ31" i="1"/>
  <c r="AQ30" i="1" s="1"/>
  <c r="AP31" i="1"/>
  <c r="AO31" i="1"/>
  <c r="AO30" i="1" s="1"/>
  <c r="AN31" i="1"/>
  <c r="AM31" i="1"/>
  <c r="AM30" i="1" s="1"/>
  <c r="AL31" i="1"/>
  <c r="AK31" i="1"/>
  <c r="AK30" i="1" s="1"/>
  <c r="AJ31" i="1"/>
  <c r="AI31" i="1"/>
  <c r="AI30" i="1" s="1"/>
  <c r="AH31" i="1"/>
  <c r="AG31" i="1"/>
  <c r="AG30" i="1" s="1"/>
  <c r="AF31" i="1"/>
  <c r="AE31" i="1"/>
  <c r="AE30" i="1" s="1"/>
  <c r="AD31" i="1"/>
  <c r="AC31" i="1"/>
  <c r="AC30" i="1" s="1"/>
  <c r="AB31" i="1"/>
  <c r="AA31" i="1"/>
  <c r="AA30" i="1" s="1"/>
  <c r="Z31" i="1"/>
  <c r="Y31" i="1"/>
  <c r="Y30" i="1" s="1"/>
  <c r="X31" i="1"/>
  <c r="W31" i="1"/>
  <c r="W30" i="1" s="1"/>
  <c r="V31" i="1"/>
  <c r="U31" i="1"/>
  <c r="U30" i="1" s="1"/>
  <c r="T31" i="1"/>
  <c r="S31" i="1"/>
  <c r="S30" i="1" s="1"/>
  <c r="R31" i="1"/>
  <c r="Q31" i="1"/>
  <c r="Q30" i="1" s="1"/>
  <c r="P31" i="1"/>
  <c r="O31" i="1"/>
  <c r="O30" i="1" s="1"/>
  <c r="N31" i="1"/>
  <c r="M31" i="1"/>
  <c r="M30" i="1" s="1"/>
  <c r="L31" i="1"/>
  <c r="K31" i="1"/>
  <c r="K30" i="1" s="1"/>
  <c r="J31" i="1"/>
  <c r="DA30" i="1"/>
  <c r="M27" i="1"/>
  <c r="K27" i="1"/>
  <c r="J27" i="1"/>
  <c r="M26" i="1"/>
  <c r="K26" i="1"/>
  <c r="J26" i="1"/>
  <c r="DB25" i="1"/>
  <c r="DA25" i="1"/>
  <c r="DA24" i="1" s="1"/>
  <c r="CZ25" i="1"/>
  <c r="CY25" i="1"/>
  <c r="CY24" i="1" s="1"/>
  <c r="CX25" i="1"/>
  <c r="CW25" i="1"/>
  <c r="CW24" i="1" s="1"/>
  <c r="CV25" i="1"/>
  <c r="CU25" i="1"/>
  <c r="CU24" i="1" s="1"/>
  <c r="CT25" i="1"/>
  <c r="CS25" i="1"/>
  <c r="CS24" i="1" s="1"/>
  <c r="CR25" i="1"/>
  <c r="CQ25" i="1"/>
  <c r="CQ24" i="1" s="1"/>
  <c r="CP25" i="1"/>
  <c r="CO25" i="1"/>
  <c r="CO24" i="1" s="1"/>
  <c r="CN25" i="1"/>
  <c r="CM25" i="1"/>
  <c r="CM24" i="1" s="1"/>
  <c r="CL25" i="1"/>
  <c r="CK25" i="1"/>
  <c r="CK24" i="1" s="1"/>
  <c r="CJ25" i="1"/>
  <c r="CI25" i="1"/>
  <c r="CI24" i="1" s="1"/>
  <c r="CH25" i="1"/>
  <c r="CG25" i="1"/>
  <c r="CG24" i="1" s="1"/>
  <c r="CF25" i="1"/>
  <c r="CE25" i="1"/>
  <c r="CE24" i="1" s="1"/>
  <c r="CD25" i="1"/>
  <c r="CC25" i="1"/>
  <c r="CC24" i="1" s="1"/>
  <c r="CB25" i="1"/>
  <c r="CA25" i="1"/>
  <c r="CA24" i="1" s="1"/>
  <c r="BZ25" i="1"/>
  <c r="BY25" i="1"/>
  <c r="BY24" i="1" s="1"/>
  <c r="BX25" i="1"/>
  <c r="BW25" i="1"/>
  <c r="BW24" i="1" s="1"/>
  <c r="BV25" i="1"/>
  <c r="BU25" i="1"/>
  <c r="BU24" i="1" s="1"/>
  <c r="BT25" i="1"/>
  <c r="BS25" i="1"/>
  <c r="BS24" i="1" s="1"/>
  <c r="BR25" i="1"/>
  <c r="BQ25" i="1"/>
  <c r="BQ24" i="1" s="1"/>
  <c r="BP25" i="1"/>
  <c r="BO25" i="1"/>
  <c r="BO24" i="1" s="1"/>
  <c r="BN25" i="1"/>
  <c r="BM25" i="1"/>
  <c r="BM24" i="1" s="1"/>
  <c r="BL25" i="1"/>
  <c r="BK25" i="1"/>
  <c r="BK24" i="1" s="1"/>
  <c r="BJ25" i="1"/>
  <c r="BI25" i="1"/>
  <c r="BI24" i="1" s="1"/>
  <c r="BH25" i="1"/>
  <c r="BG25" i="1"/>
  <c r="BG24" i="1" s="1"/>
  <c r="BF25" i="1"/>
  <c r="BE25" i="1"/>
  <c r="BE24" i="1" s="1"/>
  <c r="BD25" i="1"/>
  <c r="BC25" i="1"/>
  <c r="BC24" i="1" s="1"/>
  <c r="BB25" i="1"/>
  <c r="BA25" i="1"/>
  <c r="BA24" i="1" s="1"/>
  <c r="AZ25" i="1"/>
  <c r="AY25" i="1"/>
  <c r="AY24" i="1" s="1"/>
  <c r="AX25" i="1"/>
  <c r="AW25" i="1"/>
  <c r="AW24" i="1" s="1"/>
  <c r="AV25" i="1"/>
  <c r="AU25" i="1"/>
  <c r="AU24" i="1" s="1"/>
  <c r="AT25" i="1"/>
  <c r="AS25" i="1"/>
  <c r="AS24" i="1" s="1"/>
  <c r="AR25" i="1"/>
  <c r="AQ25" i="1"/>
  <c r="AQ24" i="1" s="1"/>
  <c r="AP25" i="1"/>
  <c r="AO25" i="1"/>
  <c r="AO24" i="1" s="1"/>
  <c r="AN25" i="1"/>
  <c r="AM25" i="1"/>
  <c r="AM24" i="1" s="1"/>
  <c r="AL25" i="1"/>
  <c r="AK25" i="1"/>
  <c r="AK24" i="1" s="1"/>
  <c r="AJ25" i="1"/>
  <c r="AI25" i="1"/>
  <c r="AI24" i="1" s="1"/>
  <c r="AH25" i="1"/>
  <c r="AG25" i="1"/>
  <c r="AG24" i="1" s="1"/>
  <c r="AF25" i="1"/>
  <c r="AE25" i="1"/>
  <c r="AE24" i="1" s="1"/>
  <c r="AD25" i="1"/>
  <c r="AC25" i="1"/>
  <c r="AC24" i="1" s="1"/>
  <c r="AB25" i="1"/>
  <c r="AA25" i="1"/>
  <c r="AA24" i="1" s="1"/>
  <c r="Z25" i="1"/>
  <c r="Y25" i="1"/>
  <c r="Y24" i="1" s="1"/>
  <c r="X25" i="1"/>
  <c r="W25" i="1"/>
  <c r="W24" i="1" s="1"/>
  <c r="V25" i="1"/>
  <c r="U25" i="1"/>
  <c r="U24" i="1" s="1"/>
  <c r="T25" i="1"/>
  <c r="S25" i="1"/>
  <c r="S24" i="1" s="1"/>
  <c r="R25" i="1"/>
  <c r="Q25" i="1"/>
  <c r="Q24" i="1" s="1"/>
  <c r="P25" i="1"/>
  <c r="O25" i="1"/>
  <c r="O24" i="1" s="1"/>
  <c r="N25" i="1"/>
  <c r="L25" i="1"/>
  <c r="DC38" i="1"/>
  <c r="DC14" i="1" s="1"/>
  <c r="DT184" i="1"/>
  <c r="DP184" i="1"/>
  <c r="DL184" i="1"/>
  <c r="DT193" i="1"/>
  <c r="DP193" i="1"/>
  <c r="DN193" i="1"/>
  <c r="DL196" i="1"/>
  <c r="DL195" i="1"/>
  <c r="DL194" i="1"/>
  <c r="DL193" i="1"/>
  <c r="DP196" i="1"/>
  <c r="DR196" i="1"/>
  <c r="DR195" i="1"/>
  <c r="DR194" i="1"/>
  <c r="DL187" i="1"/>
  <c r="DL186" i="1"/>
  <c r="DL185" i="1"/>
  <c r="DI184" i="1"/>
  <c r="DJ184" i="1" s="1"/>
  <c r="DG184" i="1"/>
  <c r="DH184" i="1" s="1"/>
  <c r="DN196" i="1"/>
  <c r="DN195" i="1"/>
  <c r="DN194" i="1"/>
  <c r="DE303" i="1"/>
  <c r="DS287" i="1"/>
  <c r="DS280" i="1" s="1"/>
  <c r="DD282" i="1"/>
  <c r="DF282" i="1"/>
  <c r="DH282" i="1"/>
  <c r="DJ282" i="1"/>
  <c r="DL282" i="1"/>
  <c r="DN282" i="1"/>
  <c r="DP282" i="1"/>
  <c r="DR282" i="1"/>
  <c r="DT282" i="1"/>
  <c r="DS85" i="1"/>
  <c r="DQ85" i="1"/>
  <c r="EN69" i="1" l="1"/>
  <c r="EO75" i="1"/>
  <c r="EO76" i="1"/>
  <c r="I26" i="1"/>
  <c r="K25" i="1"/>
  <c r="K24" i="1" s="1"/>
  <c r="I27" i="1"/>
  <c r="J25" i="1"/>
  <c r="M25" i="1"/>
  <c r="M24" i="1" s="1"/>
  <c r="I31" i="1"/>
  <c r="I30" i="1" s="1"/>
  <c r="DP194" i="1"/>
  <c r="DP195" i="1"/>
  <c r="I25" i="1" l="1"/>
  <c r="I24" i="1" s="1"/>
  <c r="DS224" i="1"/>
  <c r="DS71" i="1" s="1"/>
  <c r="DT287" i="1"/>
  <c r="DT283" i="1"/>
  <c r="DT284" i="1"/>
  <c r="DT285" i="1"/>
  <c r="DT281" i="1"/>
  <c r="DG47" i="1"/>
  <c r="DT280" i="1" l="1"/>
  <c r="DI51" i="1"/>
  <c r="DK51" i="1" s="1"/>
  <c r="DM51" i="1" s="1"/>
  <c r="DO51" i="1" s="1"/>
  <c r="DQ51" i="1" s="1"/>
  <c r="DS51" i="1" s="1"/>
  <c r="EN51" i="1" s="1"/>
  <c r="EP51" i="1" s="1"/>
  <c r="ER51" i="1" s="1"/>
  <c r="ET51" i="1" s="1"/>
  <c r="EV51" i="1" s="1"/>
  <c r="EX51" i="1" s="1"/>
  <c r="EZ51" i="1" s="1"/>
  <c r="FB51" i="1" s="1"/>
  <c r="FD51" i="1" s="1"/>
  <c r="DK47" i="1"/>
  <c r="DS4" i="1"/>
  <c r="DS400" i="1"/>
  <c r="DS398" i="1" s="1"/>
  <c r="DS364" i="1"/>
  <c r="DM326" i="1"/>
  <c r="DO326" i="1"/>
  <c r="DS325" i="1"/>
  <c r="DS294" i="1"/>
  <c r="DS251" i="1"/>
  <c r="DS242" i="1"/>
  <c r="DS241" i="1"/>
  <c r="DS215" i="1"/>
  <c r="DT156" i="1"/>
  <c r="DS126" i="1"/>
  <c r="DT128" i="1" s="1"/>
  <c r="DS115" i="1"/>
  <c r="DT116" i="1" s="1"/>
  <c r="DM89" i="1"/>
  <c r="DO89" i="1"/>
  <c r="DQ89" i="1"/>
  <c r="DS46" i="1"/>
  <c r="DS45" i="1" s="1"/>
  <c r="DS38" i="1"/>
  <c r="DS14" i="1" s="1"/>
  <c r="DS17" i="1"/>
  <c r="DS13" i="1" s="1"/>
  <c r="DT394" i="1"/>
  <c r="DT393" i="1"/>
  <c r="DT392" i="1"/>
  <c r="DT391" i="1"/>
  <c r="DT385" i="1"/>
  <c r="DT384" i="1"/>
  <c r="DS376" i="1"/>
  <c r="DS367" i="1"/>
  <c r="DS360" i="1"/>
  <c r="DS357" i="1"/>
  <c r="DT358" i="1" s="1"/>
  <c r="DS353" i="1"/>
  <c r="DS350" i="1"/>
  <c r="DT351" i="1" s="1"/>
  <c r="DS346" i="1"/>
  <c r="DT344" i="1"/>
  <c r="DS339" i="1"/>
  <c r="DS336" i="1"/>
  <c r="DT337" i="1" s="1"/>
  <c r="DS332" i="1"/>
  <c r="DT275" i="1"/>
  <c r="DT274" i="1"/>
  <c r="DT273" i="1"/>
  <c r="DT272" i="1"/>
  <c r="DS271" i="1"/>
  <c r="DT266" i="1"/>
  <c r="DS263" i="1"/>
  <c r="DS256" i="1"/>
  <c r="DS231" i="1"/>
  <c r="DS230" i="1"/>
  <c r="DS229" i="1"/>
  <c r="DS228" i="1"/>
  <c r="DS227" i="1"/>
  <c r="DS226" i="1"/>
  <c r="DT215" i="1"/>
  <c r="DS209" i="1"/>
  <c r="DS204" i="1"/>
  <c r="DS201" i="1" s="1"/>
  <c r="DS200" i="1" s="1"/>
  <c r="DS203" i="1"/>
  <c r="DS202" i="1"/>
  <c r="DT201" i="1"/>
  <c r="DT195" i="1"/>
  <c r="DT187" i="1"/>
  <c r="DT186" i="1"/>
  <c r="DT185" i="1"/>
  <c r="DT162" i="1"/>
  <c r="DT150" i="1"/>
  <c r="DT143" i="1"/>
  <c r="DS138" i="1"/>
  <c r="DS107" i="1"/>
  <c r="DS101" i="1"/>
  <c r="DS239" i="1"/>
  <c r="DS76" i="1"/>
  <c r="DS75" i="1"/>
  <c r="DS65" i="1"/>
  <c r="DS252" i="1" s="1"/>
  <c r="DS63" i="1"/>
  <c r="DS49" i="1"/>
  <c r="DT38" i="1"/>
  <c r="DT14" i="1" s="1"/>
  <c r="DT17" i="1"/>
  <c r="DT13" i="1" s="1"/>
  <c r="DO285" i="1"/>
  <c r="DM285" i="1"/>
  <c r="DK285" i="1"/>
  <c r="FF51" i="1" l="1"/>
  <c r="FD52" i="1"/>
  <c r="FF52" i="1"/>
  <c r="FH51" i="1"/>
  <c r="FJ51" i="1" s="1"/>
  <c r="FB52" i="1"/>
  <c r="EZ52" i="1"/>
  <c r="ET52" i="1"/>
  <c r="ER52" i="1"/>
  <c r="EP52" i="1"/>
  <c r="EN52" i="1"/>
  <c r="DS52" i="1"/>
  <c r="DT381" i="1"/>
  <c r="DS270" i="1"/>
  <c r="DS295" i="1"/>
  <c r="DS279" i="1"/>
  <c r="DS296" i="1"/>
  <c r="DS291" i="1"/>
  <c r="DS250" i="1"/>
  <c r="DS303" i="1"/>
  <c r="DT405" i="1"/>
  <c r="DS293" i="1"/>
  <c r="DS299" i="1" s="1"/>
  <c r="DT404" i="1"/>
  <c r="DT196" i="1"/>
  <c r="DT401" i="1"/>
  <c r="DS249" i="1"/>
  <c r="DS73" i="1" s="1"/>
  <c r="DT402" i="1"/>
  <c r="DT390" i="1"/>
  <c r="DT403" i="1"/>
  <c r="DS137" i="1"/>
  <c r="DT120" i="1"/>
  <c r="DS16" i="1"/>
  <c r="DT12" i="1"/>
  <c r="DS331" i="1"/>
  <c r="DS74" i="1"/>
  <c r="DT76" i="1" s="1"/>
  <c r="DT129" i="1"/>
  <c r="DS243" i="1"/>
  <c r="DT118" i="1"/>
  <c r="DT130" i="1"/>
  <c r="DT194" i="1"/>
  <c r="DS244" i="1"/>
  <c r="DT117" i="1"/>
  <c r="DS232" i="1"/>
  <c r="DS225" i="1" s="1"/>
  <c r="DS37" i="1"/>
  <c r="DT119" i="1"/>
  <c r="DT131" i="1"/>
  <c r="DS12" i="1"/>
  <c r="DS11" i="1" s="1"/>
  <c r="DT127" i="1"/>
  <c r="DS145" i="1"/>
  <c r="DK89" i="1"/>
  <c r="DI89" i="1"/>
  <c r="DO85" i="1"/>
  <c r="DM85" i="1"/>
  <c r="DK85" i="1"/>
  <c r="DI85" i="1"/>
  <c r="DG89" i="1"/>
  <c r="DG85" i="1"/>
  <c r="DC85" i="1"/>
  <c r="DA85" i="1"/>
  <c r="DC89" i="1"/>
  <c r="DK287" i="1"/>
  <c r="DM287" i="1"/>
  <c r="DO287" i="1"/>
  <c r="DQ287" i="1"/>
  <c r="DQ285" i="1"/>
  <c r="FL51" i="1" l="1"/>
  <c r="FN51" i="1" s="1"/>
  <c r="FJ52" i="1"/>
  <c r="FH52" i="1"/>
  <c r="EX52" i="1"/>
  <c r="EV52" i="1"/>
  <c r="DS238" i="1"/>
  <c r="DS236" i="1" s="1"/>
  <c r="DS248" i="1"/>
  <c r="DR287" i="1"/>
  <c r="DT400" i="1"/>
  <c r="DT115" i="1"/>
  <c r="DS298" i="1"/>
  <c r="DS70" i="1"/>
  <c r="DS69" i="1" s="1"/>
  <c r="DT126" i="1"/>
  <c r="DT75" i="1"/>
  <c r="DK326" i="1"/>
  <c r="DO325" i="1"/>
  <c r="DR384" i="1"/>
  <c r="DR383" i="1"/>
  <c r="DR382" i="1"/>
  <c r="DR385" i="1"/>
  <c r="FL52" i="1" l="1"/>
  <c r="FN52" i="1"/>
  <c r="FP51" i="1"/>
  <c r="FP52" i="1" s="1"/>
  <c r="DS297" i="1"/>
  <c r="DS292" i="1"/>
  <c r="DS223" i="1"/>
  <c r="DR381" i="1"/>
  <c r="DI75" i="1" l="1"/>
  <c r="DI65" i="1"/>
  <c r="DK65" i="1"/>
  <c r="DM65" i="1"/>
  <c r="DI63" i="1"/>
  <c r="DK46" i="1"/>
  <c r="DE89" i="1" l="1"/>
  <c r="DM243" i="1"/>
  <c r="DM244" i="1"/>
  <c r="DK376" i="1"/>
  <c r="DQ184" i="1"/>
  <c r="DR184" i="1" s="1"/>
  <c r="DR143" i="1"/>
  <c r="DQ4" i="1"/>
  <c r="DQ400" i="1"/>
  <c r="DR394" i="1"/>
  <c r="DR393" i="1"/>
  <c r="DR392" i="1"/>
  <c r="DR391" i="1"/>
  <c r="DQ376" i="1"/>
  <c r="DQ367" i="1"/>
  <c r="DQ364" i="1"/>
  <c r="DQ360" i="1"/>
  <c r="DQ357" i="1"/>
  <c r="DR358" i="1" s="1"/>
  <c r="DQ353" i="1"/>
  <c r="DQ350" i="1"/>
  <c r="DR351" i="1" s="1"/>
  <c r="DQ346" i="1"/>
  <c r="DR344" i="1"/>
  <c r="DQ339" i="1"/>
  <c r="DQ336" i="1"/>
  <c r="DR337" i="1" s="1"/>
  <c r="DQ332" i="1"/>
  <c r="DQ325" i="1"/>
  <c r="DQ315" i="1"/>
  <c r="DQ280" i="1"/>
  <c r="DR275" i="1"/>
  <c r="DR274" i="1"/>
  <c r="DR273" i="1"/>
  <c r="DR272" i="1"/>
  <c r="DQ271" i="1"/>
  <c r="DR266" i="1"/>
  <c r="DQ263" i="1"/>
  <c r="DQ256" i="1"/>
  <c r="DQ251" i="1"/>
  <c r="DQ242" i="1"/>
  <c r="DQ241" i="1"/>
  <c r="DQ239" i="1"/>
  <c r="DQ237" i="1"/>
  <c r="DQ231" i="1"/>
  <c r="DQ230" i="1"/>
  <c r="DQ229" i="1"/>
  <c r="DQ228" i="1"/>
  <c r="DQ227" i="1"/>
  <c r="DQ226" i="1"/>
  <c r="DR215" i="1"/>
  <c r="DQ215" i="1"/>
  <c r="DQ209" i="1"/>
  <c r="DQ204" i="1"/>
  <c r="DQ201" i="1" s="1"/>
  <c r="DQ200" i="1" s="1"/>
  <c r="DQ203" i="1"/>
  <c r="DQ202" i="1"/>
  <c r="DR201" i="1"/>
  <c r="DR162" i="1"/>
  <c r="DR156" i="1"/>
  <c r="DR150" i="1"/>
  <c r="DQ138" i="1"/>
  <c r="DQ126" i="1"/>
  <c r="DR127" i="1" s="1"/>
  <c r="DQ115" i="1"/>
  <c r="DQ145" i="1" s="1"/>
  <c r="DQ107" i="1"/>
  <c r="DQ101" i="1"/>
  <c r="DQ76" i="1"/>
  <c r="DQ75" i="1"/>
  <c r="DQ65" i="1"/>
  <c r="DQ244" i="1" s="1"/>
  <c r="DQ63" i="1"/>
  <c r="DQ52" i="1"/>
  <c r="DQ49" i="1"/>
  <c r="DQ47" i="1"/>
  <c r="DQ46" i="1" s="1"/>
  <c r="DQ45" i="1" s="1"/>
  <c r="DR38" i="1"/>
  <c r="DR14" i="1" s="1"/>
  <c r="DQ38" i="1"/>
  <c r="DQ37" i="1" s="1"/>
  <c r="DR17" i="1"/>
  <c r="DR13" i="1" s="1"/>
  <c r="DQ17" i="1"/>
  <c r="DQ13" i="1" s="1"/>
  <c r="DR404" i="1" l="1"/>
  <c r="DQ249" i="1"/>
  <c r="DQ73" i="1" s="1"/>
  <c r="DQ295" i="1"/>
  <c r="DQ303" i="1"/>
  <c r="DQ293" i="1"/>
  <c r="DQ299" i="1" s="1"/>
  <c r="DR285" i="1"/>
  <c r="DR284" i="1"/>
  <c r="DR283" i="1"/>
  <c r="DR281" i="1"/>
  <c r="DR390" i="1"/>
  <c r="DI76" i="1"/>
  <c r="DI74" i="1" s="1"/>
  <c r="DQ224" i="1"/>
  <c r="DQ71" i="1" s="1"/>
  <c r="DR187" i="1"/>
  <c r="DR186" i="1"/>
  <c r="DR185" i="1"/>
  <c r="DQ398" i="1"/>
  <c r="DR401" i="1"/>
  <c r="DQ243" i="1"/>
  <c r="DQ238" i="1" s="1"/>
  <c r="DQ236" i="1" s="1"/>
  <c r="DR120" i="1"/>
  <c r="DR119" i="1"/>
  <c r="DQ232" i="1"/>
  <c r="DQ225" i="1" s="1"/>
  <c r="DR118" i="1"/>
  <c r="DR117" i="1"/>
  <c r="DR403" i="1"/>
  <c r="DR116" i="1"/>
  <c r="DR405" i="1"/>
  <c r="DQ74" i="1"/>
  <c r="DR76" i="1" s="1"/>
  <c r="DQ294" i="1"/>
  <c r="DQ291" i="1" s="1"/>
  <c r="DQ331" i="1"/>
  <c r="DQ270" i="1"/>
  <c r="DQ16" i="1"/>
  <c r="DQ137" i="1"/>
  <c r="DR129" i="1"/>
  <c r="DR130" i="1"/>
  <c r="DR131" i="1"/>
  <c r="DR128" i="1"/>
  <c r="DR12" i="1"/>
  <c r="DQ14" i="1"/>
  <c r="DQ12" i="1" s="1"/>
  <c r="DQ11" i="1" s="1"/>
  <c r="DQ252" i="1"/>
  <c r="DQ250" i="1" s="1"/>
  <c r="DQ279" i="1"/>
  <c r="DR402" i="1"/>
  <c r="DQ298" i="1" l="1"/>
  <c r="DQ292" i="1"/>
  <c r="DR280" i="1"/>
  <c r="DR400" i="1"/>
  <c r="DQ223" i="1"/>
  <c r="DQ70" i="1"/>
  <c r="DQ69" i="1" s="1"/>
  <c r="DQ248" i="1"/>
  <c r="DR126" i="1"/>
  <c r="DQ297" i="1"/>
  <c r="DQ296" i="1"/>
  <c r="DR75" i="1"/>
  <c r="DR115" i="1"/>
  <c r="DO231" i="1"/>
  <c r="DO228" i="1"/>
  <c r="DO227" i="1"/>
  <c r="DO138" i="1"/>
  <c r="DO4" i="1"/>
  <c r="DE229" i="1"/>
  <c r="DM376" i="1"/>
  <c r="DK243" i="1"/>
  <c r="DC65" i="1"/>
  <c r="DC243" i="1" s="1"/>
  <c r="CW243" i="1"/>
  <c r="CY243" i="1"/>
  <c r="DA243" i="1"/>
  <c r="CU243" i="1"/>
  <c r="CW63" i="1"/>
  <c r="AK65" i="1"/>
  <c r="BK244" i="1"/>
  <c r="BK75" i="1"/>
  <c r="DO65" i="1"/>
  <c r="DO243" i="1" s="1"/>
  <c r="DI243" i="1"/>
  <c r="DG65" i="1"/>
  <c r="DG243" i="1" s="1"/>
  <c r="DE65" i="1"/>
  <c r="DE244" i="1" s="1"/>
  <c r="DA232" i="1"/>
  <c r="DA244" i="1"/>
  <c r="DA252" i="1"/>
  <c r="K263" i="1"/>
  <c r="M263" i="1"/>
  <c r="O263" i="1"/>
  <c r="Q263" i="1"/>
  <c r="S263" i="1"/>
  <c r="U263" i="1"/>
  <c r="W263" i="1"/>
  <c r="Y263" i="1"/>
  <c r="AA263" i="1"/>
  <c r="AC263" i="1"/>
  <c r="AE263" i="1"/>
  <c r="AG263" i="1"/>
  <c r="DG263" i="1"/>
  <c r="DK237" i="1"/>
  <c r="DP143" i="1"/>
  <c r="DO126" i="1"/>
  <c r="DO376" i="1"/>
  <c r="DO244" i="1" l="1"/>
  <c r="DC232" i="1"/>
  <c r="DC244" i="1"/>
  <c r="DE243" i="1"/>
  <c r="DO232" i="1"/>
  <c r="DM232" i="1"/>
  <c r="DI251" i="1"/>
  <c r="DE251" i="1"/>
  <c r="DM251" i="1"/>
  <c r="DO76" i="1"/>
  <c r="G87" i="1"/>
  <c r="DO336" i="1"/>
  <c r="DP337" i="1" s="1"/>
  <c r="DI237" i="1"/>
  <c r="DC237" i="1"/>
  <c r="DO47" i="1"/>
  <c r="DO46" i="1" s="1"/>
  <c r="DO45" i="1" s="1"/>
  <c r="DO38" i="1"/>
  <c r="DO37" i="1" s="1"/>
  <c r="DO17" i="1"/>
  <c r="DO13" i="1" s="1"/>
  <c r="DP17" i="1"/>
  <c r="DP13" i="1" s="1"/>
  <c r="DO400" i="1"/>
  <c r="DP394" i="1"/>
  <c r="DP393" i="1"/>
  <c r="DP392" i="1"/>
  <c r="DP391" i="1"/>
  <c r="DP385" i="1"/>
  <c r="DP384" i="1"/>
  <c r="DP383" i="1"/>
  <c r="DP382" i="1"/>
  <c r="DO367" i="1"/>
  <c r="DO364" i="1"/>
  <c r="DO360" i="1"/>
  <c r="DO357" i="1"/>
  <c r="DP358" i="1" s="1"/>
  <c r="DO353" i="1"/>
  <c r="DO350" i="1"/>
  <c r="DP351" i="1" s="1"/>
  <c r="DO346" i="1"/>
  <c r="DP344" i="1"/>
  <c r="DO339" i="1"/>
  <c r="DO332" i="1"/>
  <c r="DO315" i="1"/>
  <c r="DO295" i="1"/>
  <c r="DO280" i="1"/>
  <c r="DP275" i="1"/>
  <c r="DP274" i="1"/>
  <c r="DP273" i="1"/>
  <c r="DP272" i="1"/>
  <c r="DO271" i="1"/>
  <c r="DO270" i="1" s="1"/>
  <c r="DP266" i="1"/>
  <c r="DO256" i="1"/>
  <c r="DO252" i="1"/>
  <c r="DO251" i="1"/>
  <c r="DO242" i="1"/>
  <c r="DO241" i="1"/>
  <c r="DO240" i="1"/>
  <c r="DO239" i="1"/>
  <c r="DO237" i="1"/>
  <c r="DO230" i="1"/>
  <c r="DO229" i="1"/>
  <c r="DO226" i="1"/>
  <c r="DP215" i="1"/>
  <c r="DO215" i="1"/>
  <c r="DO213" i="1" s="1"/>
  <c r="DO209" i="1"/>
  <c r="DO204" i="1"/>
  <c r="DO201" i="1" s="1"/>
  <c r="DO200" i="1" s="1"/>
  <c r="DO203" i="1"/>
  <c r="DO202" i="1"/>
  <c r="DP201" i="1"/>
  <c r="DP187" i="1"/>
  <c r="DP186" i="1"/>
  <c r="DP185" i="1"/>
  <c r="DP162" i="1"/>
  <c r="DP156" i="1"/>
  <c r="DP150" i="1"/>
  <c r="DP131" i="1"/>
  <c r="DO115" i="1"/>
  <c r="DO107" i="1"/>
  <c r="DO101" i="1"/>
  <c r="DO75" i="1"/>
  <c r="DO63" i="1"/>
  <c r="DO52" i="1"/>
  <c r="DO49" i="1"/>
  <c r="DP38" i="1"/>
  <c r="DP14" i="1" s="1"/>
  <c r="DO303" i="1"/>
  <c r="DM4" i="1"/>
  <c r="DM295" i="1" s="1"/>
  <c r="DM400" i="1"/>
  <c r="DN405" i="1" s="1"/>
  <c r="DN394" i="1"/>
  <c r="DN393" i="1"/>
  <c r="DN392" i="1"/>
  <c r="DN391" i="1"/>
  <c r="DN385" i="1"/>
  <c r="DN384" i="1"/>
  <c r="DN383" i="1"/>
  <c r="DN382" i="1"/>
  <c r="DM367" i="1"/>
  <c r="DM364" i="1"/>
  <c r="DM360" i="1"/>
  <c r="DM357" i="1"/>
  <c r="DN358" i="1" s="1"/>
  <c r="DM353" i="1"/>
  <c r="DM350" i="1"/>
  <c r="DN351" i="1" s="1"/>
  <c r="DM346" i="1"/>
  <c r="DN344" i="1"/>
  <c r="DM339" i="1"/>
  <c r="DM336" i="1"/>
  <c r="DN337" i="1" s="1"/>
  <c r="DM332" i="1"/>
  <c r="DM325" i="1"/>
  <c r="DM315" i="1"/>
  <c r="DM280" i="1"/>
  <c r="DN275" i="1"/>
  <c r="DN274" i="1"/>
  <c r="DN273" i="1"/>
  <c r="DN272" i="1"/>
  <c r="DM271" i="1"/>
  <c r="DN266" i="1"/>
  <c r="DM252" i="1"/>
  <c r="DM242" i="1"/>
  <c r="DM241" i="1"/>
  <c r="DM240" i="1"/>
  <c r="DM239" i="1"/>
  <c r="DM237" i="1"/>
  <c r="DM231" i="1"/>
  <c r="DM230" i="1"/>
  <c r="DM229" i="1"/>
  <c r="DM228" i="1"/>
  <c r="DM227" i="1"/>
  <c r="DM226" i="1"/>
  <c r="DN215" i="1"/>
  <c r="DM215" i="1"/>
  <c r="DM213" i="1" s="1"/>
  <c r="DM209" i="1"/>
  <c r="DM204" i="1"/>
  <c r="DM201" i="1" s="1"/>
  <c r="DM200" i="1" s="1"/>
  <c r="DM203" i="1"/>
  <c r="DM202" i="1"/>
  <c r="DN201" i="1"/>
  <c r="DN187" i="1"/>
  <c r="DN162" i="1"/>
  <c r="DN156" i="1"/>
  <c r="DN150" i="1"/>
  <c r="DN143" i="1"/>
  <c r="DM138" i="1"/>
  <c r="DM126" i="1"/>
  <c r="DN130" i="1" s="1"/>
  <c r="DM115" i="1"/>
  <c r="DN120" i="1" s="1"/>
  <c r="DM107" i="1"/>
  <c r="DM101" i="1"/>
  <c r="DM75" i="1"/>
  <c r="DM63" i="1"/>
  <c r="DM52" i="1"/>
  <c r="DM49" i="1"/>
  <c r="DM47" i="1"/>
  <c r="DM46" i="1" s="1"/>
  <c r="DM45" i="1" s="1"/>
  <c r="DN38" i="1"/>
  <c r="DN14" i="1" s="1"/>
  <c r="DM38" i="1"/>
  <c r="DM37" i="1" s="1"/>
  <c r="DN17" i="1"/>
  <c r="DN13" i="1" s="1"/>
  <c r="DM17" i="1"/>
  <c r="DM16" i="1" s="1"/>
  <c r="DK4" i="1"/>
  <c r="DI38" i="1"/>
  <c r="DG38" i="1"/>
  <c r="DG37" i="1" s="1"/>
  <c r="DK400" i="1"/>
  <c r="DK249" i="1" s="1"/>
  <c r="DK73" i="1" s="1"/>
  <c r="DL394" i="1"/>
  <c r="DL393" i="1"/>
  <c r="DL392" i="1"/>
  <c r="DL391" i="1"/>
  <c r="DL385" i="1"/>
  <c r="DL384" i="1"/>
  <c r="DL383" i="1"/>
  <c r="DL382" i="1"/>
  <c r="DK367" i="1"/>
  <c r="DK364" i="1"/>
  <c r="DK360" i="1"/>
  <c r="DK357" i="1"/>
  <c r="DL358" i="1" s="1"/>
  <c r="DK353" i="1"/>
  <c r="DK350" i="1"/>
  <c r="DL351" i="1" s="1"/>
  <c r="DK346" i="1"/>
  <c r="DL344" i="1"/>
  <c r="DK339" i="1"/>
  <c r="DK336" i="1"/>
  <c r="DL337" i="1" s="1"/>
  <c r="DK332" i="1"/>
  <c r="DK325" i="1"/>
  <c r="DK315" i="1"/>
  <c r="DK280" i="1"/>
  <c r="DK224" i="1" s="1"/>
  <c r="DL275" i="1"/>
  <c r="DL274" i="1"/>
  <c r="DL273" i="1"/>
  <c r="DL272" i="1"/>
  <c r="DK271" i="1"/>
  <c r="DL266" i="1"/>
  <c r="DK263" i="1"/>
  <c r="DK256" i="1"/>
  <c r="DK252" i="1"/>
  <c r="DK244" i="1"/>
  <c r="DK242" i="1"/>
  <c r="DK241" i="1"/>
  <c r="DK240" i="1"/>
  <c r="DK232" i="1"/>
  <c r="DK231" i="1"/>
  <c r="DK230" i="1"/>
  <c r="DK229" i="1"/>
  <c r="DK228" i="1"/>
  <c r="DK227" i="1"/>
  <c r="DK226" i="1"/>
  <c r="DL215" i="1"/>
  <c r="DK215" i="1"/>
  <c r="DK213" i="1" s="1"/>
  <c r="DK209" i="1"/>
  <c r="DK204" i="1"/>
  <c r="DK201" i="1" s="1"/>
  <c r="DK200" i="1" s="1"/>
  <c r="DK203" i="1"/>
  <c r="DK202" i="1"/>
  <c r="DL201" i="1"/>
  <c r="DL162" i="1"/>
  <c r="DL156" i="1"/>
  <c r="DL150" i="1"/>
  <c r="DL143" i="1"/>
  <c r="DK138" i="1"/>
  <c r="DK126" i="1"/>
  <c r="DL127" i="1" s="1"/>
  <c r="DK115" i="1"/>
  <c r="DL117" i="1" s="1"/>
  <c r="DK107" i="1"/>
  <c r="DK101" i="1"/>
  <c r="DK251" i="1"/>
  <c r="DK75" i="1"/>
  <c r="DK63" i="1"/>
  <c r="DK52" i="1"/>
  <c r="DK45" i="1"/>
  <c r="DL38" i="1"/>
  <c r="DL14" i="1" s="1"/>
  <c r="DK38" i="1"/>
  <c r="DK14" i="1" s="1"/>
  <c r="DL17" i="1"/>
  <c r="DL13" i="1" s="1"/>
  <c r="DK17" i="1"/>
  <c r="DK16" i="1" s="1"/>
  <c r="DK295" i="1" l="1"/>
  <c r="DK303" i="1"/>
  <c r="DP405" i="1"/>
  <c r="DO249" i="1"/>
  <c r="DO73" i="1" s="1"/>
  <c r="DP284" i="1"/>
  <c r="DP283" i="1"/>
  <c r="DP281" i="1"/>
  <c r="DP285" i="1"/>
  <c r="DP287" i="1"/>
  <c r="DM294" i="1"/>
  <c r="DM296" i="1" s="1"/>
  <c r="DN283" i="1"/>
  <c r="DN281" i="1"/>
  <c r="DN285" i="1"/>
  <c r="DN287" i="1"/>
  <c r="DN284" i="1"/>
  <c r="DK71" i="1"/>
  <c r="DK70" i="1" s="1"/>
  <c r="DL281" i="1"/>
  <c r="DL287" i="1"/>
  <c r="DL285" i="1"/>
  <c r="DL284" i="1"/>
  <c r="DL283" i="1"/>
  <c r="DO331" i="1"/>
  <c r="DN390" i="1"/>
  <c r="DP390" i="1"/>
  <c r="DP381" i="1"/>
  <c r="DN381" i="1"/>
  <c r="DL390" i="1"/>
  <c r="DO294" i="1"/>
  <c r="DO291" i="1" s="1"/>
  <c r="DO224" i="1"/>
  <c r="DO71" i="1" s="1"/>
  <c r="DO137" i="1"/>
  <c r="DO225" i="1"/>
  <c r="DM250" i="1"/>
  <c r="DL405" i="1"/>
  <c r="DO74" i="1"/>
  <c r="DO238" i="1"/>
  <c r="DO236" i="1" s="1"/>
  <c r="DP120" i="1"/>
  <c r="DO145" i="1"/>
  <c r="DO250" i="1"/>
  <c r="DN131" i="1"/>
  <c r="DP130" i="1"/>
  <c r="DP127" i="1"/>
  <c r="DP128" i="1"/>
  <c r="DP129" i="1"/>
  <c r="DP116" i="1"/>
  <c r="DP12" i="1"/>
  <c r="DO14" i="1"/>
  <c r="DO12" i="1" s="1"/>
  <c r="DO11" i="1" s="1"/>
  <c r="DO16" i="1"/>
  <c r="DO398" i="1"/>
  <c r="DM249" i="1"/>
  <c r="DM73" i="1" s="1"/>
  <c r="DP117" i="1"/>
  <c r="DP118" i="1"/>
  <c r="DM398" i="1"/>
  <c r="DP119" i="1"/>
  <c r="DO279" i="1"/>
  <c r="DP401" i="1"/>
  <c r="DP402" i="1"/>
  <c r="DO293" i="1"/>
  <c r="DO298" i="1" s="1"/>
  <c r="DP403" i="1"/>
  <c r="DP404" i="1"/>
  <c r="DK331" i="1"/>
  <c r="DM225" i="1"/>
  <c r="DN117" i="1"/>
  <c r="DN119" i="1"/>
  <c r="DM145" i="1"/>
  <c r="DN128" i="1"/>
  <c r="DN402" i="1"/>
  <c r="DN127" i="1"/>
  <c r="DK250" i="1"/>
  <c r="DN129" i="1"/>
  <c r="DM224" i="1"/>
  <c r="DM71" i="1" s="1"/>
  <c r="DM331" i="1"/>
  <c r="DN404" i="1"/>
  <c r="DN116" i="1"/>
  <c r="DM238" i="1"/>
  <c r="DM236" i="1" s="1"/>
  <c r="DM270" i="1"/>
  <c r="DM137" i="1"/>
  <c r="DN12" i="1"/>
  <c r="DM14" i="1"/>
  <c r="DM13" i="1"/>
  <c r="DN118" i="1"/>
  <c r="DM76" i="1"/>
  <c r="DM279" i="1"/>
  <c r="DM303" i="1"/>
  <c r="DN401" i="1"/>
  <c r="DN185" i="1"/>
  <c r="DM293" i="1"/>
  <c r="DL381" i="1"/>
  <c r="DN186" i="1"/>
  <c r="DN403" i="1"/>
  <c r="DK270" i="1"/>
  <c r="DK137" i="1"/>
  <c r="DK225" i="1"/>
  <c r="DK398" i="1"/>
  <c r="DK279" i="1"/>
  <c r="DL131" i="1"/>
  <c r="DL128" i="1"/>
  <c r="DL130" i="1"/>
  <c r="DL129" i="1"/>
  <c r="DL118" i="1"/>
  <c r="DL119" i="1"/>
  <c r="DL12" i="1"/>
  <c r="DK37" i="1"/>
  <c r="DK76" i="1"/>
  <c r="DK74" i="1" s="1"/>
  <c r="DL120" i="1"/>
  <c r="DK293" i="1"/>
  <c r="DL401" i="1"/>
  <c r="DK294" i="1"/>
  <c r="DL402" i="1"/>
  <c r="DK145" i="1"/>
  <c r="DK239" i="1"/>
  <c r="DK238" i="1" s="1"/>
  <c r="DK236" i="1" s="1"/>
  <c r="DL403" i="1"/>
  <c r="DK13" i="1"/>
  <c r="DK12" i="1" s="1"/>
  <c r="DK11" i="1" s="1"/>
  <c r="DL116" i="1"/>
  <c r="DL404" i="1"/>
  <c r="DM297" i="1" l="1"/>
  <c r="DM291" i="1"/>
  <c r="DK223" i="1"/>
  <c r="DP280" i="1"/>
  <c r="DN280" i="1"/>
  <c r="DL280" i="1"/>
  <c r="DO296" i="1"/>
  <c r="DO297" i="1"/>
  <c r="DK69" i="1"/>
  <c r="DN400" i="1"/>
  <c r="DP400" i="1"/>
  <c r="DL400" i="1"/>
  <c r="DO70" i="1"/>
  <c r="DO69" i="1" s="1"/>
  <c r="DO248" i="1"/>
  <c r="DM70" i="1"/>
  <c r="DO223" i="1"/>
  <c r="DM12" i="1"/>
  <c r="DM11" i="1" s="1"/>
  <c r="DM248" i="1"/>
  <c r="DM223" i="1"/>
  <c r="DL126" i="1"/>
  <c r="DL115" i="1"/>
  <c r="DN126" i="1"/>
  <c r="DN115" i="1"/>
  <c r="DP126" i="1"/>
  <c r="DP115" i="1"/>
  <c r="DP75" i="1"/>
  <c r="DO292" i="1"/>
  <c r="DO299" i="1"/>
  <c r="DP76" i="1"/>
  <c r="DM74" i="1"/>
  <c r="DM292" i="1"/>
  <c r="DM299" i="1"/>
  <c r="DM298" i="1"/>
  <c r="DL75" i="1"/>
  <c r="DK248" i="1"/>
  <c r="DK299" i="1"/>
  <c r="DK292" i="1"/>
  <c r="DK298" i="1"/>
  <c r="DL76" i="1"/>
  <c r="DK297" i="1"/>
  <c r="DK291" i="1"/>
  <c r="DK296" i="1"/>
  <c r="DI326" i="1"/>
  <c r="DI285" i="1"/>
  <c r="DG285" i="1"/>
  <c r="DI287" i="1"/>
  <c r="DG287" i="1"/>
  <c r="DE287" i="1"/>
  <c r="DE285" i="1"/>
  <c r="DN76" i="1" l="1"/>
  <c r="DM69" i="1"/>
  <c r="DN75" i="1"/>
  <c r="DI400" i="1"/>
  <c r="DJ404" i="1" s="1"/>
  <c r="DC400" i="1"/>
  <c r="DD402" i="1" s="1"/>
  <c r="DE400" i="1"/>
  <c r="DF404" i="1" s="1"/>
  <c r="DG400" i="1"/>
  <c r="DH403" i="1" s="1"/>
  <c r="I403" i="1"/>
  <c r="DJ402" i="1" l="1"/>
  <c r="DI249" i="1"/>
  <c r="DF402" i="1"/>
  <c r="DF401" i="1"/>
  <c r="DF403" i="1"/>
  <c r="DH402" i="1"/>
  <c r="DJ394" i="1" l="1"/>
  <c r="DJ393" i="1"/>
  <c r="DJ392" i="1"/>
  <c r="DJ391" i="1"/>
  <c r="DJ385" i="1"/>
  <c r="DJ384" i="1"/>
  <c r="DJ383" i="1"/>
  <c r="DJ382" i="1"/>
  <c r="DI376" i="1"/>
  <c r="DI367" i="1"/>
  <c r="DI364" i="1"/>
  <c r="DI360" i="1"/>
  <c r="DI357" i="1"/>
  <c r="DJ358" i="1" s="1"/>
  <c r="DI353" i="1"/>
  <c r="DI350" i="1"/>
  <c r="DJ351" i="1" s="1"/>
  <c r="DI346" i="1"/>
  <c r="DJ344" i="1"/>
  <c r="DI339" i="1"/>
  <c r="DI336" i="1"/>
  <c r="DJ337" i="1" s="1"/>
  <c r="DI332" i="1"/>
  <c r="DI325" i="1"/>
  <c r="DI315" i="1"/>
  <c r="DI280" i="1"/>
  <c r="DI294" i="1" s="1"/>
  <c r="DJ275" i="1"/>
  <c r="DJ274" i="1"/>
  <c r="DJ273" i="1"/>
  <c r="DJ272" i="1"/>
  <c r="DI271" i="1"/>
  <c r="DJ266" i="1"/>
  <c r="DI263" i="1"/>
  <c r="DI256" i="1"/>
  <c r="DI252" i="1"/>
  <c r="DI244" i="1"/>
  <c r="DI242" i="1"/>
  <c r="DI240" i="1"/>
  <c r="DI232" i="1"/>
  <c r="DI231" i="1"/>
  <c r="DI230" i="1"/>
  <c r="DI229" i="1"/>
  <c r="DI228" i="1"/>
  <c r="DI227" i="1"/>
  <c r="DI226" i="1"/>
  <c r="DJ215" i="1"/>
  <c r="DI215" i="1"/>
  <c r="DI213" i="1" s="1"/>
  <c r="DI209" i="1"/>
  <c r="DI204" i="1"/>
  <c r="DI201" i="1" s="1"/>
  <c r="DI200" i="1" s="1"/>
  <c r="DI203" i="1"/>
  <c r="DI202" i="1"/>
  <c r="DJ201" i="1"/>
  <c r="DJ185" i="1"/>
  <c r="DJ162" i="1"/>
  <c r="DJ156" i="1"/>
  <c r="DJ150" i="1"/>
  <c r="DJ143" i="1"/>
  <c r="DI138" i="1"/>
  <c r="DI126" i="1"/>
  <c r="DI115" i="1"/>
  <c r="DJ119" i="1" s="1"/>
  <c r="DI107" i="1"/>
  <c r="DI101" i="1"/>
  <c r="DI239" i="1"/>
  <c r="DI52" i="1"/>
  <c r="DI49" i="1"/>
  <c r="DI47" i="1"/>
  <c r="DJ38" i="1"/>
  <c r="DJ14" i="1" s="1"/>
  <c r="DI14" i="1"/>
  <c r="DJ17" i="1"/>
  <c r="DJ13" i="1" s="1"/>
  <c r="DI17" i="1"/>
  <c r="DI13" i="1" s="1"/>
  <c r="DG49" i="1"/>
  <c r="DE49" i="1"/>
  <c r="DC49" i="1"/>
  <c r="DA49" i="1"/>
  <c r="DE184" i="1"/>
  <c r="DE326" i="1"/>
  <c r="DG326" i="1"/>
  <c r="DF185" i="1" l="1"/>
  <c r="DF184" i="1"/>
  <c r="DJ281" i="1"/>
  <c r="DJ287" i="1"/>
  <c r="DJ285" i="1"/>
  <c r="DJ284" i="1"/>
  <c r="DJ283" i="1"/>
  <c r="DI46" i="1"/>
  <c r="DI45" i="1" s="1"/>
  <c r="DI293" i="1"/>
  <c r="DI292" i="1" s="1"/>
  <c r="DJ381" i="1"/>
  <c r="DI250" i="1"/>
  <c r="DJ130" i="1"/>
  <c r="DJ131" i="1"/>
  <c r="DJ129" i="1"/>
  <c r="DJ127" i="1"/>
  <c r="DJ128" i="1"/>
  <c r="DI331" i="1"/>
  <c r="DJ390" i="1"/>
  <c r="DI224" i="1"/>
  <c r="DI71" i="1" s="1"/>
  <c r="DJ405" i="1"/>
  <c r="DJ403" i="1"/>
  <c r="DJ75" i="1"/>
  <c r="DI225" i="1"/>
  <c r="DJ186" i="1"/>
  <c r="DJ187" i="1"/>
  <c r="DI137" i="1"/>
  <c r="DJ12" i="1"/>
  <c r="DI12" i="1"/>
  <c r="DI11" i="1" s="1"/>
  <c r="DI37" i="1"/>
  <c r="DI16" i="1"/>
  <c r="DJ116" i="1"/>
  <c r="DI398" i="1"/>
  <c r="DJ117" i="1"/>
  <c r="DJ118" i="1"/>
  <c r="DI279" i="1"/>
  <c r="DI303" i="1"/>
  <c r="DI145" i="1"/>
  <c r="DJ401" i="1"/>
  <c r="DJ120" i="1"/>
  <c r="DI270" i="1"/>
  <c r="DI291" i="1"/>
  <c r="DI241" i="1"/>
  <c r="DI238" i="1" s="1"/>
  <c r="DI236" i="1" s="1"/>
  <c r="DI73" i="1"/>
  <c r="DF187" i="1"/>
  <c r="DF186" i="1"/>
  <c r="DG295" i="1"/>
  <c r="DH394" i="1"/>
  <c r="DH393" i="1"/>
  <c r="DH392" i="1"/>
  <c r="DH391" i="1"/>
  <c r="DH385" i="1"/>
  <c r="DH384" i="1"/>
  <c r="DH383" i="1"/>
  <c r="DH382" i="1"/>
  <c r="DG376" i="1"/>
  <c r="DG367" i="1"/>
  <c r="DG364" i="1"/>
  <c r="DG360" i="1"/>
  <c r="DG357" i="1"/>
  <c r="DH358" i="1" s="1"/>
  <c r="DG353" i="1"/>
  <c r="DG350" i="1"/>
  <c r="DH351" i="1" s="1"/>
  <c r="DG346" i="1"/>
  <c r="DH344" i="1"/>
  <c r="DG339" i="1"/>
  <c r="DG336" i="1"/>
  <c r="DH337" i="1" s="1"/>
  <c r="DG332" i="1"/>
  <c r="DG325" i="1"/>
  <c r="DG315" i="1"/>
  <c r="DG280" i="1"/>
  <c r="DH275" i="1"/>
  <c r="DH274" i="1"/>
  <c r="DH273" i="1"/>
  <c r="DH272" i="1"/>
  <c r="DG271" i="1"/>
  <c r="DH266" i="1"/>
  <c r="DG256" i="1"/>
  <c r="DG252" i="1"/>
  <c r="DG244" i="1"/>
  <c r="DG242" i="1"/>
  <c r="DG240" i="1"/>
  <c r="DG237" i="1"/>
  <c r="DG232" i="1"/>
  <c r="DG231" i="1"/>
  <c r="DG230" i="1"/>
  <c r="DG229" i="1"/>
  <c r="DG228" i="1"/>
  <c r="DG227" i="1"/>
  <c r="DG226" i="1"/>
  <c r="DH215" i="1"/>
  <c r="DG215" i="1"/>
  <c r="DG209" i="1"/>
  <c r="DG204" i="1"/>
  <c r="DG201" i="1" s="1"/>
  <c r="DG200" i="1" s="1"/>
  <c r="DG203" i="1"/>
  <c r="DG202" i="1"/>
  <c r="DH201" i="1"/>
  <c r="DH187" i="1"/>
  <c r="DH186" i="1"/>
  <c r="DH185" i="1"/>
  <c r="DH162" i="1"/>
  <c r="DH156" i="1"/>
  <c r="DH150" i="1"/>
  <c r="DH143" i="1"/>
  <c r="DG138" i="1"/>
  <c r="DG126" i="1"/>
  <c r="DG115" i="1"/>
  <c r="DH117" i="1" s="1"/>
  <c r="DG107" i="1"/>
  <c r="DG101" i="1"/>
  <c r="DG251" i="1"/>
  <c r="DG87" i="1"/>
  <c r="DG239" i="1"/>
  <c r="DG75" i="1"/>
  <c r="DG63" i="1"/>
  <c r="DG52" i="1"/>
  <c r="DH38" i="1"/>
  <c r="DH14" i="1" s="1"/>
  <c r="DH17" i="1"/>
  <c r="DH13" i="1" s="1"/>
  <c r="DG17" i="1"/>
  <c r="DG16" i="1" s="1"/>
  <c r="CW263" i="1"/>
  <c r="DA256" i="1"/>
  <c r="DE336" i="1"/>
  <c r="DE75" i="1"/>
  <c r="DD394" i="1"/>
  <c r="DD393" i="1"/>
  <c r="DD392" i="1"/>
  <c r="DD391" i="1"/>
  <c r="DD385" i="1"/>
  <c r="DD384" i="1"/>
  <c r="DD383" i="1"/>
  <c r="DD382" i="1"/>
  <c r="DC376" i="1"/>
  <c r="DC367" i="1"/>
  <c r="DC364" i="1"/>
  <c r="DC360" i="1"/>
  <c r="DC357" i="1"/>
  <c r="DD358" i="1" s="1"/>
  <c r="DC353" i="1"/>
  <c r="DC350" i="1"/>
  <c r="DD351" i="1" s="1"/>
  <c r="DC346" i="1"/>
  <c r="DD344" i="1"/>
  <c r="DC339" i="1"/>
  <c r="DC336" i="1"/>
  <c r="DD337" i="1" s="1"/>
  <c r="DC332" i="1"/>
  <c r="DC326" i="1"/>
  <c r="DC325" i="1" s="1"/>
  <c r="DC315" i="1"/>
  <c r="DC287" i="1"/>
  <c r="DC285" i="1"/>
  <c r="DD275" i="1"/>
  <c r="DD274" i="1"/>
  <c r="DD273" i="1"/>
  <c r="DD272" i="1"/>
  <c r="DC271" i="1"/>
  <c r="DD266" i="1"/>
  <c r="DC263" i="1"/>
  <c r="DC256" i="1"/>
  <c r="DC252" i="1"/>
  <c r="DC242" i="1"/>
  <c r="DC240" i="1"/>
  <c r="DC231" i="1"/>
  <c r="DC230" i="1"/>
  <c r="DC229" i="1"/>
  <c r="DC228" i="1"/>
  <c r="DC227" i="1"/>
  <c r="DC226" i="1"/>
  <c r="DD215" i="1"/>
  <c r="DC215" i="1"/>
  <c r="DC213" i="1" s="1"/>
  <c r="DC204" i="1"/>
  <c r="DC201" i="1" s="1"/>
  <c r="DC200" i="1" s="1"/>
  <c r="DC203" i="1"/>
  <c r="DC202" i="1"/>
  <c r="DD201" i="1"/>
  <c r="DC184" i="1"/>
  <c r="DD186" i="1" s="1"/>
  <c r="DD162" i="1"/>
  <c r="DD156" i="1"/>
  <c r="DD150" i="1"/>
  <c r="DD143" i="1"/>
  <c r="DC138" i="1"/>
  <c r="DC126" i="1"/>
  <c r="DC115" i="1"/>
  <c r="DD120" i="1" s="1"/>
  <c r="DC107" i="1"/>
  <c r="DC101" i="1"/>
  <c r="DC251" i="1"/>
  <c r="DC87" i="1"/>
  <c r="DC239" i="1"/>
  <c r="DC63" i="1"/>
  <c r="DC52" i="1"/>
  <c r="DC47" i="1"/>
  <c r="DC46" i="1" s="1"/>
  <c r="DC45" i="1" s="1"/>
  <c r="DD38" i="1"/>
  <c r="DD14" i="1" s="1"/>
  <c r="DC37" i="1"/>
  <c r="DD17" i="1"/>
  <c r="DD13" i="1" s="1"/>
  <c r="DE315" i="1"/>
  <c r="DE237" i="1"/>
  <c r="DE115" i="1"/>
  <c r="DF118" i="1" s="1"/>
  <c r="DF394" i="1"/>
  <c r="DF393" i="1"/>
  <c r="DF392" i="1"/>
  <c r="DF391" i="1"/>
  <c r="CD394" i="1"/>
  <c r="CB394" i="1"/>
  <c r="BZ394" i="1"/>
  <c r="BX394" i="1"/>
  <c r="BV394" i="1"/>
  <c r="BT394" i="1"/>
  <c r="BR394" i="1"/>
  <c r="BP394" i="1"/>
  <c r="BN394" i="1"/>
  <c r="BL394" i="1"/>
  <c r="BJ394" i="1"/>
  <c r="BH394" i="1"/>
  <c r="BF394" i="1"/>
  <c r="BD394" i="1"/>
  <c r="BB394" i="1"/>
  <c r="AZ394" i="1"/>
  <c r="AX394" i="1"/>
  <c r="AV394" i="1"/>
  <c r="AT394" i="1"/>
  <c r="AR394" i="1"/>
  <c r="AP394" i="1"/>
  <c r="AN394" i="1"/>
  <c r="AL394" i="1"/>
  <c r="AJ394" i="1"/>
  <c r="AH394" i="1"/>
  <c r="AF394" i="1"/>
  <c r="AD394" i="1"/>
  <c r="AB394" i="1"/>
  <c r="Z394" i="1"/>
  <c r="X394" i="1"/>
  <c r="V394" i="1"/>
  <c r="T394" i="1"/>
  <c r="R394" i="1"/>
  <c r="P394" i="1"/>
  <c r="N394" i="1"/>
  <c r="L394" i="1"/>
  <c r="I394" i="1"/>
  <c r="CD393" i="1"/>
  <c r="CB393" i="1"/>
  <c r="BZ393" i="1"/>
  <c r="BX393" i="1"/>
  <c r="BV393" i="1"/>
  <c r="BT393" i="1"/>
  <c r="BR393" i="1"/>
  <c r="BP393" i="1"/>
  <c r="BN393" i="1"/>
  <c r="BL393" i="1"/>
  <c r="BJ393" i="1"/>
  <c r="BH393" i="1"/>
  <c r="BF393" i="1"/>
  <c r="BD393" i="1"/>
  <c r="BB393" i="1"/>
  <c r="AZ393" i="1"/>
  <c r="AX393" i="1"/>
  <c r="AV393" i="1"/>
  <c r="AT393" i="1"/>
  <c r="AR393" i="1"/>
  <c r="AP393" i="1"/>
  <c r="AN393" i="1"/>
  <c r="AL393" i="1"/>
  <c r="AJ393" i="1"/>
  <c r="AH393" i="1"/>
  <c r="AF393" i="1"/>
  <c r="AD393" i="1"/>
  <c r="AB393" i="1"/>
  <c r="Z393" i="1"/>
  <c r="X393" i="1"/>
  <c r="V393" i="1"/>
  <c r="T393" i="1"/>
  <c r="R393" i="1"/>
  <c r="P393" i="1"/>
  <c r="N393" i="1"/>
  <c r="L393" i="1"/>
  <c r="I393" i="1"/>
  <c r="CD392" i="1"/>
  <c r="CB392" i="1"/>
  <c r="BZ392" i="1"/>
  <c r="BX392" i="1"/>
  <c r="BV392" i="1"/>
  <c r="BT392" i="1"/>
  <c r="BR392" i="1"/>
  <c r="BP392" i="1"/>
  <c r="BN392" i="1"/>
  <c r="BL392" i="1"/>
  <c r="BJ392" i="1"/>
  <c r="BH392" i="1"/>
  <c r="BF392" i="1"/>
  <c r="BD392" i="1"/>
  <c r="BB392" i="1"/>
  <c r="AZ392" i="1"/>
  <c r="AX392" i="1"/>
  <c r="AV392" i="1"/>
  <c r="AT392" i="1"/>
  <c r="AR392" i="1"/>
  <c r="AP392" i="1"/>
  <c r="AN392" i="1"/>
  <c r="AL392" i="1"/>
  <c r="AJ392" i="1"/>
  <c r="AH392" i="1"/>
  <c r="AF392" i="1"/>
  <c r="AD392" i="1"/>
  <c r="AB392" i="1"/>
  <c r="Z392" i="1"/>
  <c r="X392" i="1"/>
  <c r="V392" i="1"/>
  <c r="T392" i="1"/>
  <c r="R392" i="1"/>
  <c r="P392" i="1"/>
  <c r="N392" i="1"/>
  <c r="L392" i="1"/>
  <c r="I392" i="1"/>
  <c r="CD391" i="1"/>
  <c r="CB391" i="1"/>
  <c r="BZ391" i="1"/>
  <c r="BX391" i="1"/>
  <c r="BV391" i="1"/>
  <c r="BT391" i="1"/>
  <c r="BR391" i="1"/>
  <c r="BP391" i="1"/>
  <c r="BN391" i="1"/>
  <c r="BL391" i="1"/>
  <c r="BJ391" i="1"/>
  <c r="BH391" i="1"/>
  <c r="BF391" i="1"/>
  <c r="BD391" i="1"/>
  <c r="BB391" i="1"/>
  <c r="AZ391" i="1"/>
  <c r="AX391" i="1"/>
  <c r="AV391" i="1"/>
  <c r="AT391" i="1"/>
  <c r="AR391" i="1"/>
  <c r="AP391" i="1"/>
  <c r="AN391" i="1"/>
  <c r="AL391" i="1"/>
  <c r="AJ391" i="1"/>
  <c r="AH391" i="1"/>
  <c r="AF391" i="1"/>
  <c r="AD391" i="1"/>
  <c r="AB391" i="1"/>
  <c r="Z391" i="1"/>
  <c r="X391" i="1"/>
  <c r="V391" i="1"/>
  <c r="T391" i="1"/>
  <c r="R391" i="1"/>
  <c r="P391" i="1"/>
  <c r="N391" i="1"/>
  <c r="L391" i="1"/>
  <c r="I391" i="1"/>
  <c r="BK390" i="1"/>
  <c r="BI390" i="1"/>
  <c r="BG390" i="1"/>
  <c r="BE390" i="1"/>
  <c r="BC390" i="1"/>
  <c r="BA390" i="1"/>
  <c r="AY390" i="1"/>
  <c r="AW390" i="1"/>
  <c r="AU390" i="1"/>
  <c r="AS390" i="1"/>
  <c r="AQ390" i="1"/>
  <c r="AO390" i="1"/>
  <c r="I390" i="1"/>
  <c r="DF385" i="1"/>
  <c r="DF384" i="1"/>
  <c r="DF383" i="1"/>
  <c r="DF382" i="1"/>
  <c r="DJ280" i="1" l="1"/>
  <c r="DG293" i="1"/>
  <c r="DG292" i="1" s="1"/>
  <c r="DH281" i="1"/>
  <c r="DH287" i="1"/>
  <c r="DH285" i="1"/>
  <c r="DH284" i="1"/>
  <c r="DH283" i="1"/>
  <c r="DI298" i="1"/>
  <c r="DG250" i="1"/>
  <c r="DG213" i="1"/>
  <c r="DH381" i="1"/>
  <c r="DH390" i="1"/>
  <c r="DI223" i="1"/>
  <c r="DI70" i="1"/>
  <c r="DI69" i="1" s="1"/>
  <c r="DJ400" i="1"/>
  <c r="DE249" i="1"/>
  <c r="DD405" i="1"/>
  <c r="DD403" i="1"/>
  <c r="DH405" i="1"/>
  <c r="DJ76" i="1"/>
  <c r="DI296" i="1"/>
  <c r="DI297" i="1"/>
  <c r="DI299" i="1"/>
  <c r="DJ115" i="1"/>
  <c r="DI248" i="1"/>
  <c r="DG46" i="1"/>
  <c r="DG45" i="1" s="1"/>
  <c r="DG331" i="1"/>
  <c r="DH119" i="1"/>
  <c r="DC250" i="1"/>
  <c r="DH120" i="1"/>
  <c r="DG76" i="1"/>
  <c r="DG74" i="1" s="1"/>
  <c r="DG224" i="1"/>
  <c r="DG71" i="1" s="1"/>
  <c r="DG145" i="1"/>
  <c r="DG294" i="1"/>
  <c r="DG296" i="1" s="1"/>
  <c r="DG225" i="1"/>
  <c r="DH118" i="1"/>
  <c r="DG270" i="1"/>
  <c r="DG137" i="1"/>
  <c r="DH12" i="1"/>
  <c r="DG13" i="1"/>
  <c r="DC331" i="1"/>
  <c r="DG398" i="1"/>
  <c r="DC145" i="1"/>
  <c r="DH116" i="1"/>
  <c r="DG241" i="1"/>
  <c r="DG238" i="1" s="1"/>
  <c r="DG236" i="1" s="1"/>
  <c r="DG14" i="1"/>
  <c r="DG279" i="1"/>
  <c r="DG303" i="1"/>
  <c r="DH401" i="1"/>
  <c r="DD381" i="1"/>
  <c r="DH404" i="1"/>
  <c r="DD119" i="1"/>
  <c r="DG249" i="1"/>
  <c r="DG73" i="1" s="1"/>
  <c r="BR390" i="1"/>
  <c r="L390" i="1"/>
  <c r="DD12" i="1"/>
  <c r="BB390" i="1"/>
  <c r="AB390" i="1"/>
  <c r="DC12" i="1"/>
  <c r="DD116" i="1"/>
  <c r="DD117" i="1"/>
  <c r="DD390" i="1"/>
  <c r="AF390" i="1"/>
  <c r="DD187" i="1"/>
  <c r="DC225" i="1"/>
  <c r="DC295" i="1"/>
  <c r="DC137" i="1"/>
  <c r="DC270" i="1"/>
  <c r="DD404" i="1"/>
  <c r="DF119" i="1"/>
  <c r="DC241" i="1"/>
  <c r="N390" i="1"/>
  <c r="AD390" i="1"/>
  <c r="AT390" i="1"/>
  <c r="BJ390" i="1"/>
  <c r="BZ390" i="1"/>
  <c r="DC16" i="1"/>
  <c r="DD118" i="1"/>
  <c r="DC398" i="1"/>
  <c r="DF120" i="1"/>
  <c r="DD184" i="1"/>
  <c r="DC76" i="1"/>
  <c r="DC280" i="1"/>
  <c r="DD185" i="1"/>
  <c r="DC249" i="1"/>
  <c r="DC73" i="1" s="1"/>
  <c r="DD401" i="1"/>
  <c r="Z390" i="1"/>
  <c r="BF390" i="1"/>
  <c r="AR390" i="1"/>
  <c r="BH390" i="1"/>
  <c r="BX390" i="1"/>
  <c r="AH390" i="1"/>
  <c r="X390" i="1"/>
  <c r="AN390" i="1"/>
  <c r="BD390" i="1"/>
  <c r="BT390" i="1"/>
  <c r="AP390" i="1"/>
  <c r="BV390" i="1"/>
  <c r="P390" i="1"/>
  <c r="AV390" i="1"/>
  <c r="BL390" i="1"/>
  <c r="CB390" i="1"/>
  <c r="R390" i="1"/>
  <c r="DF116" i="1"/>
  <c r="DF117" i="1"/>
  <c r="CD390" i="1"/>
  <c r="T390" i="1"/>
  <c r="AJ390" i="1"/>
  <c r="AZ390" i="1"/>
  <c r="BP390" i="1"/>
  <c r="DF390" i="1"/>
  <c r="BN390" i="1"/>
  <c r="V390" i="1"/>
  <c r="AL390" i="1"/>
  <c r="AX390" i="1"/>
  <c r="DF381" i="1"/>
  <c r="DG299" i="1" l="1"/>
  <c r="DG298" i="1"/>
  <c r="DH280" i="1"/>
  <c r="DD287" i="1"/>
  <c r="DD285" i="1"/>
  <c r="DD284" i="1"/>
  <c r="DD283" i="1"/>
  <c r="DD281" i="1"/>
  <c r="DC238" i="1"/>
  <c r="DC236" i="1" s="1"/>
  <c r="DC11" i="1"/>
  <c r="DD400" i="1"/>
  <c r="DH400" i="1"/>
  <c r="DG70" i="1"/>
  <c r="DG69" i="1" s="1"/>
  <c r="DG223" i="1"/>
  <c r="DG291" i="1"/>
  <c r="DG297" i="1"/>
  <c r="DH115" i="1"/>
  <c r="DD115" i="1"/>
  <c r="DG248" i="1"/>
  <c r="DG12" i="1"/>
  <c r="DG11" i="1" s="1"/>
  <c r="DH75" i="1"/>
  <c r="DH76" i="1"/>
  <c r="DC248" i="1"/>
  <c r="DC294" i="1"/>
  <c r="DC291" i="1" s="1"/>
  <c r="DC293" i="1"/>
  <c r="DC298" i="1" s="1"/>
  <c r="DC224" i="1"/>
  <c r="DC279" i="1"/>
  <c r="DC74" i="1"/>
  <c r="DF115" i="1"/>
  <c r="DA237" i="1"/>
  <c r="CY237" i="1"/>
  <c r="CW237" i="1"/>
  <c r="CU237" i="1"/>
  <c r="DD280" i="1" l="1"/>
  <c r="DC292" i="1"/>
  <c r="DC299" i="1"/>
  <c r="DC297" i="1"/>
  <c r="DC71" i="1"/>
  <c r="DC70" i="1" s="1"/>
  <c r="DC69" i="1" s="1"/>
  <c r="DC223" i="1"/>
  <c r="DD75" i="1"/>
  <c r="DC296" i="1"/>
  <c r="DD76" i="1"/>
  <c r="CW89" i="1"/>
  <c r="CY88" i="1"/>
  <c r="CY89" i="1"/>
  <c r="CY87" i="1"/>
  <c r="CF215" i="1" l="1"/>
  <c r="DE252" i="1"/>
  <c r="DA63" i="1"/>
  <c r="DF17" i="1"/>
  <c r="DE17" i="1"/>
  <c r="DE13" i="1" s="1"/>
  <c r="DE52" i="1"/>
  <c r="DA52" i="1"/>
  <c r="CY52" i="1"/>
  <c r="CW52" i="1"/>
  <c r="CW49" i="1"/>
  <c r="CS47" i="1"/>
  <c r="DA89" i="1"/>
  <c r="DA251" i="1" s="1"/>
  <c r="DA87" i="1"/>
  <c r="DE280" i="1" l="1"/>
  <c r="DF287" i="1" l="1"/>
  <c r="DF285" i="1"/>
  <c r="DF284" i="1"/>
  <c r="DF283" i="1"/>
  <c r="DF281" i="1"/>
  <c r="DE224" i="1"/>
  <c r="DE293" i="1"/>
  <c r="DE292" i="1" s="1"/>
  <c r="DF280" i="1" l="1"/>
  <c r="DE87" i="1"/>
  <c r="DE241" i="1" s="1"/>
  <c r="DF405" i="1"/>
  <c r="DF400" i="1" s="1"/>
  <c r="DE376" i="1"/>
  <c r="DE367" i="1"/>
  <c r="DE364" i="1"/>
  <c r="DE360" i="1"/>
  <c r="DE357" i="1"/>
  <c r="DF358" i="1" s="1"/>
  <c r="DE353" i="1"/>
  <c r="DE350" i="1"/>
  <c r="DF351" i="1" s="1"/>
  <c r="DE346" i="1"/>
  <c r="DF344" i="1"/>
  <c r="DE339" i="1"/>
  <c r="DF337" i="1"/>
  <c r="DE332" i="1"/>
  <c r="DE325" i="1"/>
  <c r="DF275" i="1"/>
  <c r="DF274" i="1"/>
  <c r="DF273" i="1"/>
  <c r="DF272" i="1"/>
  <c r="DE271" i="1"/>
  <c r="DF266" i="1"/>
  <c r="DE263" i="1"/>
  <c r="DE256" i="1"/>
  <c r="DE250" i="1"/>
  <c r="DE242" i="1"/>
  <c r="DE240" i="1"/>
  <c r="DE232" i="1"/>
  <c r="DE231" i="1"/>
  <c r="DE230" i="1"/>
  <c r="DE228" i="1"/>
  <c r="DE227" i="1"/>
  <c r="DE226" i="1"/>
  <c r="DF215" i="1"/>
  <c r="DF219" i="1" s="1"/>
  <c r="DH219" i="1" s="1"/>
  <c r="DJ219" i="1" s="1"/>
  <c r="DL219" i="1" s="1"/>
  <c r="DN219" i="1" s="1"/>
  <c r="DP219" i="1" s="1"/>
  <c r="DR219" i="1" s="1"/>
  <c r="DT219" i="1" s="1"/>
  <c r="DE215" i="1"/>
  <c r="DE219" i="1" s="1"/>
  <c r="DG219" i="1" s="1"/>
  <c r="DI219" i="1" s="1"/>
  <c r="DK219" i="1" s="1"/>
  <c r="DM219" i="1" s="1"/>
  <c r="DO219" i="1" s="1"/>
  <c r="DQ219" i="1" s="1"/>
  <c r="DS219" i="1" s="1"/>
  <c r="DE209" i="1"/>
  <c r="DE204" i="1"/>
  <c r="DE201" i="1" s="1"/>
  <c r="DE200" i="1" s="1"/>
  <c r="DE203" i="1"/>
  <c r="DE202" i="1"/>
  <c r="DF201" i="1"/>
  <c r="DF162" i="1"/>
  <c r="DF156" i="1"/>
  <c r="DF150" i="1"/>
  <c r="DF143" i="1"/>
  <c r="DE138" i="1"/>
  <c r="DE126" i="1"/>
  <c r="DE145" i="1"/>
  <c r="DE107" i="1"/>
  <c r="DE101" i="1"/>
  <c r="DE85" i="1"/>
  <c r="DE63" i="1"/>
  <c r="DE47" i="1"/>
  <c r="DE46" i="1" s="1"/>
  <c r="DE45" i="1" s="1"/>
  <c r="DF38" i="1"/>
  <c r="DF14" i="1" s="1"/>
  <c r="DE38" i="1"/>
  <c r="DF13" i="1"/>
  <c r="DE295" i="1"/>
  <c r="DA184" i="1"/>
  <c r="DB187" i="1" s="1"/>
  <c r="CY287" i="1"/>
  <c r="DA287" i="1"/>
  <c r="DA326" i="1"/>
  <c r="CY285" i="1"/>
  <c r="DA285" i="1"/>
  <c r="DE14" i="1" l="1"/>
  <c r="DE12" i="1" s="1"/>
  <c r="DE11" i="1" s="1"/>
  <c r="DE37" i="1"/>
  <c r="DE239" i="1"/>
  <c r="DE238" i="1" s="1"/>
  <c r="DE236" i="1" s="1"/>
  <c r="DE76" i="1"/>
  <c r="DE74" i="1" s="1"/>
  <c r="DE225" i="1"/>
  <c r="DE137" i="1"/>
  <c r="DE16" i="1"/>
  <c r="DE294" i="1"/>
  <c r="DE291" i="1" s="1"/>
  <c r="DE279" i="1"/>
  <c r="DE71" i="1"/>
  <c r="DF12" i="1"/>
  <c r="DE331" i="1"/>
  <c r="DE270" i="1"/>
  <c r="DE213" i="1"/>
  <c r="DE73" i="1"/>
  <c r="DE398" i="1"/>
  <c r="DB185" i="1"/>
  <c r="DB186" i="1"/>
  <c r="DB184" i="1"/>
  <c r="CY280" i="1"/>
  <c r="CZ281" i="1" s="1"/>
  <c r="DA4" i="1"/>
  <c r="DE70" i="1" l="1"/>
  <c r="DE69" i="1" s="1"/>
  <c r="DE223" i="1"/>
  <c r="DF76" i="1"/>
  <c r="DF75" i="1"/>
  <c r="DE296" i="1"/>
  <c r="DE297" i="1"/>
  <c r="DE248" i="1"/>
  <c r="DE299" i="1"/>
  <c r="DE298" i="1"/>
  <c r="CZ287" i="1"/>
  <c r="CZ285" i="1"/>
  <c r="DA400" i="1" l="1"/>
  <c r="DB385" i="1"/>
  <c r="DB384" i="1"/>
  <c r="DB383" i="1"/>
  <c r="DB382" i="1"/>
  <c r="DA376" i="1"/>
  <c r="DA367" i="1"/>
  <c r="DA364" i="1"/>
  <c r="DA360" i="1"/>
  <c r="DA357" i="1"/>
  <c r="DB358" i="1" s="1"/>
  <c r="DA353" i="1"/>
  <c r="DA350" i="1"/>
  <c r="DB351" i="1" s="1"/>
  <c r="DA346" i="1"/>
  <c r="DB344" i="1"/>
  <c r="DA339" i="1"/>
  <c r="DA336" i="1"/>
  <c r="DB337" i="1" s="1"/>
  <c r="DA332" i="1"/>
  <c r="DA325" i="1"/>
  <c r="DA315" i="1"/>
  <c r="DA303" i="1"/>
  <c r="DA280" i="1"/>
  <c r="DA294" i="1" s="1"/>
  <c r="DB275" i="1"/>
  <c r="DB274" i="1"/>
  <c r="DB273" i="1"/>
  <c r="DB272" i="1"/>
  <c r="DA271" i="1"/>
  <c r="DA270" i="1" s="1"/>
  <c r="DB266" i="1"/>
  <c r="DA263" i="1"/>
  <c r="DA242" i="1"/>
  <c r="DA241" i="1"/>
  <c r="DA240" i="1"/>
  <c r="DA231" i="1"/>
  <c r="DA230" i="1"/>
  <c r="DA229" i="1"/>
  <c r="DA228" i="1"/>
  <c r="DA227" i="1"/>
  <c r="DA226" i="1"/>
  <c r="DB215" i="1"/>
  <c r="DA215" i="1"/>
  <c r="DA213" i="1" s="1"/>
  <c r="DA209" i="1"/>
  <c r="DA204" i="1"/>
  <c r="DA201" i="1" s="1"/>
  <c r="DA200" i="1" s="1"/>
  <c r="DA203" i="1"/>
  <c r="DA202" i="1"/>
  <c r="DB201" i="1"/>
  <c r="DB162" i="1"/>
  <c r="DB156" i="1"/>
  <c r="DB150" i="1"/>
  <c r="DB143" i="1"/>
  <c r="DA138" i="1"/>
  <c r="DA126" i="1"/>
  <c r="DA115" i="1"/>
  <c r="DA107" i="1"/>
  <c r="DA101" i="1"/>
  <c r="DA239" i="1"/>
  <c r="DA75" i="1"/>
  <c r="DA47" i="1"/>
  <c r="DB38" i="1"/>
  <c r="DB14" i="1" s="1"/>
  <c r="DA38" i="1"/>
  <c r="DA14" i="1" s="1"/>
  <c r="DB17" i="1"/>
  <c r="DB13" i="1" s="1"/>
  <c r="DA17" i="1"/>
  <c r="DA16" i="1" s="1"/>
  <c r="DA295" i="1"/>
  <c r="CI303" i="1"/>
  <c r="DB404" i="1" l="1"/>
  <c r="DB403" i="1"/>
  <c r="DH131" i="1"/>
  <c r="DH130" i="1"/>
  <c r="DH129" i="1"/>
  <c r="DH127" i="1"/>
  <c r="DH128" i="1"/>
  <c r="DD128" i="1"/>
  <c r="DD127" i="1"/>
  <c r="DD131" i="1"/>
  <c r="DD130" i="1"/>
  <c r="DD129" i="1"/>
  <c r="DA46" i="1"/>
  <c r="DA45" i="1" s="1"/>
  <c r="DB128" i="1"/>
  <c r="DF130" i="1"/>
  <c r="DF129" i="1"/>
  <c r="DF128" i="1"/>
  <c r="DF127" i="1"/>
  <c r="DF131" i="1"/>
  <c r="DA249" i="1"/>
  <c r="DA73" i="1" s="1"/>
  <c r="DA250" i="1"/>
  <c r="DA224" i="1"/>
  <c r="DA71" i="1" s="1"/>
  <c r="DB281" i="1"/>
  <c r="DB287" i="1"/>
  <c r="DB285" i="1"/>
  <c r="DA225" i="1"/>
  <c r="DA145" i="1"/>
  <c r="DB120" i="1"/>
  <c r="DB116" i="1"/>
  <c r="DB119" i="1"/>
  <c r="DB117" i="1"/>
  <c r="DB118" i="1"/>
  <c r="DB405" i="1"/>
  <c r="DA279" i="1"/>
  <c r="DA331" i="1"/>
  <c r="DB130" i="1"/>
  <c r="DB127" i="1"/>
  <c r="DB129" i="1"/>
  <c r="DB131" i="1"/>
  <c r="DB381" i="1"/>
  <c r="DA137" i="1"/>
  <c r="DA238" i="1"/>
  <c r="DA236" i="1" s="1"/>
  <c r="DB12" i="1"/>
  <c r="DA37" i="1"/>
  <c r="DA76" i="1"/>
  <c r="DA74" i="1" s="1"/>
  <c r="DA293" i="1"/>
  <c r="DA298" i="1" s="1"/>
  <c r="DA398" i="1"/>
  <c r="DA13" i="1"/>
  <c r="DA12" i="1" s="1"/>
  <c r="DA11" i="1" s="1"/>
  <c r="DB401" i="1"/>
  <c r="CY184" i="1"/>
  <c r="H14" i="3"/>
  <c r="H15" i="3" s="1"/>
  <c r="G14" i="3"/>
  <c r="G15" i="3" s="1"/>
  <c r="F14" i="3"/>
  <c r="F15" i="3" s="1"/>
  <c r="E14" i="3"/>
  <c r="E15" i="3" s="1"/>
  <c r="D14" i="3"/>
  <c r="D15" i="3" s="1"/>
  <c r="BP405" i="1"/>
  <c r="BN405" i="1"/>
  <c r="I405" i="1"/>
  <c r="CW404" i="1"/>
  <c r="CS404" i="1"/>
  <c r="BP404" i="1"/>
  <c r="BN404" i="1"/>
  <c r="I404" i="1"/>
  <c r="CW401" i="1"/>
  <c r="CW400" i="1" s="1"/>
  <c r="CX403" i="1" s="1"/>
  <c r="I401" i="1"/>
  <c r="CY400" i="1"/>
  <c r="CZ403" i="1" s="1"/>
  <c r="CU400" i="1"/>
  <c r="CV403" i="1" s="1"/>
  <c r="CS400" i="1"/>
  <c r="CT403" i="1" s="1"/>
  <c r="CQ400" i="1"/>
  <c r="CR403" i="1" s="1"/>
  <c r="CO400" i="1"/>
  <c r="CP403" i="1" s="1"/>
  <c r="CM400" i="1"/>
  <c r="CK400" i="1"/>
  <c r="CI400" i="1"/>
  <c r="CG400" i="1"/>
  <c r="CE400" i="1"/>
  <c r="CF403" i="1" s="1"/>
  <c r="CC400" i="1"/>
  <c r="CD403" i="1" s="1"/>
  <c r="CA400" i="1"/>
  <c r="BY400" i="1"/>
  <c r="BW400" i="1"/>
  <c r="BU400" i="1"/>
  <c r="BS400" i="1"/>
  <c r="BQ400" i="1"/>
  <c r="BO400" i="1"/>
  <c r="BP403" i="1" s="1"/>
  <c r="BM400" i="1"/>
  <c r="BN403" i="1" s="1"/>
  <c r="BK400" i="1"/>
  <c r="BL403" i="1" s="1"/>
  <c r="BI400" i="1"/>
  <c r="BJ403" i="1" s="1"/>
  <c r="BG400" i="1"/>
  <c r="BE400" i="1"/>
  <c r="BC400" i="1"/>
  <c r="BA400" i="1"/>
  <c r="BB403" i="1" s="1"/>
  <c r="AY400" i="1"/>
  <c r="AZ403" i="1" s="1"/>
  <c r="AW400" i="1"/>
  <c r="AX403" i="1" s="1"/>
  <c r="AU400" i="1"/>
  <c r="AV403" i="1" s="1"/>
  <c r="AS400" i="1"/>
  <c r="AQ400" i="1"/>
  <c r="AO400" i="1"/>
  <c r="AM400" i="1"/>
  <c r="AK400" i="1"/>
  <c r="AL403" i="1" s="1"/>
  <c r="AI400" i="1"/>
  <c r="AJ403" i="1" s="1"/>
  <c r="AG400" i="1"/>
  <c r="AE400" i="1"/>
  <c r="AC400" i="1"/>
  <c r="AD403" i="1" s="1"/>
  <c r="AA400" i="1"/>
  <c r="Y400" i="1"/>
  <c r="W400" i="1"/>
  <c r="U400" i="1"/>
  <c r="V403" i="1" s="1"/>
  <c r="S400" i="1"/>
  <c r="T403" i="1" s="1"/>
  <c r="Q400" i="1"/>
  <c r="R403" i="1" s="1"/>
  <c r="O400" i="1"/>
  <c r="M400" i="1"/>
  <c r="K400" i="1"/>
  <c r="I399" i="1"/>
  <c r="CZ385" i="1"/>
  <c r="CX385" i="1"/>
  <c r="CV385" i="1"/>
  <c r="CT385" i="1"/>
  <c r="CR385" i="1"/>
  <c r="CP385" i="1"/>
  <c r="CN385" i="1"/>
  <c r="CL385" i="1"/>
  <c r="CJ385" i="1"/>
  <c r="CH385" i="1"/>
  <c r="CF385" i="1"/>
  <c r="CD385" i="1"/>
  <c r="CB385" i="1"/>
  <c r="BZ385" i="1"/>
  <c r="BX385" i="1"/>
  <c r="BV385" i="1"/>
  <c r="BT385" i="1"/>
  <c r="BR385" i="1"/>
  <c r="BP385" i="1"/>
  <c r="BN385" i="1"/>
  <c r="BL385" i="1"/>
  <c r="BJ385" i="1"/>
  <c r="BH385" i="1"/>
  <c r="BF385" i="1"/>
  <c r="BD385" i="1"/>
  <c r="BB385" i="1"/>
  <c r="AZ385" i="1"/>
  <c r="AX385" i="1"/>
  <c r="AV385" i="1"/>
  <c r="AT385" i="1"/>
  <c r="AR385" i="1"/>
  <c r="AP385" i="1"/>
  <c r="AN385" i="1"/>
  <c r="AL385" i="1"/>
  <c r="AJ385" i="1"/>
  <c r="AH385" i="1"/>
  <c r="AF385" i="1"/>
  <c r="AD385" i="1"/>
  <c r="AB385" i="1"/>
  <c r="Z385" i="1"/>
  <c r="X385" i="1"/>
  <c r="V385" i="1"/>
  <c r="T385" i="1"/>
  <c r="R385" i="1"/>
  <c r="P385" i="1"/>
  <c r="N385" i="1"/>
  <c r="L385" i="1"/>
  <c r="I385" i="1"/>
  <c r="CZ384" i="1"/>
  <c r="CX384" i="1"/>
  <c r="CV384" i="1"/>
  <c r="CT384" i="1"/>
  <c r="CR384" i="1"/>
  <c r="CP384" i="1"/>
  <c r="CN384" i="1"/>
  <c r="CL384" i="1"/>
  <c r="CJ384" i="1"/>
  <c r="CH384" i="1"/>
  <c r="CF384" i="1"/>
  <c r="CD384" i="1"/>
  <c r="CB384" i="1"/>
  <c r="BZ384" i="1"/>
  <c r="BX384" i="1"/>
  <c r="BV384" i="1"/>
  <c r="BT384" i="1"/>
  <c r="BR384" i="1"/>
  <c r="BP384" i="1"/>
  <c r="BN384" i="1"/>
  <c r="BL384" i="1"/>
  <c r="BJ384" i="1"/>
  <c r="BH384" i="1"/>
  <c r="BF384" i="1"/>
  <c r="BD384" i="1"/>
  <c r="BB384" i="1"/>
  <c r="AZ384" i="1"/>
  <c r="AX384" i="1"/>
  <c r="AV384" i="1"/>
  <c r="AT384" i="1"/>
  <c r="AR384" i="1"/>
  <c r="AP384" i="1"/>
  <c r="AN384" i="1"/>
  <c r="AL384" i="1"/>
  <c r="AJ384" i="1"/>
  <c r="AH384" i="1"/>
  <c r="AF384" i="1"/>
  <c r="AD384" i="1"/>
  <c r="AB384" i="1"/>
  <c r="Z384" i="1"/>
  <c r="X384" i="1"/>
  <c r="V384" i="1"/>
  <c r="T384" i="1"/>
  <c r="R384" i="1"/>
  <c r="P384" i="1"/>
  <c r="N384" i="1"/>
  <c r="L384" i="1"/>
  <c r="I384" i="1"/>
  <c r="CZ383" i="1"/>
  <c r="CX383" i="1"/>
  <c r="CV383" i="1"/>
  <c r="CT383" i="1"/>
  <c r="CR383" i="1"/>
  <c r="CP383" i="1"/>
  <c r="CN383" i="1"/>
  <c r="CL383" i="1"/>
  <c r="CJ383" i="1"/>
  <c r="CH383" i="1"/>
  <c r="CF383" i="1"/>
  <c r="CD383" i="1"/>
  <c r="CB383" i="1"/>
  <c r="BZ383" i="1"/>
  <c r="BX383" i="1"/>
  <c r="BV383" i="1"/>
  <c r="BT383" i="1"/>
  <c r="BR383" i="1"/>
  <c r="BP383" i="1"/>
  <c r="BN383" i="1"/>
  <c r="BL383" i="1"/>
  <c r="BJ383" i="1"/>
  <c r="BH383" i="1"/>
  <c r="BF383" i="1"/>
  <c r="BD383" i="1"/>
  <c r="BB383" i="1"/>
  <c r="AZ383" i="1"/>
  <c r="AX383" i="1"/>
  <c r="AV383" i="1"/>
  <c r="AT383" i="1"/>
  <c r="AR383" i="1"/>
  <c r="AP383" i="1"/>
  <c r="AN383" i="1"/>
  <c r="AL383" i="1"/>
  <c r="AJ383" i="1"/>
  <c r="AH383" i="1"/>
  <c r="AF383" i="1"/>
  <c r="AD383" i="1"/>
  <c r="AB383" i="1"/>
  <c r="Z383" i="1"/>
  <c r="X383" i="1"/>
  <c r="V383" i="1"/>
  <c r="T383" i="1"/>
  <c r="R383" i="1"/>
  <c r="P383" i="1"/>
  <c r="N383" i="1"/>
  <c r="L383" i="1"/>
  <c r="I383" i="1"/>
  <c r="CZ382" i="1"/>
  <c r="CX382" i="1"/>
  <c r="CV382" i="1"/>
  <c r="CT382" i="1"/>
  <c r="CT381" i="1" s="1"/>
  <c r="CR382" i="1"/>
  <c r="CR381" i="1" s="1"/>
  <c r="CP382" i="1"/>
  <c r="CN382" i="1"/>
  <c r="CL382" i="1"/>
  <c r="CJ382" i="1"/>
  <c r="CH382" i="1"/>
  <c r="CF382" i="1"/>
  <c r="CD382" i="1"/>
  <c r="CD381" i="1" s="1"/>
  <c r="CB382" i="1"/>
  <c r="CB381" i="1" s="1"/>
  <c r="BZ382" i="1"/>
  <c r="BX382" i="1"/>
  <c r="BV382" i="1"/>
  <c r="BT382" i="1"/>
  <c r="BR382" i="1"/>
  <c r="BP382" i="1"/>
  <c r="BN382" i="1"/>
  <c r="BN381" i="1" s="1"/>
  <c r="BL382" i="1"/>
  <c r="BL381" i="1" s="1"/>
  <c r="BJ382" i="1"/>
  <c r="BH382" i="1"/>
  <c r="BF382" i="1"/>
  <c r="BD382" i="1"/>
  <c r="BB382" i="1"/>
  <c r="AZ382" i="1"/>
  <c r="AX382" i="1"/>
  <c r="AV382" i="1"/>
  <c r="AV381" i="1" s="1"/>
  <c r="AT382" i="1"/>
  <c r="AR382" i="1"/>
  <c r="AP382" i="1"/>
  <c r="AN382" i="1"/>
  <c r="AL382" i="1"/>
  <c r="AJ382" i="1"/>
  <c r="AH382" i="1"/>
  <c r="AH381" i="1" s="1"/>
  <c r="AF382" i="1"/>
  <c r="AD382" i="1"/>
  <c r="AB382" i="1"/>
  <c r="Z382" i="1"/>
  <c r="X382" i="1"/>
  <c r="V382" i="1"/>
  <c r="T382" i="1"/>
  <c r="R382" i="1"/>
  <c r="R381" i="1" s="1"/>
  <c r="P382" i="1"/>
  <c r="N382" i="1"/>
  <c r="L382" i="1"/>
  <c r="I382" i="1"/>
  <c r="BK381" i="1"/>
  <c r="BK376" i="1" s="1"/>
  <c r="BI381" i="1"/>
  <c r="BI376" i="1" s="1"/>
  <c r="BG381" i="1"/>
  <c r="BG376" i="1" s="1"/>
  <c r="BE381" i="1"/>
  <c r="BE376" i="1" s="1"/>
  <c r="BC381" i="1"/>
  <c r="BC376" i="1" s="1"/>
  <c r="BA381" i="1"/>
  <c r="BA376" i="1" s="1"/>
  <c r="AY381" i="1"/>
  <c r="AY376" i="1" s="1"/>
  <c r="AW381" i="1"/>
  <c r="AW376" i="1" s="1"/>
  <c r="AU381" i="1"/>
  <c r="AU376" i="1" s="1"/>
  <c r="AS381" i="1"/>
  <c r="AS376" i="1" s="1"/>
  <c r="AQ381" i="1"/>
  <c r="AQ376" i="1" s="1"/>
  <c r="AO381" i="1"/>
  <c r="AO376" i="1" s="1"/>
  <c r="I381" i="1"/>
  <c r="CY376" i="1"/>
  <c r="CW376" i="1"/>
  <c r="CU376" i="1"/>
  <c r="CS376" i="1"/>
  <c r="CQ376" i="1"/>
  <c r="CO376" i="1"/>
  <c r="CM376" i="1"/>
  <c r="CK376" i="1"/>
  <c r="CI376" i="1"/>
  <c r="CG376" i="1"/>
  <c r="CE376" i="1"/>
  <c r="CC376" i="1"/>
  <c r="CA376" i="1"/>
  <c r="BY376" i="1"/>
  <c r="BW376" i="1"/>
  <c r="BU376" i="1"/>
  <c r="BS376" i="1"/>
  <c r="BQ376" i="1"/>
  <c r="BO376" i="1"/>
  <c r="BM376" i="1"/>
  <c r="AM376" i="1"/>
  <c r="AK376" i="1"/>
  <c r="AI376" i="1"/>
  <c r="AG376" i="1"/>
  <c r="AE376" i="1"/>
  <c r="AC376" i="1"/>
  <c r="AA376" i="1"/>
  <c r="Y376" i="1"/>
  <c r="W376" i="1"/>
  <c r="U376" i="1"/>
  <c r="S376" i="1"/>
  <c r="Q376" i="1"/>
  <c r="O376" i="1"/>
  <c r="M376" i="1"/>
  <c r="K376" i="1"/>
  <c r="BS372" i="1"/>
  <c r="I372" i="1"/>
  <c r="I371" i="1"/>
  <c r="CY367" i="1"/>
  <c r="CW367" i="1"/>
  <c r="CU367" i="1"/>
  <c r="CS367" i="1"/>
  <c r="CQ367" i="1"/>
  <c r="CO367" i="1"/>
  <c r="CM367" i="1"/>
  <c r="CK367" i="1"/>
  <c r="CI367" i="1"/>
  <c r="CG367" i="1"/>
  <c r="CE367" i="1"/>
  <c r="CC367" i="1"/>
  <c r="CA367" i="1"/>
  <c r="BY367" i="1"/>
  <c r="BK367" i="1"/>
  <c r="BI367" i="1"/>
  <c r="BG367" i="1"/>
  <c r="BE367" i="1"/>
  <c r="AI367" i="1"/>
  <c r="AG367" i="1"/>
  <c r="AE367" i="1"/>
  <c r="AC367" i="1"/>
  <c r="AA367" i="1"/>
  <c r="Y367" i="1"/>
  <c r="W367" i="1"/>
  <c r="U367" i="1"/>
  <c r="S367" i="1"/>
  <c r="Q367" i="1"/>
  <c r="O367" i="1"/>
  <c r="M367" i="1"/>
  <c r="K367" i="1"/>
  <c r="I365" i="1"/>
  <c r="CY364" i="1"/>
  <c r="CW364" i="1"/>
  <c r="CU364" i="1"/>
  <c r="CS364" i="1"/>
  <c r="CQ364" i="1"/>
  <c r="CO364" i="1"/>
  <c r="CM364" i="1"/>
  <c r="CK364" i="1"/>
  <c r="CI364" i="1"/>
  <c r="CG364" i="1"/>
  <c r="CE364" i="1"/>
  <c r="CC364" i="1"/>
  <c r="CA364" i="1"/>
  <c r="BY364" i="1"/>
  <c r="BW364" i="1"/>
  <c r="BU364" i="1"/>
  <c r="BS364" i="1"/>
  <c r="BQ364" i="1"/>
  <c r="BO364" i="1"/>
  <c r="BM364" i="1"/>
  <c r="BK364" i="1"/>
  <c r="BI364" i="1"/>
  <c r="BG364" i="1"/>
  <c r="BE364" i="1"/>
  <c r="BC364" i="1"/>
  <c r="BA364" i="1"/>
  <c r="AY364" i="1"/>
  <c r="AW364" i="1"/>
  <c r="AU364" i="1"/>
  <c r="AS364" i="1"/>
  <c r="AM364" i="1"/>
  <c r="I364" i="1"/>
  <c r="CY360" i="1"/>
  <c r="CW360" i="1"/>
  <c r="CU360" i="1"/>
  <c r="CS360" i="1"/>
  <c r="CQ360" i="1"/>
  <c r="CO360" i="1"/>
  <c r="CM360" i="1"/>
  <c r="CK360" i="1"/>
  <c r="CI360" i="1"/>
  <c r="CG360" i="1"/>
  <c r="CE360" i="1"/>
  <c r="CC360" i="1"/>
  <c r="CA360" i="1"/>
  <c r="BY360" i="1"/>
  <c r="BW360" i="1"/>
  <c r="BU360" i="1"/>
  <c r="BS360" i="1"/>
  <c r="BQ360" i="1"/>
  <c r="BO360" i="1"/>
  <c r="BM360" i="1"/>
  <c r="BK360" i="1"/>
  <c r="BI360" i="1"/>
  <c r="BG360" i="1"/>
  <c r="BE360" i="1"/>
  <c r="BC360" i="1"/>
  <c r="BA360" i="1"/>
  <c r="AY360" i="1"/>
  <c r="AW360" i="1"/>
  <c r="AU360" i="1"/>
  <c r="AS360" i="1"/>
  <c r="AQ360" i="1"/>
  <c r="AO360" i="1"/>
  <c r="AM360" i="1"/>
  <c r="AK360" i="1"/>
  <c r="AI360" i="1"/>
  <c r="AG360" i="1"/>
  <c r="AE360" i="1"/>
  <c r="AC360" i="1"/>
  <c r="AA360" i="1"/>
  <c r="Y360" i="1"/>
  <c r="W360" i="1"/>
  <c r="I359" i="1"/>
  <c r="CJ358" i="1"/>
  <c r="CH358" i="1"/>
  <c r="CF358" i="1"/>
  <c r="CD358" i="1"/>
  <c r="CB358" i="1"/>
  <c r="I358" i="1"/>
  <c r="CY357" i="1"/>
  <c r="CZ358" i="1" s="1"/>
  <c r="CW357" i="1"/>
  <c r="CX358" i="1" s="1"/>
  <c r="CU357" i="1"/>
  <c r="CV358" i="1" s="1"/>
  <c r="CS357" i="1"/>
  <c r="CT358" i="1" s="1"/>
  <c r="CQ357" i="1"/>
  <c r="CR358" i="1" s="1"/>
  <c r="CO357" i="1"/>
  <c r="CP358" i="1" s="1"/>
  <c r="CM357" i="1"/>
  <c r="CN358" i="1" s="1"/>
  <c r="CK357" i="1"/>
  <c r="CL358" i="1" s="1"/>
  <c r="BY357" i="1"/>
  <c r="BZ358" i="1" s="1"/>
  <c r="BW357" i="1"/>
  <c r="BX358" i="1" s="1"/>
  <c r="BU357" i="1"/>
  <c r="BV358" i="1" s="1"/>
  <c r="BS357" i="1"/>
  <c r="BT358" i="1" s="1"/>
  <c r="BQ357" i="1"/>
  <c r="BR358" i="1" s="1"/>
  <c r="BO357" i="1"/>
  <c r="BP358" i="1" s="1"/>
  <c r="BM357" i="1"/>
  <c r="BN358" i="1" s="1"/>
  <c r="BK357" i="1"/>
  <c r="BL358" i="1" s="1"/>
  <c r="BI357" i="1"/>
  <c r="BJ358" i="1" s="1"/>
  <c r="BG357" i="1"/>
  <c r="BH358" i="1" s="1"/>
  <c r="BE357" i="1"/>
  <c r="BF358" i="1" s="1"/>
  <c r="BC357" i="1"/>
  <c r="BD358" i="1" s="1"/>
  <c r="BA357" i="1"/>
  <c r="BB358" i="1" s="1"/>
  <c r="AY357" i="1"/>
  <c r="AZ358" i="1" s="1"/>
  <c r="AW357" i="1"/>
  <c r="AX358" i="1" s="1"/>
  <c r="AU357" i="1"/>
  <c r="AV358" i="1" s="1"/>
  <c r="AS357" i="1"/>
  <c r="AT358" i="1" s="1"/>
  <c r="AQ357" i="1"/>
  <c r="AR358" i="1" s="1"/>
  <c r="AO357" i="1"/>
  <c r="AP358" i="1" s="1"/>
  <c r="AM357" i="1"/>
  <c r="AN358" i="1" s="1"/>
  <c r="AK357" i="1"/>
  <c r="AL358" i="1" s="1"/>
  <c r="AI357" i="1"/>
  <c r="AJ358" i="1" s="1"/>
  <c r="AG357" i="1"/>
  <c r="CY353" i="1"/>
  <c r="CW353" i="1"/>
  <c r="CU353" i="1"/>
  <c r="CS353" i="1"/>
  <c r="CQ353" i="1"/>
  <c r="CO353" i="1"/>
  <c r="CM353" i="1"/>
  <c r="CK353" i="1"/>
  <c r="CI353" i="1"/>
  <c r="CG353" i="1"/>
  <c r="CE353" i="1"/>
  <c r="CC353" i="1"/>
  <c r="CA353" i="1"/>
  <c r="BY353" i="1"/>
  <c r="BW353" i="1"/>
  <c r="BE353" i="1"/>
  <c r="BC353" i="1"/>
  <c r="BA353" i="1"/>
  <c r="AY353" i="1"/>
  <c r="AW353" i="1"/>
  <c r="AU353" i="1"/>
  <c r="AS353" i="1"/>
  <c r="AQ353" i="1"/>
  <c r="AO353" i="1"/>
  <c r="AM353" i="1"/>
  <c r="AK353" i="1"/>
  <c r="AI353" i="1"/>
  <c r="AG353" i="1"/>
  <c r="AE353" i="1"/>
  <c r="AC353" i="1"/>
  <c r="AA353" i="1"/>
  <c r="I353" i="1"/>
  <c r="I352" i="1"/>
  <c r="I351" i="1"/>
  <c r="CY350" i="1"/>
  <c r="CZ351" i="1" s="1"/>
  <c r="CW350" i="1"/>
  <c r="CX351" i="1" s="1"/>
  <c r="CU350" i="1"/>
  <c r="CV351" i="1" s="1"/>
  <c r="CS350" i="1"/>
  <c r="CT351" i="1" s="1"/>
  <c r="CQ350" i="1"/>
  <c r="CR351" i="1" s="1"/>
  <c r="CO350" i="1"/>
  <c r="CP351" i="1" s="1"/>
  <c r="CM350" i="1"/>
  <c r="CN351" i="1" s="1"/>
  <c r="CK350" i="1"/>
  <c r="CL351" i="1" s="1"/>
  <c r="CI350" i="1"/>
  <c r="CJ351" i="1" s="1"/>
  <c r="CG350" i="1"/>
  <c r="CH351" i="1" s="1"/>
  <c r="CE350" i="1"/>
  <c r="CF351" i="1" s="1"/>
  <c r="CC350" i="1"/>
  <c r="CD351" i="1" s="1"/>
  <c r="CA350" i="1"/>
  <c r="CB351" i="1" s="1"/>
  <c r="BY350" i="1"/>
  <c r="BZ351" i="1" s="1"/>
  <c r="BW350" i="1"/>
  <c r="BX351" i="1" s="1"/>
  <c r="BU350" i="1"/>
  <c r="BV351" i="1" s="1"/>
  <c r="BS350" i="1"/>
  <c r="BT351" i="1" s="1"/>
  <c r="BQ350" i="1"/>
  <c r="BR351" i="1" s="1"/>
  <c r="BO350" i="1"/>
  <c r="BP351" i="1" s="1"/>
  <c r="BM350" i="1"/>
  <c r="BN351" i="1" s="1"/>
  <c r="BK350" i="1"/>
  <c r="BL351" i="1" s="1"/>
  <c r="BI350" i="1"/>
  <c r="BJ351" i="1" s="1"/>
  <c r="BG350" i="1"/>
  <c r="BH351" i="1" s="1"/>
  <c r="BE350" i="1"/>
  <c r="BF351" i="1" s="1"/>
  <c r="BC350" i="1"/>
  <c r="BD351" i="1" s="1"/>
  <c r="BA350" i="1"/>
  <c r="BB351" i="1" s="1"/>
  <c r="AY350" i="1"/>
  <c r="AZ351" i="1" s="1"/>
  <c r="AW350" i="1"/>
  <c r="AX351" i="1" s="1"/>
  <c r="AQ350" i="1"/>
  <c r="AR351" i="1" s="1"/>
  <c r="AO350" i="1"/>
  <c r="AP351" i="1" s="1"/>
  <c r="AM350" i="1"/>
  <c r="AN351" i="1" s="1"/>
  <c r="AK350" i="1"/>
  <c r="AL351" i="1" s="1"/>
  <c r="AI350" i="1"/>
  <c r="AJ351" i="1" s="1"/>
  <c r="AG350" i="1"/>
  <c r="CY346" i="1"/>
  <c r="CW346" i="1"/>
  <c r="CU346" i="1"/>
  <c r="CS346" i="1"/>
  <c r="CQ346" i="1"/>
  <c r="CO346" i="1"/>
  <c r="CM346" i="1"/>
  <c r="CK346" i="1"/>
  <c r="CI346" i="1"/>
  <c r="CG346" i="1"/>
  <c r="CE346" i="1"/>
  <c r="CC346" i="1"/>
  <c r="CA346" i="1"/>
  <c r="BY346" i="1"/>
  <c r="BW346" i="1"/>
  <c r="BU346" i="1"/>
  <c r="BS346" i="1"/>
  <c r="BQ346" i="1"/>
  <c r="BO346" i="1"/>
  <c r="BM346" i="1"/>
  <c r="BK346" i="1"/>
  <c r="BI346" i="1"/>
  <c r="BG346" i="1"/>
  <c r="BE346" i="1"/>
  <c r="BC346" i="1"/>
  <c r="BA346" i="1"/>
  <c r="AY346" i="1"/>
  <c r="AW346" i="1"/>
  <c r="AU346" i="1"/>
  <c r="AS346" i="1"/>
  <c r="AQ346" i="1"/>
  <c r="AO346" i="1"/>
  <c r="AM346" i="1"/>
  <c r="AK346" i="1"/>
  <c r="AI346" i="1"/>
  <c r="AG346" i="1"/>
  <c r="AE346" i="1"/>
  <c r="AC346" i="1"/>
  <c r="AA346" i="1"/>
  <c r="I345" i="1"/>
  <c r="CZ344" i="1"/>
  <c r="CX344" i="1"/>
  <c r="CV344" i="1"/>
  <c r="CT344" i="1"/>
  <c r="CR344" i="1"/>
  <c r="CP344" i="1"/>
  <c r="CN344" i="1"/>
  <c r="CL344" i="1"/>
  <c r="CJ344" i="1"/>
  <c r="CH344" i="1"/>
  <c r="I344" i="1"/>
  <c r="CE343" i="1"/>
  <c r="CF344" i="1" s="1"/>
  <c r="CC343" i="1"/>
  <c r="CD344" i="1" s="1"/>
  <c r="CA343" i="1"/>
  <c r="CB344" i="1" s="1"/>
  <c r="BY343" i="1"/>
  <c r="BZ344" i="1" s="1"/>
  <c r="BW343" i="1"/>
  <c r="BX344" i="1" s="1"/>
  <c r="BU343" i="1"/>
  <c r="BV344" i="1" s="1"/>
  <c r="BS343" i="1"/>
  <c r="BT344" i="1" s="1"/>
  <c r="BQ343" i="1"/>
  <c r="BR344" i="1" s="1"/>
  <c r="BO343" i="1"/>
  <c r="BP344" i="1" s="1"/>
  <c r="BM343" i="1"/>
  <c r="BN344" i="1" s="1"/>
  <c r="BK343" i="1"/>
  <c r="BL344" i="1" s="1"/>
  <c r="BI343" i="1"/>
  <c r="BJ344" i="1" s="1"/>
  <c r="BG343" i="1"/>
  <c r="BH344" i="1" s="1"/>
  <c r="BE343" i="1"/>
  <c r="BF344" i="1" s="1"/>
  <c r="BC343" i="1"/>
  <c r="BD344" i="1" s="1"/>
  <c r="BA343" i="1"/>
  <c r="BB344" i="1" s="1"/>
  <c r="AY343" i="1"/>
  <c r="AZ344" i="1" s="1"/>
  <c r="AW343" i="1"/>
  <c r="AX344" i="1" s="1"/>
  <c r="AQ343" i="1"/>
  <c r="AR344" i="1" s="1"/>
  <c r="AO343" i="1"/>
  <c r="AP344" i="1" s="1"/>
  <c r="AM343" i="1"/>
  <c r="AN344" i="1" s="1"/>
  <c r="AK343" i="1"/>
  <c r="AL344" i="1" s="1"/>
  <c r="AI343" i="1"/>
  <c r="AJ344" i="1" s="1"/>
  <c r="AG343" i="1"/>
  <c r="CY339" i="1"/>
  <c r="CW339" i="1"/>
  <c r="CU339" i="1"/>
  <c r="CS339" i="1"/>
  <c r="CQ339" i="1"/>
  <c r="CO339" i="1"/>
  <c r="CM339" i="1"/>
  <c r="CK339" i="1"/>
  <c r="CI339" i="1"/>
  <c r="CG339" i="1"/>
  <c r="CE339" i="1"/>
  <c r="CC339" i="1"/>
  <c r="CA339" i="1"/>
  <c r="BY339" i="1"/>
  <c r="BW339" i="1"/>
  <c r="BU339" i="1"/>
  <c r="BS339" i="1"/>
  <c r="S339" i="1"/>
  <c r="S338" i="1"/>
  <c r="I337" i="1"/>
  <c r="CY336" i="1"/>
  <c r="CZ337" i="1" s="1"/>
  <c r="CW336" i="1"/>
  <c r="CX337" i="1" s="1"/>
  <c r="CU336" i="1"/>
  <c r="CV337" i="1" s="1"/>
  <c r="CS336" i="1"/>
  <c r="CT337" i="1" s="1"/>
  <c r="CQ336" i="1"/>
  <c r="CR337" i="1" s="1"/>
  <c r="CA336" i="1"/>
  <c r="CB337" i="1" s="1"/>
  <c r="BY336" i="1"/>
  <c r="BZ337" i="1" s="1"/>
  <c r="BW336" i="1"/>
  <c r="BX337" i="1" s="1"/>
  <c r="BU336" i="1"/>
  <c r="BV337" i="1" s="1"/>
  <c r="BS336" i="1"/>
  <c r="BT337" i="1" s="1"/>
  <c r="BQ336" i="1"/>
  <c r="BR337" i="1" s="1"/>
  <c r="BO336" i="1"/>
  <c r="BP337" i="1" s="1"/>
  <c r="BM336" i="1"/>
  <c r="BN337" i="1" s="1"/>
  <c r="BK336" i="1"/>
  <c r="BL337" i="1" s="1"/>
  <c r="BI336" i="1"/>
  <c r="BJ337" i="1" s="1"/>
  <c r="BG336" i="1"/>
  <c r="BH337" i="1" s="1"/>
  <c r="BE336" i="1"/>
  <c r="BF337" i="1" s="1"/>
  <c r="BC336" i="1"/>
  <c r="BD337" i="1" s="1"/>
  <c r="BA336" i="1"/>
  <c r="BB337" i="1" s="1"/>
  <c r="AY336" i="1"/>
  <c r="AZ337" i="1" s="1"/>
  <c r="AW336" i="1"/>
  <c r="AX337" i="1" s="1"/>
  <c r="AU336" i="1"/>
  <c r="AV337" i="1" s="1"/>
  <c r="AS336" i="1"/>
  <c r="AT337" i="1" s="1"/>
  <c r="AQ336" i="1"/>
  <c r="AR337" i="1" s="1"/>
  <c r="AO336" i="1"/>
  <c r="AP337" i="1" s="1"/>
  <c r="AM336" i="1"/>
  <c r="AN337" i="1" s="1"/>
  <c r="AK336" i="1"/>
  <c r="AL337" i="1" s="1"/>
  <c r="AI336" i="1"/>
  <c r="AJ337" i="1" s="1"/>
  <c r="AG336" i="1"/>
  <c r="AE336" i="1"/>
  <c r="AE331" i="1" s="1"/>
  <c r="AC336" i="1"/>
  <c r="AC331" i="1" s="1"/>
  <c r="AA336" i="1"/>
  <c r="AA331" i="1" s="1"/>
  <c r="Y336" i="1"/>
  <c r="Y331" i="1" s="1"/>
  <c r="W336" i="1"/>
  <c r="W331" i="1" s="1"/>
  <c r="U336" i="1"/>
  <c r="U331" i="1" s="1"/>
  <c r="Q336" i="1"/>
  <c r="Q331" i="1" s="1"/>
  <c r="O336" i="1"/>
  <c r="O331" i="1" s="1"/>
  <c r="M336" i="1"/>
  <c r="M331" i="1" s="1"/>
  <c r="K336" i="1"/>
  <c r="K331" i="1" s="1"/>
  <c r="CY332" i="1"/>
  <c r="CW332" i="1"/>
  <c r="CU332" i="1"/>
  <c r="CS332" i="1"/>
  <c r="CQ332" i="1"/>
  <c r="CO332" i="1"/>
  <c r="CM332" i="1"/>
  <c r="CK332" i="1"/>
  <c r="CI332" i="1"/>
  <c r="CG332" i="1"/>
  <c r="CE332" i="1"/>
  <c r="CC332" i="1"/>
  <c r="CA332" i="1"/>
  <c r="BY332" i="1"/>
  <c r="BW332" i="1"/>
  <c r="BU332" i="1"/>
  <c r="BS332" i="1"/>
  <c r="BQ332" i="1"/>
  <c r="BO332" i="1"/>
  <c r="BM332" i="1"/>
  <c r="BK332" i="1"/>
  <c r="BI332" i="1"/>
  <c r="BG332" i="1"/>
  <c r="BE332" i="1"/>
  <c r="BC332" i="1"/>
  <c r="BA332" i="1"/>
  <c r="AY332" i="1"/>
  <c r="AW332" i="1"/>
  <c r="AU332" i="1"/>
  <c r="AS332" i="1"/>
  <c r="AQ332" i="1"/>
  <c r="AO332" i="1"/>
  <c r="AM332" i="1"/>
  <c r="AK332" i="1"/>
  <c r="AI332" i="1"/>
  <c r="AG332" i="1"/>
  <c r="AE332" i="1"/>
  <c r="AC332" i="1"/>
  <c r="AA332" i="1"/>
  <c r="Y332" i="1"/>
  <c r="W332" i="1"/>
  <c r="U332" i="1"/>
  <c r="S332" i="1"/>
  <c r="Q332" i="1"/>
  <c r="O332" i="1"/>
  <c r="M332" i="1"/>
  <c r="K332" i="1"/>
  <c r="I327" i="1"/>
  <c r="CY326" i="1"/>
  <c r="CY325" i="1" s="1"/>
  <c r="CW326" i="1"/>
  <c r="CW325" i="1" s="1"/>
  <c r="CU326" i="1"/>
  <c r="CU325" i="1" s="1"/>
  <c r="CS326" i="1"/>
  <c r="CS325" i="1" s="1"/>
  <c r="CQ326" i="1"/>
  <c r="CQ325" i="1" s="1"/>
  <c r="CO326" i="1"/>
  <c r="CO325" i="1" s="1"/>
  <c r="CM326" i="1"/>
  <c r="CM325" i="1" s="1"/>
  <c r="CK326" i="1"/>
  <c r="CK325" i="1" s="1"/>
  <c r="CI326" i="1"/>
  <c r="CI325" i="1" s="1"/>
  <c r="AM326" i="1"/>
  <c r="AM101" i="1" s="1"/>
  <c r="I326" i="1"/>
  <c r="CG325" i="1"/>
  <c r="CE325" i="1"/>
  <c r="CC325" i="1"/>
  <c r="CA325" i="1"/>
  <c r="BY325" i="1"/>
  <c r="BW325" i="1"/>
  <c r="BU325" i="1"/>
  <c r="BS325" i="1"/>
  <c r="BQ325" i="1"/>
  <c r="BO325" i="1"/>
  <c r="BM325" i="1"/>
  <c r="BK325" i="1"/>
  <c r="BI325" i="1"/>
  <c r="BG325" i="1"/>
  <c r="BE325" i="1"/>
  <c r="BC325" i="1"/>
  <c r="BA325" i="1"/>
  <c r="AY325" i="1"/>
  <c r="AW325" i="1"/>
  <c r="AU325" i="1"/>
  <c r="AS325" i="1"/>
  <c r="AQ325" i="1"/>
  <c r="AO325" i="1"/>
  <c r="AK325" i="1"/>
  <c r="AI325" i="1"/>
  <c r="AG325" i="1"/>
  <c r="AE325" i="1"/>
  <c r="AC325" i="1"/>
  <c r="AA325" i="1"/>
  <c r="Y325" i="1"/>
  <c r="W325" i="1"/>
  <c r="U325" i="1"/>
  <c r="S325" i="1"/>
  <c r="Q325" i="1"/>
  <c r="O325" i="1"/>
  <c r="M325" i="1"/>
  <c r="K325" i="1"/>
  <c r="CS237" i="1"/>
  <c r="CO295" i="1"/>
  <c r="CM295" i="1"/>
  <c r="CK237" i="1"/>
  <c r="CI315" i="1"/>
  <c r="CG315" i="1"/>
  <c r="CC316" i="1"/>
  <c r="CC315" i="1" s="1"/>
  <c r="CA316" i="1"/>
  <c r="BY316" i="1"/>
  <c r="BY315" i="1" s="1"/>
  <c r="BW316" i="1"/>
  <c r="BW315" i="1" s="1"/>
  <c r="BU316" i="1"/>
  <c r="BU237" i="1" s="1"/>
  <c r="I316" i="1"/>
  <c r="I237" i="1" s="1"/>
  <c r="CY315" i="1"/>
  <c r="CW315" i="1"/>
  <c r="CU315" i="1"/>
  <c r="BS315" i="1"/>
  <c r="BQ315" i="1"/>
  <c r="BO315" i="1"/>
  <c r="BM315" i="1"/>
  <c r="BK315" i="1"/>
  <c r="BI315" i="1"/>
  <c r="BG315" i="1"/>
  <c r="BE315" i="1"/>
  <c r="BC315" i="1"/>
  <c r="BA315" i="1"/>
  <c r="AY315" i="1"/>
  <c r="AW315" i="1"/>
  <c r="AU315" i="1"/>
  <c r="AS315" i="1"/>
  <c r="AQ315" i="1"/>
  <c r="AO315" i="1"/>
  <c r="AM315" i="1"/>
  <c r="AK315" i="1"/>
  <c r="AI315" i="1"/>
  <c r="AG315" i="1"/>
  <c r="AE315" i="1"/>
  <c r="AC315" i="1"/>
  <c r="AA315" i="1"/>
  <c r="Y315" i="1"/>
  <c r="W315" i="1"/>
  <c r="U315" i="1"/>
  <c r="S315" i="1"/>
  <c r="Q315" i="1"/>
  <c r="O315" i="1"/>
  <c r="M315" i="1"/>
  <c r="K315" i="1"/>
  <c r="I304" i="1"/>
  <c r="CQ303" i="1"/>
  <c r="CO303" i="1"/>
  <c r="CM303" i="1"/>
  <c r="CK303" i="1"/>
  <c r="CG303" i="1"/>
  <c r="CE303" i="1"/>
  <c r="CC303" i="1"/>
  <c r="CA303" i="1"/>
  <c r="BY303" i="1"/>
  <c r="BW303" i="1"/>
  <c r="BU303" i="1"/>
  <c r="BS303" i="1"/>
  <c r="BQ303" i="1"/>
  <c r="BO303" i="1"/>
  <c r="BM303" i="1"/>
  <c r="BK303" i="1"/>
  <c r="BI303" i="1"/>
  <c r="BG303" i="1"/>
  <c r="BE303" i="1"/>
  <c r="BC303" i="1"/>
  <c r="BA303" i="1"/>
  <c r="AY303" i="1"/>
  <c r="AW303" i="1"/>
  <c r="AU303" i="1"/>
  <c r="AS303" i="1"/>
  <c r="AQ303" i="1"/>
  <c r="AO303" i="1"/>
  <c r="AM303" i="1"/>
  <c r="AK303" i="1"/>
  <c r="AI303" i="1"/>
  <c r="AG303" i="1"/>
  <c r="AE303" i="1"/>
  <c r="AC303" i="1"/>
  <c r="AA303" i="1"/>
  <c r="Y303" i="1"/>
  <c r="W303" i="1"/>
  <c r="U303" i="1"/>
  <c r="S303" i="1"/>
  <c r="Q303" i="1"/>
  <c r="O303" i="1"/>
  <c r="M303" i="1"/>
  <c r="K303" i="1"/>
  <c r="Q300" i="1"/>
  <c r="BS295" i="1"/>
  <c r="BQ295" i="1"/>
  <c r="BO295" i="1"/>
  <c r="BM295" i="1"/>
  <c r="BK295" i="1"/>
  <c r="BI295" i="1"/>
  <c r="BG295" i="1"/>
  <c r="BE295" i="1"/>
  <c r="BC295" i="1"/>
  <c r="BA295" i="1"/>
  <c r="AY295" i="1"/>
  <c r="AW295" i="1"/>
  <c r="AU295" i="1"/>
  <c r="AS295" i="1"/>
  <c r="AQ295" i="1"/>
  <c r="AO295" i="1"/>
  <c r="AM295" i="1"/>
  <c r="AK295" i="1"/>
  <c r="AI295" i="1"/>
  <c r="AG295" i="1"/>
  <c r="AE295" i="1"/>
  <c r="AC295" i="1"/>
  <c r="AA295" i="1"/>
  <c r="Y295" i="1"/>
  <c r="W295" i="1"/>
  <c r="U295" i="1"/>
  <c r="S295" i="1"/>
  <c r="Q295" i="1"/>
  <c r="O295" i="1"/>
  <c r="M295" i="1"/>
  <c r="K295" i="1"/>
  <c r="J289" i="1"/>
  <c r="I289" i="1"/>
  <c r="I288" i="1"/>
  <c r="CW287" i="1"/>
  <c r="CU287" i="1"/>
  <c r="CS287" i="1"/>
  <c r="CQ287" i="1"/>
  <c r="CO287" i="1"/>
  <c r="CG287" i="1"/>
  <c r="CG280" i="1" s="1"/>
  <c r="CG279" i="1" s="1"/>
  <c r="CE287" i="1"/>
  <c r="CC287" i="1"/>
  <c r="CA287" i="1"/>
  <c r="CA280" i="1" s="1"/>
  <c r="BY287" i="1"/>
  <c r="BW287" i="1"/>
  <c r="BW280" i="1" s="1"/>
  <c r="BU287" i="1"/>
  <c r="BU280" i="1" s="1"/>
  <c r="BS287" i="1"/>
  <c r="BQ287" i="1"/>
  <c r="BO287" i="1"/>
  <c r="BO280" i="1" s="1"/>
  <c r="BM287" i="1"/>
  <c r="BM280" i="1" s="1"/>
  <c r="BM224" i="1" s="1"/>
  <c r="BM71" i="1" s="1"/>
  <c r="BK287" i="1"/>
  <c r="BI287" i="1"/>
  <c r="BG287" i="1"/>
  <c r="BE287" i="1"/>
  <c r="BC287" i="1"/>
  <c r="BC280" i="1" s="1"/>
  <c r="BC224" i="1" s="1"/>
  <c r="BC71" i="1" s="1"/>
  <c r="BA287" i="1"/>
  <c r="AY287" i="1"/>
  <c r="AW287" i="1"/>
  <c r="AU287" i="1"/>
  <c r="AS287" i="1"/>
  <c r="AQ287" i="1"/>
  <c r="AO287" i="1"/>
  <c r="AO280" i="1" s="1"/>
  <c r="AO293" i="1" s="1"/>
  <c r="AO299" i="1" s="1"/>
  <c r="AM287" i="1"/>
  <c r="AK287" i="1"/>
  <c r="AK280" i="1" s="1"/>
  <c r="AK294" i="1" s="1"/>
  <c r="AI287" i="1"/>
  <c r="AG287" i="1"/>
  <c r="AE287" i="1"/>
  <c r="AC287" i="1"/>
  <c r="AA287" i="1"/>
  <c r="Y287" i="1"/>
  <c r="Y280" i="1" s="1"/>
  <c r="Y224" i="1" s="1"/>
  <c r="Y71" i="1" s="1"/>
  <c r="CW285" i="1"/>
  <c r="CU285" i="1"/>
  <c r="CS285" i="1"/>
  <c r="CQ285" i="1"/>
  <c r="CE285" i="1"/>
  <c r="BS285" i="1"/>
  <c r="BQ285" i="1"/>
  <c r="BK285" i="1"/>
  <c r="BI285" i="1"/>
  <c r="BG285" i="1"/>
  <c r="BE285" i="1"/>
  <c r="AY285" i="1"/>
  <c r="AW285" i="1"/>
  <c r="AU285" i="1"/>
  <c r="AS285" i="1"/>
  <c r="AQ285" i="1"/>
  <c r="AM285" i="1"/>
  <c r="AI285" i="1"/>
  <c r="AG285" i="1"/>
  <c r="AE285" i="1"/>
  <c r="AC285" i="1"/>
  <c r="AA285" i="1"/>
  <c r="AA282" i="1"/>
  <c r="I282" i="1" s="1"/>
  <c r="CM280" i="1"/>
  <c r="CM279" i="1" s="1"/>
  <c r="CK280" i="1"/>
  <c r="CI280" i="1"/>
  <c r="W280" i="1"/>
  <c r="X285" i="1" s="1"/>
  <c r="U280" i="1"/>
  <c r="S280" i="1"/>
  <c r="S279" i="1" s="1"/>
  <c r="Q280" i="1"/>
  <c r="O280" i="1"/>
  <c r="O224" i="1" s="1"/>
  <c r="O71" i="1" s="1"/>
  <c r="M280" i="1"/>
  <c r="N285" i="1" s="1"/>
  <c r="K280" i="1"/>
  <c r="K294" i="1" s="1"/>
  <c r="CZ275" i="1"/>
  <c r="CX275" i="1"/>
  <c r="CV275" i="1"/>
  <c r="CT275" i="1"/>
  <c r="CR275" i="1"/>
  <c r="CP275" i="1"/>
  <c r="CN275" i="1"/>
  <c r="CL275" i="1"/>
  <c r="CJ275" i="1"/>
  <c r="CH275" i="1"/>
  <c r="CF275" i="1"/>
  <c r="CD275" i="1"/>
  <c r="CB275" i="1"/>
  <c r="BZ275" i="1"/>
  <c r="BX275" i="1"/>
  <c r="BV275" i="1"/>
  <c r="BT275" i="1"/>
  <c r="BR275" i="1"/>
  <c r="BP275" i="1"/>
  <c r="BN275" i="1"/>
  <c r="BL275" i="1"/>
  <c r="BJ275" i="1"/>
  <c r="BH275" i="1"/>
  <c r="BF275" i="1"/>
  <c r="BD275" i="1"/>
  <c r="BB275" i="1"/>
  <c r="AZ275" i="1"/>
  <c r="AX275" i="1"/>
  <c r="AV275" i="1"/>
  <c r="AT275" i="1"/>
  <c r="AR275" i="1"/>
  <c r="AP275" i="1"/>
  <c r="AN275" i="1"/>
  <c r="AL275" i="1"/>
  <c r="AJ275" i="1"/>
  <c r="AH275" i="1"/>
  <c r="AF275" i="1"/>
  <c r="AD275" i="1"/>
  <c r="AB275" i="1"/>
  <c r="Z275" i="1"/>
  <c r="X275" i="1"/>
  <c r="V275" i="1"/>
  <c r="T275" i="1"/>
  <c r="R275" i="1"/>
  <c r="P275" i="1"/>
  <c r="N275" i="1"/>
  <c r="L275" i="1"/>
  <c r="I275" i="1"/>
  <c r="J275" i="1" s="1"/>
  <c r="CZ274" i="1"/>
  <c r="CX274" i="1"/>
  <c r="CV274" i="1"/>
  <c r="CT274" i="1"/>
  <c r="CR274" i="1"/>
  <c r="CP274" i="1"/>
  <c r="CN274" i="1"/>
  <c r="CL274" i="1"/>
  <c r="CJ274" i="1"/>
  <c r="CH274" i="1"/>
  <c r="CF274" i="1"/>
  <c r="CD274" i="1"/>
  <c r="CB274" i="1"/>
  <c r="BZ274" i="1"/>
  <c r="BX274" i="1"/>
  <c r="BV274" i="1"/>
  <c r="BT274" i="1"/>
  <c r="BR274" i="1"/>
  <c r="BP274" i="1"/>
  <c r="BN274" i="1"/>
  <c r="BL274" i="1"/>
  <c r="BJ274" i="1"/>
  <c r="BH274" i="1"/>
  <c r="BF274" i="1"/>
  <c r="BD274" i="1"/>
  <c r="BB274" i="1"/>
  <c r="AZ274" i="1"/>
  <c r="AX274" i="1"/>
  <c r="AV274" i="1"/>
  <c r="AT274" i="1"/>
  <c r="AR274" i="1"/>
  <c r="AP274" i="1"/>
  <c r="AN274" i="1"/>
  <c r="AL274" i="1"/>
  <c r="AJ274" i="1"/>
  <c r="AH274" i="1"/>
  <c r="AF274" i="1"/>
  <c r="AD274" i="1"/>
  <c r="AB274" i="1"/>
  <c r="Z274" i="1"/>
  <c r="X274" i="1"/>
  <c r="V274" i="1"/>
  <c r="T274" i="1"/>
  <c r="R274" i="1"/>
  <c r="P274" i="1"/>
  <c r="N274" i="1"/>
  <c r="L274" i="1"/>
  <c r="I274" i="1"/>
  <c r="J274" i="1" s="1"/>
  <c r="CZ273" i="1"/>
  <c r="CX273" i="1"/>
  <c r="CV273" i="1"/>
  <c r="CT273" i="1"/>
  <c r="CR273" i="1"/>
  <c r="CP273" i="1"/>
  <c r="CN273" i="1"/>
  <c r="CL273" i="1"/>
  <c r="CJ273" i="1"/>
  <c r="CH273" i="1"/>
  <c r="CF273" i="1"/>
  <c r="CD273" i="1"/>
  <c r="CB273" i="1"/>
  <c r="BZ273" i="1"/>
  <c r="BX273" i="1"/>
  <c r="BV273" i="1"/>
  <c r="BT273" i="1"/>
  <c r="BR273" i="1"/>
  <c r="BP273" i="1"/>
  <c r="BN273" i="1"/>
  <c r="BL273" i="1"/>
  <c r="BJ273" i="1"/>
  <c r="BH273" i="1"/>
  <c r="BF273" i="1"/>
  <c r="BD273" i="1"/>
  <c r="BB273" i="1"/>
  <c r="AZ273" i="1"/>
  <c r="AX273" i="1"/>
  <c r="AV273" i="1"/>
  <c r="AT273" i="1"/>
  <c r="AR273" i="1"/>
  <c r="AP273" i="1"/>
  <c r="AN273" i="1"/>
  <c r="AL273" i="1"/>
  <c r="AJ273" i="1"/>
  <c r="AH273" i="1"/>
  <c r="AF273" i="1"/>
  <c r="AD273" i="1"/>
  <c r="AB273" i="1"/>
  <c r="Z273" i="1"/>
  <c r="X273" i="1"/>
  <c r="V273" i="1"/>
  <c r="T273" i="1"/>
  <c r="R273" i="1"/>
  <c r="P273" i="1"/>
  <c r="N273" i="1"/>
  <c r="L273" i="1"/>
  <c r="I273" i="1"/>
  <c r="J273" i="1" s="1"/>
  <c r="CZ272" i="1"/>
  <c r="CX272" i="1"/>
  <c r="CV272" i="1"/>
  <c r="CT272" i="1"/>
  <c r="CR272" i="1"/>
  <c r="CP272" i="1"/>
  <c r="CN272" i="1"/>
  <c r="CL272" i="1"/>
  <c r="CJ272" i="1"/>
  <c r="CH272" i="1"/>
  <c r="CF272" i="1"/>
  <c r="CD272" i="1"/>
  <c r="CB272" i="1"/>
  <c r="BZ272" i="1"/>
  <c r="BX272" i="1"/>
  <c r="BV272" i="1"/>
  <c r="BT272" i="1"/>
  <c r="BR272" i="1"/>
  <c r="BP272" i="1"/>
  <c r="BN272" i="1"/>
  <c r="BL272" i="1"/>
  <c r="BJ272" i="1"/>
  <c r="BH272" i="1"/>
  <c r="BF272" i="1"/>
  <c r="BD272" i="1"/>
  <c r="BB272" i="1"/>
  <c r="AZ272" i="1"/>
  <c r="AX272" i="1"/>
  <c r="AV272" i="1"/>
  <c r="AT272" i="1"/>
  <c r="AR272" i="1"/>
  <c r="AP272" i="1"/>
  <c r="AN272" i="1"/>
  <c r="AL272" i="1"/>
  <c r="AJ272" i="1"/>
  <c r="AH272" i="1"/>
  <c r="AF272" i="1"/>
  <c r="AD272" i="1"/>
  <c r="AB272" i="1"/>
  <c r="Z272" i="1"/>
  <c r="X272" i="1"/>
  <c r="V272" i="1"/>
  <c r="T272" i="1"/>
  <c r="R272" i="1"/>
  <c r="P272" i="1"/>
  <c r="N272" i="1"/>
  <c r="L272" i="1"/>
  <c r="I272" i="1"/>
  <c r="I271" i="1" s="1"/>
  <c r="CY271" i="1"/>
  <c r="CW271" i="1"/>
  <c r="CU271" i="1"/>
  <c r="CS271" i="1"/>
  <c r="CQ271" i="1"/>
  <c r="CQ270" i="1" s="1"/>
  <c r="CO271" i="1"/>
  <c r="CM271" i="1"/>
  <c r="CM270" i="1" s="1"/>
  <c r="CK271" i="1"/>
  <c r="CK270" i="1" s="1"/>
  <c r="CI271" i="1"/>
  <c r="CI270" i="1" s="1"/>
  <c r="CG271" i="1"/>
  <c r="CG270" i="1" s="1"/>
  <c r="CE271" i="1"/>
  <c r="CE270" i="1" s="1"/>
  <c r="CC271" i="1"/>
  <c r="CC270" i="1" s="1"/>
  <c r="CA271" i="1"/>
  <c r="CA270" i="1" s="1"/>
  <c r="BY271" i="1"/>
  <c r="BY270" i="1" s="1"/>
  <c r="BW271" i="1"/>
  <c r="BW270" i="1" s="1"/>
  <c r="BU271" i="1"/>
  <c r="BU270" i="1" s="1"/>
  <c r="BS271" i="1"/>
  <c r="BS270" i="1" s="1"/>
  <c r="BQ271" i="1"/>
  <c r="BQ270" i="1" s="1"/>
  <c r="BO271" i="1"/>
  <c r="BO270" i="1" s="1"/>
  <c r="BM271" i="1"/>
  <c r="BM270" i="1" s="1"/>
  <c r="BK271" i="1"/>
  <c r="BK270" i="1" s="1"/>
  <c r="BI271" i="1"/>
  <c r="BI270" i="1" s="1"/>
  <c r="BG271" i="1"/>
  <c r="BG270" i="1" s="1"/>
  <c r="BE271" i="1"/>
  <c r="BE270" i="1" s="1"/>
  <c r="BC271" i="1"/>
  <c r="BC270" i="1" s="1"/>
  <c r="BA271" i="1"/>
  <c r="BA270" i="1" s="1"/>
  <c r="AY271" i="1"/>
  <c r="AY270" i="1" s="1"/>
  <c r="AW271" i="1"/>
  <c r="AW270" i="1" s="1"/>
  <c r="AU271" i="1"/>
  <c r="AU270" i="1" s="1"/>
  <c r="AS271" i="1"/>
  <c r="AS270" i="1" s="1"/>
  <c r="AQ271" i="1"/>
  <c r="AQ270" i="1" s="1"/>
  <c r="AO271" i="1"/>
  <c r="AO270" i="1" s="1"/>
  <c r="AM271" i="1"/>
  <c r="AM270" i="1" s="1"/>
  <c r="AK271" i="1"/>
  <c r="AK270" i="1" s="1"/>
  <c r="AI271" i="1"/>
  <c r="AI270" i="1" s="1"/>
  <c r="AG271" i="1"/>
  <c r="AG270" i="1" s="1"/>
  <c r="AE271" i="1"/>
  <c r="AE270" i="1" s="1"/>
  <c r="CO270" i="1"/>
  <c r="AC270" i="1"/>
  <c r="AA270" i="1"/>
  <c r="Y270" i="1"/>
  <c r="W270" i="1"/>
  <c r="U270" i="1"/>
  <c r="S270" i="1"/>
  <c r="Q270" i="1"/>
  <c r="O270" i="1"/>
  <c r="M270" i="1"/>
  <c r="K270" i="1"/>
  <c r="CZ266" i="1"/>
  <c r="CX266" i="1"/>
  <c r="CV266" i="1"/>
  <c r="CT266" i="1"/>
  <c r="CR266" i="1"/>
  <c r="CP266" i="1"/>
  <c r="CN266" i="1"/>
  <c r="CL266" i="1"/>
  <c r="CJ266" i="1"/>
  <c r="CH266" i="1"/>
  <c r="CF266" i="1"/>
  <c r="CD266" i="1"/>
  <c r="CB266" i="1"/>
  <c r="BZ266" i="1"/>
  <c r="BX266" i="1"/>
  <c r="BV266" i="1"/>
  <c r="BT266" i="1"/>
  <c r="BR266" i="1"/>
  <c r="BP266" i="1"/>
  <c r="BN266" i="1"/>
  <c r="BL266" i="1"/>
  <c r="BJ266" i="1"/>
  <c r="BH266" i="1"/>
  <c r="BF266" i="1"/>
  <c r="BD266" i="1"/>
  <c r="BB266" i="1"/>
  <c r="AZ266" i="1"/>
  <c r="AX266" i="1"/>
  <c r="AV266" i="1"/>
  <c r="AT266" i="1"/>
  <c r="AR266" i="1"/>
  <c r="AP266" i="1"/>
  <c r="AN266" i="1"/>
  <c r="AL266" i="1"/>
  <c r="AJ266" i="1"/>
  <c r="AH266" i="1"/>
  <c r="AF266" i="1"/>
  <c r="AD266" i="1"/>
  <c r="AB266" i="1"/>
  <c r="Z266" i="1"/>
  <c r="X266" i="1"/>
  <c r="V266" i="1"/>
  <c r="T266" i="1"/>
  <c r="R266" i="1"/>
  <c r="P266" i="1"/>
  <c r="N266" i="1"/>
  <c r="L266" i="1"/>
  <c r="I266" i="1"/>
  <c r="J266" i="1" s="1"/>
  <c r="AS265" i="1"/>
  <c r="AQ265" i="1"/>
  <c r="AO265" i="1"/>
  <c r="AM265" i="1"/>
  <c r="AK265" i="1"/>
  <c r="AG265" i="1"/>
  <c r="I265" i="1" s="1"/>
  <c r="CY263" i="1"/>
  <c r="CU263" i="1"/>
  <c r="CS263" i="1"/>
  <c r="CQ263" i="1"/>
  <c r="CO263" i="1"/>
  <c r="CM263" i="1"/>
  <c r="CK263" i="1"/>
  <c r="CI263" i="1"/>
  <c r="CG263" i="1"/>
  <c r="CE263" i="1"/>
  <c r="CC263" i="1"/>
  <c r="CA263" i="1"/>
  <c r="BY263" i="1"/>
  <c r="BW263" i="1"/>
  <c r="BU263" i="1"/>
  <c r="BS263" i="1"/>
  <c r="BQ263" i="1"/>
  <c r="BO263" i="1"/>
  <c r="BM263" i="1"/>
  <c r="BK263" i="1"/>
  <c r="BI263" i="1"/>
  <c r="BG263" i="1"/>
  <c r="BE263" i="1"/>
  <c r="BC263" i="1"/>
  <c r="BA263" i="1"/>
  <c r="AY263" i="1"/>
  <c r="AW263" i="1"/>
  <c r="AU263" i="1"/>
  <c r="AS263" i="1"/>
  <c r="AQ263" i="1"/>
  <c r="AO263" i="1"/>
  <c r="AM263" i="1"/>
  <c r="AK263" i="1"/>
  <c r="AI263" i="1"/>
  <c r="J260" i="1"/>
  <c r="I260" i="1"/>
  <c r="I259" i="1"/>
  <c r="I257" i="1"/>
  <c r="CY256" i="1"/>
  <c r="CW256" i="1"/>
  <c r="CU256" i="1"/>
  <c r="CS256" i="1"/>
  <c r="CQ256" i="1"/>
  <c r="CO256" i="1"/>
  <c r="CM256" i="1"/>
  <c r="CK256" i="1"/>
  <c r="CI256" i="1"/>
  <c r="CG256" i="1"/>
  <c r="CE256" i="1"/>
  <c r="CC256" i="1"/>
  <c r="CA256" i="1"/>
  <c r="BY256" i="1"/>
  <c r="BW256" i="1"/>
  <c r="BU256" i="1"/>
  <c r="BS256" i="1"/>
  <c r="BQ256" i="1"/>
  <c r="BO256" i="1"/>
  <c r="BM256" i="1"/>
  <c r="BK256" i="1"/>
  <c r="BI256" i="1"/>
  <c r="BG256" i="1"/>
  <c r="BE256" i="1"/>
  <c r="BC256" i="1"/>
  <c r="BA256" i="1"/>
  <c r="AY256" i="1"/>
  <c r="AW256" i="1"/>
  <c r="AU256" i="1"/>
  <c r="AS256" i="1"/>
  <c r="AQ256" i="1"/>
  <c r="AO256" i="1"/>
  <c r="AM256" i="1"/>
  <c r="AK256" i="1"/>
  <c r="AI256" i="1"/>
  <c r="AG256" i="1"/>
  <c r="AE256" i="1"/>
  <c r="AC256" i="1"/>
  <c r="AA256" i="1"/>
  <c r="Y256" i="1"/>
  <c r="W256" i="1"/>
  <c r="U256" i="1"/>
  <c r="S256" i="1"/>
  <c r="Q256" i="1"/>
  <c r="O256" i="1"/>
  <c r="M256" i="1"/>
  <c r="K256" i="1"/>
  <c r="CY252" i="1"/>
  <c r="CW252" i="1"/>
  <c r="CU252" i="1"/>
  <c r="CS252" i="1"/>
  <c r="CQ252" i="1"/>
  <c r="CO252" i="1"/>
  <c r="CM252" i="1"/>
  <c r="CK252" i="1"/>
  <c r="CI252" i="1"/>
  <c r="CG252" i="1"/>
  <c r="CE252" i="1"/>
  <c r="CC252" i="1"/>
  <c r="CA252" i="1"/>
  <c r="BY252" i="1"/>
  <c r="BW252" i="1"/>
  <c r="BU252" i="1"/>
  <c r="BS252" i="1"/>
  <c r="BQ252" i="1"/>
  <c r="BO252" i="1"/>
  <c r="BM252" i="1"/>
  <c r="BK252" i="1"/>
  <c r="BI252" i="1"/>
  <c r="BG252" i="1"/>
  <c r="BE252" i="1"/>
  <c r="BC252" i="1"/>
  <c r="BA252" i="1"/>
  <c r="AY252" i="1"/>
  <c r="AW252" i="1"/>
  <c r="AU252" i="1"/>
  <c r="AS252" i="1"/>
  <c r="AQ252" i="1"/>
  <c r="AO252" i="1"/>
  <c r="AO250" i="1" s="1"/>
  <c r="AM252" i="1"/>
  <c r="AM250" i="1" s="1"/>
  <c r="AI252" i="1"/>
  <c r="AI250" i="1" s="1"/>
  <c r="AG252" i="1"/>
  <c r="AG250" i="1" s="1"/>
  <c r="AE252" i="1"/>
  <c r="AE250" i="1" s="1"/>
  <c r="AC252" i="1"/>
  <c r="AC250" i="1" s="1"/>
  <c r="AA252" i="1"/>
  <c r="AA250" i="1" s="1"/>
  <c r="Y252" i="1"/>
  <c r="Y250" i="1" s="1"/>
  <c r="W252" i="1"/>
  <c r="W250" i="1" s="1"/>
  <c r="U252" i="1"/>
  <c r="S252" i="1"/>
  <c r="S250" i="1" s="1"/>
  <c r="Q252" i="1"/>
  <c r="Q250" i="1" s="1"/>
  <c r="CY251" i="1"/>
  <c r="CW251" i="1"/>
  <c r="CU251" i="1"/>
  <c r="CS251" i="1"/>
  <c r="CQ251" i="1"/>
  <c r="BE251" i="1"/>
  <c r="BC251" i="1"/>
  <c r="BA251" i="1"/>
  <c r="AY251" i="1"/>
  <c r="AW251" i="1"/>
  <c r="AU251" i="1"/>
  <c r="AS251" i="1"/>
  <c r="AQ251" i="1"/>
  <c r="U251" i="1"/>
  <c r="I251" i="1" s="1"/>
  <c r="CY244" i="1"/>
  <c r="CW244" i="1"/>
  <c r="CU244" i="1"/>
  <c r="CS244" i="1"/>
  <c r="CQ244" i="1"/>
  <c r="CO244" i="1"/>
  <c r="CM244" i="1"/>
  <c r="CK244" i="1"/>
  <c r="CI244" i="1"/>
  <c r="CG244" i="1"/>
  <c r="CE244" i="1"/>
  <c r="CC244" i="1"/>
  <c r="CA244" i="1"/>
  <c r="BY244" i="1"/>
  <c r="BW244" i="1"/>
  <c r="BU244" i="1"/>
  <c r="BS244" i="1"/>
  <c r="BQ244" i="1"/>
  <c r="BO244" i="1"/>
  <c r="BM244" i="1"/>
  <c r="BI244" i="1"/>
  <c r="BG244" i="1"/>
  <c r="BE244" i="1"/>
  <c r="BC244" i="1"/>
  <c r="BA244" i="1"/>
  <c r="AY244" i="1"/>
  <c r="AW244" i="1"/>
  <c r="AU244" i="1"/>
  <c r="AS244" i="1"/>
  <c r="AQ244" i="1"/>
  <c r="AO244" i="1"/>
  <c r="AM244" i="1"/>
  <c r="AI244" i="1"/>
  <c r="AG244" i="1"/>
  <c r="AE244" i="1"/>
  <c r="AC244" i="1"/>
  <c r="AA244" i="1"/>
  <c r="Y244" i="1"/>
  <c r="W244" i="1"/>
  <c r="U244" i="1"/>
  <c r="S244" i="1"/>
  <c r="Q244" i="1"/>
  <c r="K243" i="1"/>
  <c r="CY242" i="1"/>
  <c r="CW242" i="1"/>
  <c r="CU242" i="1"/>
  <c r="CS242" i="1"/>
  <c r="CQ242" i="1"/>
  <c r="CO242" i="1"/>
  <c r="CM242" i="1"/>
  <c r="CK242" i="1"/>
  <c r="CI242" i="1"/>
  <c r="CG242" i="1"/>
  <c r="CE242" i="1"/>
  <c r="CC242" i="1"/>
  <c r="CA242" i="1"/>
  <c r="BY242" i="1"/>
  <c r="BW242" i="1"/>
  <c r="BU242" i="1"/>
  <c r="BS242" i="1"/>
  <c r="BQ242" i="1"/>
  <c r="BO242" i="1"/>
  <c r="BM242" i="1"/>
  <c r="BK242" i="1"/>
  <c r="BI242" i="1"/>
  <c r="AY242" i="1"/>
  <c r="AU242" i="1"/>
  <c r="AS242" i="1"/>
  <c r="AQ242" i="1"/>
  <c r="AO242" i="1"/>
  <c r="AM242" i="1"/>
  <c r="U242" i="1"/>
  <c r="W242" i="1" s="1"/>
  <c r="W88" i="1" s="1"/>
  <c r="CY241" i="1"/>
  <c r="CW241" i="1"/>
  <c r="CU241" i="1"/>
  <c r="CS241" i="1"/>
  <c r="CQ241" i="1"/>
  <c r="CO241" i="1"/>
  <c r="CM241" i="1"/>
  <c r="CK241" i="1"/>
  <c r="CI241" i="1"/>
  <c r="CG241" i="1"/>
  <c r="CE241" i="1"/>
  <c r="CC241" i="1"/>
  <c r="CA241" i="1"/>
  <c r="BY241" i="1"/>
  <c r="BW241" i="1"/>
  <c r="BU241" i="1"/>
  <c r="BS241" i="1"/>
  <c r="BQ241" i="1"/>
  <c r="BO241" i="1"/>
  <c r="BM241" i="1"/>
  <c r="BK241" i="1"/>
  <c r="BI241" i="1"/>
  <c r="AY241" i="1"/>
  <c r="AU241" i="1"/>
  <c r="AS241" i="1"/>
  <c r="AQ241" i="1"/>
  <c r="AO241" i="1"/>
  <c r="AM241" i="1"/>
  <c r="U241" i="1"/>
  <c r="W241" i="1" s="1"/>
  <c r="W87" i="1" s="1"/>
  <c r="CY240" i="1"/>
  <c r="CW240" i="1"/>
  <c r="CU240" i="1"/>
  <c r="CS240" i="1"/>
  <c r="CQ240" i="1"/>
  <c r="CO240" i="1"/>
  <c r="CM240" i="1"/>
  <c r="CK240" i="1"/>
  <c r="CI240" i="1"/>
  <c r="CG240" i="1"/>
  <c r="CE240" i="1"/>
  <c r="CC240" i="1"/>
  <c r="CA240" i="1"/>
  <c r="BY240" i="1"/>
  <c r="BW240" i="1"/>
  <c r="BU240" i="1"/>
  <c r="BS240" i="1"/>
  <c r="BQ240" i="1"/>
  <c r="BO240" i="1"/>
  <c r="BM240" i="1"/>
  <c r="BK240" i="1"/>
  <c r="BI240" i="1"/>
  <c r="BG240" i="1"/>
  <c r="BE240" i="1"/>
  <c r="BC240" i="1"/>
  <c r="BA240" i="1"/>
  <c r="AY240" i="1"/>
  <c r="AW240" i="1"/>
  <c r="AU240" i="1"/>
  <c r="AS240" i="1"/>
  <c r="AQ240" i="1"/>
  <c r="AO240" i="1"/>
  <c r="AM240" i="1"/>
  <c r="AK240" i="1"/>
  <c r="AI240" i="1"/>
  <c r="AG240" i="1"/>
  <c r="AE240" i="1"/>
  <c r="AC240" i="1"/>
  <c r="AA240" i="1"/>
  <c r="Y240" i="1"/>
  <c r="AY239" i="1"/>
  <c r="AW239" i="1"/>
  <c r="AQ239" i="1"/>
  <c r="AO239" i="1"/>
  <c r="AM239" i="1"/>
  <c r="AK239" i="1"/>
  <c r="AI239" i="1"/>
  <c r="S239" i="1"/>
  <c r="S85" i="1" s="1"/>
  <c r="Q239" i="1"/>
  <c r="Q85" i="1" s="1"/>
  <c r="O239" i="1"/>
  <c r="M239" i="1"/>
  <c r="M85" i="1" s="1"/>
  <c r="K239" i="1"/>
  <c r="K85" i="1" s="1"/>
  <c r="BS237" i="1"/>
  <c r="BQ237" i="1"/>
  <c r="BO237" i="1"/>
  <c r="BM237" i="1"/>
  <c r="BK237" i="1"/>
  <c r="BI237" i="1"/>
  <c r="BG237" i="1"/>
  <c r="BE237" i="1"/>
  <c r="BE72" i="1" s="1"/>
  <c r="BC237" i="1"/>
  <c r="BC72" i="1" s="1"/>
  <c r="BA237" i="1"/>
  <c r="BA72" i="1" s="1"/>
  <c r="AY237" i="1"/>
  <c r="AY72" i="1" s="1"/>
  <c r="AW237" i="1"/>
  <c r="AW72" i="1" s="1"/>
  <c r="AU237" i="1"/>
  <c r="AU72" i="1" s="1"/>
  <c r="AS237" i="1"/>
  <c r="AS72" i="1" s="1"/>
  <c r="AQ237" i="1"/>
  <c r="AQ72" i="1" s="1"/>
  <c r="AO237" i="1"/>
  <c r="AO72" i="1" s="1"/>
  <c r="AM237" i="1"/>
  <c r="AM72" i="1" s="1"/>
  <c r="AK237" i="1"/>
  <c r="AK72" i="1" s="1"/>
  <c r="AI237" i="1"/>
  <c r="AI72" i="1" s="1"/>
  <c r="AG237" i="1"/>
  <c r="AG72" i="1" s="1"/>
  <c r="AE237" i="1"/>
  <c r="AE72" i="1" s="1"/>
  <c r="AC237" i="1"/>
  <c r="AC72" i="1" s="1"/>
  <c r="AA237" i="1"/>
  <c r="AA72" i="1" s="1"/>
  <c r="Y237" i="1"/>
  <c r="Y72" i="1" s="1"/>
  <c r="W237" i="1"/>
  <c r="W72" i="1" s="1"/>
  <c r="U237" i="1"/>
  <c r="U72" i="1" s="1"/>
  <c r="S237" i="1"/>
  <c r="S72" i="1" s="1"/>
  <c r="Q237" i="1"/>
  <c r="Q72" i="1" s="1"/>
  <c r="O237" i="1"/>
  <c r="O72" i="1" s="1"/>
  <c r="M237" i="1"/>
  <c r="M72" i="1" s="1"/>
  <c r="K237" i="1"/>
  <c r="K72" i="1" s="1"/>
  <c r="CY232" i="1"/>
  <c r="CW232" i="1"/>
  <c r="CU232" i="1"/>
  <c r="CS232" i="1"/>
  <c r="CQ232" i="1"/>
  <c r="CO232" i="1"/>
  <c r="CM232" i="1"/>
  <c r="CK232" i="1"/>
  <c r="CI232" i="1"/>
  <c r="CG232" i="1"/>
  <c r="CE232" i="1"/>
  <c r="CC232" i="1"/>
  <c r="CA232" i="1"/>
  <c r="BY232" i="1"/>
  <c r="BW232" i="1"/>
  <c r="BU232" i="1"/>
  <c r="BS232" i="1"/>
  <c r="BQ232" i="1"/>
  <c r="BO232" i="1"/>
  <c r="BM232" i="1"/>
  <c r="BK232" i="1"/>
  <c r="BI232" i="1"/>
  <c r="BG232" i="1"/>
  <c r="BE232" i="1"/>
  <c r="BC232" i="1"/>
  <c r="BA232" i="1"/>
  <c r="AY232" i="1"/>
  <c r="AW232" i="1"/>
  <c r="AU232" i="1"/>
  <c r="AS232" i="1"/>
  <c r="AQ232" i="1"/>
  <c r="AO232" i="1"/>
  <c r="AM232" i="1"/>
  <c r="AI232" i="1"/>
  <c r="AG232" i="1"/>
  <c r="AE232" i="1"/>
  <c r="AC232" i="1"/>
  <c r="AA232" i="1"/>
  <c r="Y232" i="1"/>
  <c r="W232" i="1"/>
  <c r="U232" i="1"/>
  <c r="S232" i="1"/>
  <c r="S225" i="1" s="1"/>
  <c r="Q232" i="1"/>
  <c r="Q225" i="1" s="1"/>
  <c r="CY231" i="1"/>
  <c r="CW231" i="1"/>
  <c r="CU231" i="1"/>
  <c r="CS231" i="1"/>
  <c r="CQ231" i="1"/>
  <c r="CO231" i="1"/>
  <c r="CM231" i="1"/>
  <c r="CK231" i="1"/>
  <c r="CI231" i="1"/>
  <c r="CG231" i="1"/>
  <c r="CE231" i="1"/>
  <c r="CC231" i="1"/>
  <c r="CA231" i="1"/>
  <c r="BY231" i="1"/>
  <c r="BW231" i="1"/>
  <c r="BU231" i="1"/>
  <c r="BS231" i="1"/>
  <c r="BQ231" i="1"/>
  <c r="BO231" i="1"/>
  <c r="BM231" i="1"/>
  <c r="BK231" i="1"/>
  <c r="BI231" i="1"/>
  <c r="BG231" i="1"/>
  <c r="BA231" i="1"/>
  <c r="AY231" i="1"/>
  <c r="AW231" i="1"/>
  <c r="CY230" i="1"/>
  <c r="CW230" i="1"/>
  <c r="CU230" i="1"/>
  <c r="CS230" i="1"/>
  <c r="CQ230" i="1"/>
  <c r="CO230" i="1"/>
  <c r="CM230" i="1"/>
  <c r="CK230" i="1"/>
  <c r="CI230" i="1"/>
  <c r="CG230" i="1"/>
  <c r="CE230" i="1"/>
  <c r="CC230" i="1"/>
  <c r="CA230" i="1"/>
  <c r="BY230" i="1"/>
  <c r="BW230" i="1"/>
  <c r="G230" i="1"/>
  <c r="CY229" i="1"/>
  <c r="CW229" i="1"/>
  <c r="CU229" i="1"/>
  <c r="CS229" i="1"/>
  <c r="CQ229" i="1"/>
  <c r="CO229" i="1"/>
  <c r="CM229" i="1"/>
  <c r="CK229" i="1"/>
  <c r="CI229" i="1"/>
  <c r="CG229" i="1"/>
  <c r="CE229" i="1"/>
  <c r="CC229" i="1"/>
  <c r="CA229" i="1"/>
  <c r="BY229" i="1"/>
  <c r="BW229" i="1"/>
  <c r="BU229" i="1"/>
  <c r="BS229" i="1"/>
  <c r="BQ229" i="1"/>
  <c r="BO229" i="1"/>
  <c r="BM229" i="1"/>
  <c r="BK229" i="1"/>
  <c r="BI229" i="1"/>
  <c r="BG229" i="1"/>
  <c r="BE229" i="1"/>
  <c r="BC229" i="1"/>
  <c r="BA229" i="1"/>
  <c r="AY229" i="1"/>
  <c r="AW229" i="1"/>
  <c r="AU229" i="1"/>
  <c r="AS229" i="1"/>
  <c r="AQ229" i="1"/>
  <c r="G229" i="1"/>
  <c r="CY228" i="1"/>
  <c r="CW228" i="1"/>
  <c r="CU228" i="1"/>
  <c r="CS228" i="1"/>
  <c r="CQ228" i="1"/>
  <c r="CO228" i="1"/>
  <c r="CM228" i="1"/>
  <c r="CK228" i="1"/>
  <c r="CI228" i="1"/>
  <c r="CG228" i="1"/>
  <c r="CE228" i="1"/>
  <c r="CC228" i="1"/>
  <c r="CA228" i="1"/>
  <c r="BY228" i="1"/>
  <c r="BW228" i="1"/>
  <c r="BU228" i="1"/>
  <c r="BS228" i="1"/>
  <c r="BQ228" i="1"/>
  <c r="BO228" i="1"/>
  <c r="BM228" i="1"/>
  <c r="BK228" i="1"/>
  <c r="BI228" i="1"/>
  <c r="BG228" i="1"/>
  <c r="AY228" i="1"/>
  <c r="AU228" i="1"/>
  <c r="AS228" i="1"/>
  <c r="AQ228" i="1"/>
  <c r="AO228" i="1"/>
  <c r="AM228" i="1"/>
  <c r="AK228" i="1"/>
  <c r="AI228" i="1"/>
  <c r="G228" i="1"/>
  <c r="CY227" i="1"/>
  <c r="CW227" i="1"/>
  <c r="CU227" i="1"/>
  <c r="CS227" i="1"/>
  <c r="CQ227" i="1"/>
  <c r="CO227" i="1"/>
  <c r="CM227" i="1"/>
  <c r="CK227" i="1"/>
  <c r="CI227" i="1"/>
  <c r="CG227" i="1"/>
  <c r="CE227" i="1"/>
  <c r="CC227" i="1"/>
  <c r="CA227" i="1"/>
  <c r="BY227" i="1"/>
  <c r="BW227" i="1"/>
  <c r="BM227" i="1"/>
  <c r="BK227" i="1"/>
  <c r="BI227" i="1"/>
  <c r="BG227" i="1"/>
  <c r="BE227" i="1"/>
  <c r="BC227" i="1"/>
  <c r="BA227" i="1"/>
  <c r="AY227" i="1"/>
  <c r="AW227" i="1"/>
  <c r="AU227" i="1"/>
  <c r="AS227" i="1"/>
  <c r="AQ227" i="1"/>
  <c r="AO227" i="1"/>
  <c r="AM227" i="1"/>
  <c r="AK227" i="1"/>
  <c r="AI227" i="1"/>
  <c r="AG227" i="1"/>
  <c r="AE227" i="1"/>
  <c r="U227" i="1"/>
  <c r="CY226" i="1"/>
  <c r="CW226" i="1"/>
  <c r="CU226" i="1"/>
  <c r="CS226" i="1"/>
  <c r="CQ226" i="1"/>
  <c r="CO226" i="1"/>
  <c r="CM226" i="1"/>
  <c r="CK226" i="1"/>
  <c r="CI226" i="1"/>
  <c r="CG226" i="1"/>
  <c r="CE226" i="1"/>
  <c r="CC226" i="1"/>
  <c r="CA226" i="1"/>
  <c r="BY226" i="1"/>
  <c r="BW226" i="1"/>
  <c r="BU226" i="1"/>
  <c r="BS226" i="1"/>
  <c r="BQ226" i="1"/>
  <c r="BO226" i="1"/>
  <c r="BM226" i="1"/>
  <c r="BK226" i="1"/>
  <c r="BI226" i="1"/>
  <c r="BG226" i="1"/>
  <c r="BE226" i="1"/>
  <c r="BC226" i="1"/>
  <c r="BA226" i="1"/>
  <c r="AY226" i="1"/>
  <c r="AW226" i="1"/>
  <c r="AU226" i="1"/>
  <c r="AS226" i="1"/>
  <c r="AQ226" i="1"/>
  <c r="AO226" i="1"/>
  <c r="U226" i="1"/>
  <c r="U239" i="1" s="1"/>
  <c r="U85" i="1" s="1"/>
  <c r="CY224" i="1"/>
  <c r="CY71" i="1" s="1"/>
  <c r="J218" i="1"/>
  <c r="I218" i="1"/>
  <c r="AZ217" i="1"/>
  <c r="AZ215" i="1" s="1"/>
  <c r="AY217" i="1"/>
  <c r="AY215" i="1" s="1"/>
  <c r="AY213" i="1" s="1"/>
  <c r="J217" i="1"/>
  <c r="I217" i="1"/>
  <c r="J216" i="1"/>
  <c r="I216" i="1"/>
  <c r="CZ215" i="1"/>
  <c r="CY215" i="1"/>
  <c r="CY213" i="1" s="1"/>
  <c r="CX215" i="1"/>
  <c r="CW215" i="1"/>
  <c r="CW213" i="1" s="1"/>
  <c r="CV215" i="1"/>
  <c r="CU215" i="1"/>
  <c r="CT215" i="1"/>
  <c r="CS215" i="1"/>
  <c r="CS213" i="1" s="1"/>
  <c r="CR215" i="1"/>
  <c r="CQ215" i="1"/>
  <c r="CP215" i="1"/>
  <c r="CO215" i="1"/>
  <c r="CO213" i="1" s="1"/>
  <c r="CN215" i="1"/>
  <c r="CM215" i="1"/>
  <c r="CM213" i="1" s="1"/>
  <c r="CL215" i="1"/>
  <c r="CK215" i="1"/>
  <c r="CK213" i="1" s="1"/>
  <c r="CJ215" i="1"/>
  <c r="CI215" i="1"/>
  <c r="CI213" i="1" s="1"/>
  <c r="CH215" i="1"/>
  <c r="CG215" i="1"/>
  <c r="CG213" i="1" s="1"/>
  <c r="CF219" i="1"/>
  <c r="CE215" i="1"/>
  <c r="CE213" i="1" s="1"/>
  <c r="CD215" i="1"/>
  <c r="CC215" i="1"/>
  <c r="CC213" i="1" s="1"/>
  <c r="CB215" i="1"/>
  <c r="CA215" i="1"/>
  <c r="BZ215" i="1"/>
  <c r="BY215" i="1"/>
  <c r="BY213" i="1" s="1"/>
  <c r="BX215" i="1"/>
  <c r="BW215" i="1"/>
  <c r="BW213" i="1" s="1"/>
  <c r="BV215" i="1"/>
  <c r="BU215" i="1"/>
  <c r="BT215" i="1"/>
  <c r="BS215" i="1"/>
  <c r="BS213" i="1" s="1"/>
  <c r="BR215" i="1"/>
  <c r="BQ215" i="1"/>
  <c r="BQ213" i="1" s="1"/>
  <c r="BP215" i="1"/>
  <c r="BO215" i="1"/>
  <c r="BO213" i="1" s="1"/>
  <c r="BN215" i="1"/>
  <c r="BM215" i="1"/>
  <c r="BM213" i="1" s="1"/>
  <c r="BL215" i="1"/>
  <c r="BK215" i="1"/>
  <c r="BJ215" i="1"/>
  <c r="BI215" i="1"/>
  <c r="BI213" i="1" s="1"/>
  <c r="BH219" i="1"/>
  <c r="BG215" i="1"/>
  <c r="BG219" i="1" s="1"/>
  <c r="ET219" i="1" s="1"/>
  <c r="EV219" i="1" s="1"/>
  <c r="EX219" i="1" s="1"/>
  <c r="EZ219" i="1" s="1"/>
  <c r="FB219" i="1" s="1"/>
  <c r="FD219" i="1" s="1"/>
  <c r="FF219" i="1" s="1"/>
  <c r="FH219" i="1" s="1"/>
  <c r="FJ219" i="1" s="1"/>
  <c r="FL219" i="1" s="1"/>
  <c r="FN219" i="1" s="1"/>
  <c r="FP219" i="1" s="1"/>
  <c r="BF215" i="1"/>
  <c r="BE215" i="1"/>
  <c r="BE213" i="1" s="1"/>
  <c r="BD215" i="1"/>
  <c r="BC215" i="1"/>
  <c r="BC213" i="1" s="1"/>
  <c r="BB215" i="1"/>
  <c r="BA215" i="1"/>
  <c r="BA213" i="1" s="1"/>
  <c r="AX215" i="1"/>
  <c r="AW215" i="1"/>
  <c r="AW213" i="1" s="1"/>
  <c r="AV215" i="1"/>
  <c r="AU215" i="1"/>
  <c r="AT215" i="1"/>
  <c r="AS215" i="1"/>
  <c r="AS213" i="1" s="1"/>
  <c r="AR215" i="1"/>
  <c r="AQ215" i="1"/>
  <c r="AQ213" i="1" s="1"/>
  <c r="AP215" i="1"/>
  <c r="AO215" i="1"/>
  <c r="AO213" i="1" s="1"/>
  <c r="AN215" i="1"/>
  <c r="AM215" i="1"/>
  <c r="AM213" i="1" s="1"/>
  <c r="AL215" i="1"/>
  <c r="AK215" i="1"/>
  <c r="AK213" i="1" s="1"/>
  <c r="AJ215" i="1"/>
  <c r="AI215" i="1"/>
  <c r="AI213" i="1" s="1"/>
  <c r="AH215" i="1"/>
  <c r="AG215" i="1"/>
  <c r="AG213" i="1" s="1"/>
  <c r="AF215" i="1"/>
  <c r="AE215" i="1"/>
  <c r="AD215" i="1"/>
  <c r="AC215" i="1"/>
  <c r="AC213" i="1" s="1"/>
  <c r="AB215" i="1"/>
  <c r="AA215" i="1"/>
  <c r="AA213" i="1" s="1"/>
  <c r="Z215" i="1"/>
  <c r="Y215" i="1"/>
  <c r="Y213" i="1" s="1"/>
  <c r="X215" i="1"/>
  <c r="W215" i="1"/>
  <c r="W213" i="1" s="1"/>
  <c r="V215" i="1"/>
  <c r="U215" i="1"/>
  <c r="U213" i="1" s="1"/>
  <c r="T215" i="1"/>
  <c r="S215" i="1"/>
  <c r="S213" i="1" s="1"/>
  <c r="R215" i="1"/>
  <c r="Q215" i="1"/>
  <c r="Q213" i="1" s="1"/>
  <c r="P215" i="1"/>
  <c r="O215" i="1"/>
  <c r="N215" i="1"/>
  <c r="N219" i="1" s="1"/>
  <c r="M215" i="1"/>
  <c r="L215" i="1"/>
  <c r="K215" i="1"/>
  <c r="K213" i="1" s="1"/>
  <c r="I214" i="1"/>
  <c r="CU213" i="1"/>
  <c r="CY209" i="1"/>
  <c r="CW209" i="1"/>
  <c r="CU209" i="1"/>
  <c r="CS209" i="1"/>
  <c r="CQ209" i="1"/>
  <c r="CO209" i="1"/>
  <c r="CM209" i="1"/>
  <c r="CK209" i="1"/>
  <c r="CI209" i="1"/>
  <c r="CG209" i="1"/>
  <c r="CE209" i="1"/>
  <c r="CC209" i="1"/>
  <c r="CA209" i="1"/>
  <c r="BY209" i="1"/>
  <c r="BW209" i="1"/>
  <c r="BU209" i="1"/>
  <c r="BS209" i="1"/>
  <c r="BQ209" i="1"/>
  <c r="BO209" i="1"/>
  <c r="BM209" i="1"/>
  <c r="BK209" i="1"/>
  <c r="BI209" i="1"/>
  <c r="BG209" i="1"/>
  <c r="BE209" i="1"/>
  <c r="BC209" i="1"/>
  <c r="BA209" i="1"/>
  <c r="AY209" i="1"/>
  <c r="AW209" i="1"/>
  <c r="AU209" i="1"/>
  <c r="AU208" i="1" s="1"/>
  <c r="AS209" i="1"/>
  <c r="AS208" i="1" s="1"/>
  <c r="AQ209" i="1"/>
  <c r="AQ208" i="1" s="1"/>
  <c r="AO209" i="1"/>
  <c r="AO208" i="1" s="1"/>
  <c r="AM209" i="1"/>
  <c r="AK209" i="1"/>
  <c r="AK208" i="1" s="1"/>
  <c r="AI209" i="1"/>
  <c r="AI208" i="1" s="1"/>
  <c r="AG209" i="1"/>
  <c r="AG208" i="1" s="1"/>
  <c r="AE209" i="1"/>
  <c r="AE208" i="1" s="1"/>
  <c r="AC209" i="1"/>
  <c r="AC208" i="1" s="1"/>
  <c r="AA209" i="1"/>
  <c r="AA208" i="1" s="1"/>
  <c r="Y209" i="1"/>
  <c r="Y208" i="1" s="1"/>
  <c r="W209" i="1"/>
  <c r="W208" i="1" s="1"/>
  <c r="U209" i="1"/>
  <c r="U208" i="1" s="1"/>
  <c r="S209" i="1"/>
  <c r="S208" i="1" s="1"/>
  <c r="Q209" i="1"/>
  <c r="Q208" i="1" s="1"/>
  <c r="O209" i="1"/>
  <c r="O208" i="1" s="1"/>
  <c r="M209" i="1"/>
  <c r="M208" i="1" s="1"/>
  <c r="K209" i="1"/>
  <c r="K208" i="1" s="1"/>
  <c r="J209" i="1"/>
  <c r="AM208" i="1"/>
  <c r="CY204" i="1"/>
  <c r="CY201" i="1" s="1"/>
  <c r="CY200" i="1" s="1"/>
  <c r="CW204" i="1"/>
  <c r="CW201" i="1" s="1"/>
  <c r="CW200" i="1" s="1"/>
  <c r="CU204" i="1"/>
  <c r="CU201" i="1" s="1"/>
  <c r="CU200" i="1" s="1"/>
  <c r="CS204" i="1"/>
  <c r="CS201" i="1" s="1"/>
  <c r="CS200" i="1" s="1"/>
  <c r="CQ204" i="1"/>
  <c r="CQ201" i="1" s="1"/>
  <c r="CQ200" i="1" s="1"/>
  <c r="CO204" i="1"/>
  <c r="CO201" i="1" s="1"/>
  <c r="CO200" i="1" s="1"/>
  <c r="CM204" i="1"/>
  <c r="CM201" i="1" s="1"/>
  <c r="CM200" i="1" s="1"/>
  <c r="CK204" i="1"/>
  <c r="CK201" i="1" s="1"/>
  <c r="CK200" i="1" s="1"/>
  <c r="CI204" i="1"/>
  <c r="CI201" i="1" s="1"/>
  <c r="CI200" i="1" s="1"/>
  <c r="CG204" i="1"/>
  <c r="CG201" i="1" s="1"/>
  <c r="CG200" i="1" s="1"/>
  <c r="CE204" i="1"/>
  <c r="CE201" i="1" s="1"/>
  <c r="CE200" i="1" s="1"/>
  <c r="CC204" i="1"/>
  <c r="CC201" i="1" s="1"/>
  <c r="CC200" i="1" s="1"/>
  <c r="CA204" i="1"/>
  <c r="CA201" i="1" s="1"/>
  <c r="CA200" i="1" s="1"/>
  <c r="BY204" i="1"/>
  <c r="BY201" i="1" s="1"/>
  <c r="BY200" i="1" s="1"/>
  <c r="BW204" i="1"/>
  <c r="BW201" i="1" s="1"/>
  <c r="BW200" i="1" s="1"/>
  <c r="BU204" i="1"/>
  <c r="BU201" i="1" s="1"/>
  <c r="BU200" i="1" s="1"/>
  <c r="BS204" i="1"/>
  <c r="BS201" i="1" s="1"/>
  <c r="BS200" i="1" s="1"/>
  <c r="BQ204" i="1"/>
  <c r="BQ201" i="1" s="1"/>
  <c r="BQ200" i="1" s="1"/>
  <c r="BO204" i="1"/>
  <c r="BO201" i="1" s="1"/>
  <c r="BO200" i="1" s="1"/>
  <c r="BM204" i="1"/>
  <c r="BM201" i="1" s="1"/>
  <c r="BM200" i="1" s="1"/>
  <c r="BK204" i="1"/>
  <c r="BK201" i="1" s="1"/>
  <c r="BK200" i="1" s="1"/>
  <c r="BI204" i="1"/>
  <c r="BI201" i="1" s="1"/>
  <c r="BI200" i="1" s="1"/>
  <c r="BG204" i="1"/>
  <c r="BG201" i="1" s="1"/>
  <c r="BG200" i="1" s="1"/>
  <c r="BE204" i="1"/>
  <c r="BE201" i="1" s="1"/>
  <c r="BE200" i="1" s="1"/>
  <c r="BC204" i="1"/>
  <c r="BC201" i="1" s="1"/>
  <c r="BC200" i="1" s="1"/>
  <c r="BA204" i="1"/>
  <c r="BA201" i="1" s="1"/>
  <c r="BA200" i="1" s="1"/>
  <c r="AY204" i="1"/>
  <c r="AY201" i="1" s="1"/>
  <c r="AY200" i="1" s="1"/>
  <c r="AW204" i="1"/>
  <c r="AW201" i="1" s="1"/>
  <c r="AW200" i="1" s="1"/>
  <c r="AU204" i="1"/>
  <c r="AU201" i="1" s="1"/>
  <c r="AU200" i="1" s="1"/>
  <c r="AS204" i="1"/>
  <c r="AS201" i="1" s="1"/>
  <c r="AS200" i="1" s="1"/>
  <c r="AQ204" i="1"/>
  <c r="AQ201" i="1" s="1"/>
  <c r="AQ200" i="1" s="1"/>
  <c r="AO204" i="1"/>
  <c r="AO201" i="1" s="1"/>
  <c r="AO200" i="1" s="1"/>
  <c r="AM204" i="1"/>
  <c r="AM201" i="1" s="1"/>
  <c r="AM200" i="1" s="1"/>
  <c r="AK204" i="1"/>
  <c r="AK201" i="1" s="1"/>
  <c r="AK200" i="1" s="1"/>
  <c r="AI204" i="1"/>
  <c r="AI201" i="1" s="1"/>
  <c r="AI200" i="1" s="1"/>
  <c r="AG204" i="1"/>
  <c r="AG201" i="1" s="1"/>
  <c r="AG200" i="1" s="1"/>
  <c r="AE204" i="1"/>
  <c r="AE201" i="1" s="1"/>
  <c r="AE200" i="1" s="1"/>
  <c r="AC204" i="1"/>
  <c r="AC201" i="1" s="1"/>
  <c r="AC200" i="1" s="1"/>
  <c r="AA204" i="1"/>
  <c r="AA201" i="1" s="1"/>
  <c r="AA200" i="1" s="1"/>
  <c r="Y204" i="1"/>
  <c r="W204" i="1"/>
  <c r="U204" i="1"/>
  <c r="S204" i="1"/>
  <c r="Q204" i="1"/>
  <c r="O204" i="1"/>
  <c r="O200" i="1" s="1"/>
  <c r="M204" i="1"/>
  <c r="M200" i="1" s="1"/>
  <c r="K204" i="1"/>
  <c r="K200" i="1" s="1"/>
  <c r="J204" i="1"/>
  <c r="CY203" i="1"/>
  <c r="CW203" i="1"/>
  <c r="CU203" i="1"/>
  <c r="CS203" i="1"/>
  <c r="CQ203" i="1"/>
  <c r="CO203" i="1"/>
  <c r="CM203" i="1"/>
  <c r="CK203" i="1"/>
  <c r="CI203" i="1"/>
  <c r="CG203" i="1"/>
  <c r="CE203" i="1"/>
  <c r="CC203" i="1"/>
  <c r="CA203" i="1"/>
  <c r="BY203" i="1"/>
  <c r="BW203" i="1"/>
  <c r="BU203" i="1"/>
  <c r="BS203" i="1"/>
  <c r="BQ203" i="1"/>
  <c r="BO203" i="1"/>
  <c r="BM203" i="1"/>
  <c r="BK203" i="1"/>
  <c r="BI203" i="1"/>
  <c r="BG203" i="1"/>
  <c r="BE203" i="1"/>
  <c r="BC203" i="1"/>
  <c r="BA203" i="1"/>
  <c r="AY203" i="1"/>
  <c r="AW203" i="1"/>
  <c r="AU203" i="1"/>
  <c r="AS203" i="1"/>
  <c r="AQ203" i="1"/>
  <c r="AO203" i="1"/>
  <c r="AM203" i="1"/>
  <c r="AK203" i="1"/>
  <c r="AI203" i="1"/>
  <c r="AG203" i="1"/>
  <c r="AE203" i="1"/>
  <c r="AC203" i="1"/>
  <c r="AA203" i="1"/>
  <c r="Y203" i="1"/>
  <c r="W203" i="1"/>
  <c r="U203" i="1"/>
  <c r="S203" i="1"/>
  <c r="Q203" i="1"/>
  <c r="J203" i="1"/>
  <c r="I203" i="1" s="1"/>
  <c r="CY202" i="1"/>
  <c r="CW202" i="1"/>
  <c r="CU202" i="1"/>
  <c r="CS202" i="1"/>
  <c r="CQ202" i="1"/>
  <c r="CO202" i="1"/>
  <c r="CM202" i="1"/>
  <c r="CK202" i="1"/>
  <c r="CI202" i="1"/>
  <c r="CG202" i="1"/>
  <c r="CE202" i="1"/>
  <c r="CC202" i="1"/>
  <c r="CA202" i="1"/>
  <c r="BY202" i="1"/>
  <c r="BW202" i="1"/>
  <c r="BU202" i="1"/>
  <c r="BS202" i="1"/>
  <c r="BQ202" i="1"/>
  <c r="BO202" i="1"/>
  <c r="BM202" i="1"/>
  <c r="BK202" i="1"/>
  <c r="BI202" i="1"/>
  <c r="BG202" i="1"/>
  <c r="BE202" i="1"/>
  <c r="BC202" i="1"/>
  <c r="BA202" i="1"/>
  <c r="AY202" i="1"/>
  <c r="AW202" i="1"/>
  <c r="AU202" i="1"/>
  <c r="AS202" i="1"/>
  <c r="AQ202" i="1"/>
  <c r="AO202" i="1"/>
  <c r="AM202" i="1"/>
  <c r="AK202" i="1"/>
  <c r="AI202" i="1"/>
  <c r="AG202" i="1"/>
  <c r="AE202" i="1"/>
  <c r="AC202" i="1"/>
  <c r="AA202" i="1"/>
  <c r="Y202" i="1"/>
  <c r="W202" i="1"/>
  <c r="U202" i="1"/>
  <c r="S202" i="1"/>
  <c r="Q202" i="1"/>
  <c r="J202" i="1"/>
  <c r="I202" i="1" s="1"/>
  <c r="CZ201" i="1"/>
  <c r="CX201" i="1"/>
  <c r="CV201" i="1"/>
  <c r="CT201" i="1"/>
  <c r="CR201" i="1"/>
  <c r="CP201" i="1"/>
  <c r="CN201" i="1"/>
  <c r="CL201" i="1"/>
  <c r="CJ201" i="1"/>
  <c r="CH201" i="1"/>
  <c r="CF201" i="1"/>
  <c r="CD201" i="1"/>
  <c r="CB201" i="1"/>
  <c r="BZ201" i="1"/>
  <c r="BX201" i="1"/>
  <c r="BV201" i="1"/>
  <c r="BT201" i="1"/>
  <c r="BR201" i="1"/>
  <c r="BP201" i="1"/>
  <c r="BN201" i="1"/>
  <c r="BL201" i="1"/>
  <c r="BJ201" i="1"/>
  <c r="BH201" i="1"/>
  <c r="BF201" i="1"/>
  <c r="BD201" i="1"/>
  <c r="BB201" i="1"/>
  <c r="AZ201" i="1"/>
  <c r="AX201" i="1"/>
  <c r="AV201" i="1"/>
  <c r="AT201" i="1"/>
  <c r="AR201" i="1"/>
  <c r="AP201" i="1"/>
  <c r="AN201" i="1"/>
  <c r="AL201" i="1"/>
  <c r="AJ201" i="1"/>
  <c r="AH201" i="1"/>
  <c r="AF201" i="1"/>
  <c r="AD201" i="1"/>
  <c r="AB201" i="1"/>
  <c r="Z201" i="1"/>
  <c r="X201" i="1"/>
  <c r="W201" i="1" s="1"/>
  <c r="W200" i="1" s="1"/>
  <c r="V201" i="1"/>
  <c r="U201" i="1" s="1"/>
  <c r="U200" i="1" s="1"/>
  <c r="T201" i="1"/>
  <c r="S201" i="1" s="1"/>
  <c r="S200" i="1" s="1"/>
  <c r="R201" i="1"/>
  <c r="Q201" i="1" s="1"/>
  <c r="Q200" i="1" s="1"/>
  <c r="Y200" i="1"/>
  <c r="BL187" i="1"/>
  <c r="BJ187" i="1"/>
  <c r="BH187" i="1"/>
  <c r="BF187" i="1"/>
  <c r="BD187" i="1"/>
  <c r="BB187" i="1"/>
  <c r="AZ187" i="1"/>
  <c r="AX187" i="1"/>
  <c r="AV187" i="1"/>
  <c r="AT187" i="1"/>
  <c r="AR187" i="1"/>
  <c r="AP187" i="1"/>
  <c r="AN187" i="1"/>
  <c r="AL187" i="1"/>
  <c r="AJ187" i="1"/>
  <c r="AH187" i="1"/>
  <c r="AF187" i="1"/>
  <c r="AD187" i="1"/>
  <c r="AB187" i="1"/>
  <c r="J187" i="1"/>
  <c r="BL186" i="1"/>
  <c r="BJ186" i="1"/>
  <c r="BH186" i="1"/>
  <c r="BF186" i="1"/>
  <c r="BD186" i="1"/>
  <c r="BB186" i="1"/>
  <c r="AZ186" i="1"/>
  <c r="AX186" i="1"/>
  <c r="AV186" i="1"/>
  <c r="AT186" i="1"/>
  <c r="AR186" i="1"/>
  <c r="AP186" i="1"/>
  <c r="AN186" i="1"/>
  <c r="AL186" i="1"/>
  <c r="AJ186" i="1"/>
  <c r="AH186" i="1"/>
  <c r="AF186" i="1"/>
  <c r="AD186" i="1"/>
  <c r="AB186" i="1"/>
  <c r="J186" i="1"/>
  <c r="BL185" i="1"/>
  <c r="BJ185" i="1"/>
  <c r="BH185" i="1"/>
  <c r="BF185" i="1"/>
  <c r="BD185" i="1"/>
  <c r="BB185" i="1"/>
  <c r="AZ185" i="1"/>
  <c r="AX185" i="1"/>
  <c r="AV185" i="1"/>
  <c r="AT185" i="1"/>
  <c r="AR185" i="1"/>
  <c r="AP185" i="1"/>
  <c r="AN185" i="1"/>
  <c r="AL185" i="1"/>
  <c r="AJ185" i="1"/>
  <c r="AH185" i="1"/>
  <c r="AF185" i="1"/>
  <c r="AD185" i="1"/>
  <c r="AB185" i="1"/>
  <c r="J185" i="1"/>
  <c r="CW184" i="1"/>
  <c r="CU184" i="1"/>
  <c r="CS184" i="1"/>
  <c r="CT184" i="1" s="1"/>
  <c r="CQ184" i="1"/>
  <c r="CO184" i="1"/>
  <c r="CM184" i="1"/>
  <c r="CN184" i="1" s="1"/>
  <c r="CK184" i="1"/>
  <c r="CL184" i="1" s="1"/>
  <c r="CI184" i="1"/>
  <c r="CJ186" i="1" s="1"/>
  <c r="CG184" i="1"/>
  <c r="CH187" i="1" s="1"/>
  <c r="CE184" i="1"/>
  <c r="CF184" i="1" s="1"/>
  <c r="CC184" i="1"/>
  <c r="CA184" i="1"/>
  <c r="BY184" i="1"/>
  <c r="BZ184" i="1" s="1"/>
  <c r="BW184" i="1"/>
  <c r="BX184" i="1" s="1"/>
  <c r="BU184" i="1"/>
  <c r="BV184" i="1" s="1"/>
  <c r="BS184" i="1"/>
  <c r="BQ184" i="1"/>
  <c r="BR184" i="1" s="1"/>
  <c r="BO184" i="1"/>
  <c r="BM184" i="1"/>
  <c r="BL184" i="1"/>
  <c r="BJ184" i="1"/>
  <c r="BH184" i="1"/>
  <c r="BF184" i="1"/>
  <c r="BD184" i="1"/>
  <c r="BB184" i="1"/>
  <c r="AZ184" i="1"/>
  <c r="AX184" i="1"/>
  <c r="AV184" i="1"/>
  <c r="AT184" i="1"/>
  <c r="AR184" i="1"/>
  <c r="AP184" i="1"/>
  <c r="AN184" i="1"/>
  <c r="AL184" i="1"/>
  <c r="AJ184" i="1"/>
  <c r="AH184" i="1"/>
  <c r="AF184" i="1"/>
  <c r="AD184" i="1"/>
  <c r="AB184" i="1"/>
  <c r="S184" i="1"/>
  <c r="Q184" i="1"/>
  <c r="O184" i="1"/>
  <c r="M184" i="1"/>
  <c r="K184" i="1"/>
  <c r="J184" i="1"/>
  <c r="I179" i="1"/>
  <c r="I178" i="1"/>
  <c r="I177" i="1"/>
  <c r="I176" i="1"/>
  <c r="J175" i="1"/>
  <c r="J174" i="1"/>
  <c r="J173" i="1"/>
  <c r="AK169" i="1"/>
  <c r="AI169" i="1"/>
  <c r="AG169" i="1"/>
  <c r="AE169" i="1"/>
  <c r="AC169" i="1"/>
  <c r="AA169" i="1"/>
  <c r="Y169" i="1"/>
  <c r="W169" i="1"/>
  <c r="U169" i="1"/>
  <c r="S169" i="1"/>
  <c r="Q169" i="1"/>
  <c r="O169" i="1"/>
  <c r="M169" i="1"/>
  <c r="K169" i="1"/>
  <c r="I168" i="1"/>
  <c r="I167" i="1"/>
  <c r="U163" i="1"/>
  <c r="S163" i="1"/>
  <c r="CZ162" i="1"/>
  <c r="CX162" i="1"/>
  <c r="CV162" i="1"/>
  <c r="CT162" i="1"/>
  <c r="CR162" i="1"/>
  <c r="CP162" i="1"/>
  <c r="CN162" i="1"/>
  <c r="CL162" i="1"/>
  <c r="CJ162" i="1"/>
  <c r="CH162" i="1"/>
  <c r="CF162" i="1"/>
  <c r="CD162" i="1"/>
  <c r="CB162" i="1"/>
  <c r="BZ162" i="1"/>
  <c r="BX162" i="1"/>
  <c r="BV162" i="1"/>
  <c r="BT162" i="1"/>
  <c r="BR162" i="1"/>
  <c r="BP162" i="1"/>
  <c r="BN162" i="1"/>
  <c r="BL162" i="1"/>
  <c r="BJ162" i="1"/>
  <c r="BH162" i="1"/>
  <c r="BF162" i="1"/>
  <c r="BD162" i="1"/>
  <c r="BB162" i="1"/>
  <c r="AZ162" i="1"/>
  <c r="AX162" i="1"/>
  <c r="AV162" i="1"/>
  <c r="AT162" i="1"/>
  <c r="AR162" i="1"/>
  <c r="AP162" i="1"/>
  <c r="AN162" i="1"/>
  <c r="AL162" i="1"/>
  <c r="AJ162" i="1"/>
  <c r="AH162" i="1"/>
  <c r="AF162" i="1"/>
  <c r="AD162" i="1"/>
  <c r="AB162" i="1"/>
  <c r="Z162" i="1"/>
  <c r="X162" i="1"/>
  <c r="V162" i="1"/>
  <c r="T162" i="1"/>
  <c r="R162" i="1"/>
  <c r="P162" i="1"/>
  <c r="N162" i="1"/>
  <c r="L162" i="1"/>
  <c r="I162" i="1"/>
  <c r="I161" i="1"/>
  <c r="I157" i="1"/>
  <c r="CZ156" i="1"/>
  <c r="CX156" i="1"/>
  <c r="CV156" i="1"/>
  <c r="CT156" i="1"/>
  <c r="CR156" i="1"/>
  <c r="CP156" i="1"/>
  <c r="CN156" i="1"/>
  <c r="CL156" i="1"/>
  <c r="CJ156" i="1"/>
  <c r="CH156" i="1"/>
  <c r="CF156" i="1"/>
  <c r="CD156" i="1"/>
  <c r="CB156" i="1"/>
  <c r="BZ156" i="1"/>
  <c r="BX156" i="1"/>
  <c r="BV156" i="1"/>
  <c r="BT156" i="1"/>
  <c r="BR156" i="1"/>
  <c r="BP156" i="1"/>
  <c r="BN156" i="1"/>
  <c r="BL156" i="1"/>
  <c r="BJ156" i="1"/>
  <c r="BH156" i="1"/>
  <c r="BF156" i="1"/>
  <c r="BD156" i="1"/>
  <c r="BB156" i="1"/>
  <c r="AZ156" i="1"/>
  <c r="AX156" i="1"/>
  <c r="AV156" i="1"/>
  <c r="AT156" i="1"/>
  <c r="AR156" i="1"/>
  <c r="AP156" i="1"/>
  <c r="AN156" i="1"/>
  <c r="AL156" i="1"/>
  <c r="AJ156" i="1"/>
  <c r="AH156" i="1"/>
  <c r="AF156" i="1"/>
  <c r="AD156" i="1"/>
  <c r="AB156" i="1"/>
  <c r="Z156" i="1"/>
  <c r="X156" i="1"/>
  <c r="I156" i="1"/>
  <c r="I155" i="1"/>
  <c r="I151" i="1"/>
  <c r="I346" i="1" s="1"/>
  <c r="CZ150" i="1"/>
  <c r="CX150" i="1"/>
  <c r="CV150" i="1"/>
  <c r="CT150" i="1"/>
  <c r="CR150" i="1"/>
  <c r="CP150" i="1"/>
  <c r="CN150" i="1"/>
  <c r="CL150" i="1"/>
  <c r="CJ150" i="1"/>
  <c r="CH150" i="1"/>
  <c r="CF150" i="1"/>
  <c r="CD150" i="1"/>
  <c r="CB150" i="1"/>
  <c r="BZ150" i="1"/>
  <c r="BX150" i="1"/>
  <c r="BV150" i="1"/>
  <c r="BT150" i="1"/>
  <c r="BR150" i="1"/>
  <c r="BP150" i="1"/>
  <c r="BN150" i="1"/>
  <c r="BL150" i="1"/>
  <c r="BJ150" i="1"/>
  <c r="BH150" i="1"/>
  <c r="BF150" i="1"/>
  <c r="BD150" i="1"/>
  <c r="BB150" i="1"/>
  <c r="AZ150" i="1"/>
  <c r="AX150" i="1"/>
  <c r="AV150" i="1"/>
  <c r="AT150" i="1"/>
  <c r="AR150" i="1"/>
  <c r="AP150" i="1"/>
  <c r="AN150" i="1"/>
  <c r="AL150" i="1"/>
  <c r="AJ150" i="1"/>
  <c r="AH150" i="1"/>
  <c r="AF150" i="1"/>
  <c r="AD150" i="1"/>
  <c r="AB150" i="1"/>
  <c r="Z150" i="1"/>
  <c r="X150" i="1"/>
  <c r="I150" i="1"/>
  <c r="I149" i="1"/>
  <c r="BO144" i="1"/>
  <c r="BM144" i="1"/>
  <c r="BK144" i="1"/>
  <c r="BI144" i="1"/>
  <c r="BG144" i="1"/>
  <c r="BE144" i="1"/>
  <c r="BC144" i="1"/>
  <c r="BA144" i="1"/>
  <c r="AY144" i="1"/>
  <c r="AW144" i="1"/>
  <c r="AU144" i="1"/>
  <c r="AS144" i="1"/>
  <c r="AQ144" i="1"/>
  <c r="AO144" i="1"/>
  <c r="AM144" i="1"/>
  <c r="AK144" i="1"/>
  <c r="AI144" i="1"/>
  <c r="AG144" i="1"/>
  <c r="AE144" i="1"/>
  <c r="AC144" i="1"/>
  <c r="AA144" i="1"/>
  <c r="Y144" i="1"/>
  <c r="W144" i="1"/>
  <c r="U144" i="1"/>
  <c r="I144" i="1"/>
  <c r="CZ143" i="1"/>
  <c r="CX143" i="1"/>
  <c r="CV143" i="1"/>
  <c r="CT143" i="1"/>
  <c r="CR143" i="1"/>
  <c r="CP143" i="1"/>
  <c r="CN143" i="1"/>
  <c r="CL143" i="1"/>
  <c r="CJ143" i="1"/>
  <c r="CH143" i="1"/>
  <c r="CF143" i="1"/>
  <c r="CD143" i="1"/>
  <c r="CB143" i="1"/>
  <c r="BZ143" i="1"/>
  <c r="BX143" i="1"/>
  <c r="BV143" i="1"/>
  <c r="BT143" i="1"/>
  <c r="BR143" i="1"/>
  <c r="BP143" i="1"/>
  <c r="BN143" i="1"/>
  <c r="BL143" i="1"/>
  <c r="BJ143" i="1"/>
  <c r="BH143" i="1"/>
  <c r="BF143" i="1"/>
  <c r="BD143" i="1"/>
  <c r="BB143" i="1"/>
  <c r="AZ143" i="1"/>
  <c r="AX143" i="1"/>
  <c r="AV143" i="1"/>
  <c r="AT143" i="1"/>
  <c r="AR143" i="1"/>
  <c r="AP143" i="1"/>
  <c r="AM143" i="1"/>
  <c r="AK143" i="1"/>
  <c r="AI143" i="1"/>
  <c r="AJ143" i="1" s="1"/>
  <c r="AG143" i="1"/>
  <c r="AH143" i="1" s="1"/>
  <c r="AE143" i="1"/>
  <c r="AC143" i="1"/>
  <c r="AA143" i="1"/>
  <c r="AB143" i="1" s="1"/>
  <c r="Y143" i="1"/>
  <c r="W143" i="1"/>
  <c r="X143" i="1" s="1"/>
  <c r="U143" i="1"/>
  <c r="V143" i="1" s="1"/>
  <c r="T143" i="1"/>
  <c r="R143" i="1"/>
  <c r="P143" i="1"/>
  <c r="N143" i="1"/>
  <c r="L143" i="1"/>
  <c r="I142" i="1"/>
  <c r="CY138" i="1"/>
  <c r="CW138" i="1"/>
  <c r="CU138" i="1"/>
  <c r="CS138" i="1"/>
  <c r="CQ138" i="1"/>
  <c r="CO138" i="1"/>
  <c r="CM138" i="1"/>
  <c r="CK138" i="1"/>
  <c r="CI138" i="1"/>
  <c r="CG138" i="1"/>
  <c r="CE138" i="1"/>
  <c r="CC138" i="1"/>
  <c r="CA138" i="1"/>
  <c r="BY138" i="1"/>
  <c r="BW138" i="1"/>
  <c r="BU138" i="1"/>
  <c r="BS138" i="1"/>
  <c r="BQ138" i="1"/>
  <c r="BO138" i="1"/>
  <c r="BM138" i="1"/>
  <c r="BK138" i="1"/>
  <c r="BI138" i="1"/>
  <c r="BG138" i="1"/>
  <c r="BE138" i="1"/>
  <c r="BC138" i="1"/>
  <c r="BA138" i="1"/>
  <c r="AY138" i="1"/>
  <c r="AW138" i="1"/>
  <c r="AU138" i="1"/>
  <c r="AS138" i="1"/>
  <c r="AQ138" i="1"/>
  <c r="AO138" i="1"/>
  <c r="S138" i="1"/>
  <c r="Q138" i="1"/>
  <c r="O138" i="1"/>
  <c r="M138" i="1"/>
  <c r="K138" i="1"/>
  <c r="I131" i="1"/>
  <c r="I130" i="1"/>
  <c r="I129" i="1"/>
  <c r="I128" i="1"/>
  <c r="I127" i="1"/>
  <c r="CY126" i="1"/>
  <c r="CW126" i="1"/>
  <c r="CU126" i="1"/>
  <c r="CV127" i="1" s="1"/>
  <c r="CS126" i="1"/>
  <c r="CQ126" i="1"/>
  <c r="CR129" i="1" s="1"/>
  <c r="CO126" i="1"/>
  <c r="CP130" i="1" s="1"/>
  <c r="CM126" i="1"/>
  <c r="CN128" i="1" s="1"/>
  <c r="CK126" i="1"/>
  <c r="CL129" i="1" s="1"/>
  <c r="CI126" i="1"/>
  <c r="CJ131" i="1" s="1"/>
  <c r="CG126" i="1"/>
  <c r="CE126" i="1"/>
  <c r="CF127" i="1" s="1"/>
  <c r="CC126" i="1"/>
  <c r="CA126" i="1"/>
  <c r="BY126" i="1"/>
  <c r="BZ127" i="1" s="1"/>
  <c r="BW126" i="1"/>
  <c r="BZ130" i="1" s="1"/>
  <c r="BU126" i="1"/>
  <c r="BV127" i="1" s="1"/>
  <c r="BS126" i="1"/>
  <c r="BT127" i="1" s="1"/>
  <c r="BQ126" i="1"/>
  <c r="BR127" i="1" s="1"/>
  <c r="BO126" i="1"/>
  <c r="BP127" i="1" s="1"/>
  <c r="BM126" i="1"/>
  <c r="BN127" i="1" s="1"/>
  <c r="BK126" i="1"/>
  <c r="BL127" i="1" s="1"/>
  <c r="BI126" i="1"/>
  <c r="BJ127" i="1" s="1"/>
  <c r="BG126" i="1"/>
  <c r="BH130" i="1" s="1"/>
  <c r="BE126" i="1"/>
  <c r="BF131" i="1" s="1"/>
  <c r="BC126" i="1"/>
  <c r="BD129" i="1" s="1"/>
  <c r="BA126" i="1"/>
  <c r="AY126" i="1"/>
  <c r="AZ127" i="1" s="1"/>
  <c r="AW126" i="1"/>
  <c r="AX127" i="1" s="1"/>
  <c r="AU126" i="1"/>
  <c r="AV130" i="1" s="1"/>
  <c r="AS126" i="1"/>
  <c r="AT127" i="1" s="1"/>
  <c r="AQ126" i="1"/>
  <c r="AR128" i="1" s="1"/>
  <c r="AO126" i="1"/>
  <c r="AP131" i="1" s="1"/>
  <c r="AM126" i="1"/>
  <c r="AN128" i="1" s="1"/>
  <c r="AK126" i="1"/>
  <c r="AI126" i="1"/>
  <c r="AJ131" i="1" s="1"/>
  <c r="AG126" i="1"/>
  <c r="AE126" i="1"/>
  <c r="AC126" i="1"/>
  <c r="AA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I120" i="1"/>
  <c r="I119" i="1"/>
  <c r="I118" i="1"/>
  <c r="I117" i="1"/>
  <c r="I116" i="1"/>
  <c r="CY115" i="1"/>
  <c r="CZ117" i="1" s="1"/>
  <c r="CW115" i="1"/>
  <c r="CX120" i="1" s="1"/>
  <c r="CU115" i="1"/>
  <c r="CV120" i="1" s="1"/>
  <c r="CS115" i="1"/>
  <c r="CQ115" i="1"/>
  <c r="CQ145" i="1" s="1"/>
  <c r="CO115" i="1"/>
  <c r="CP116" i="1" s="1"/>
  <c r="CM115" i="1"/>
  <c r="CM145" i="1" s="1"/>
  <c r="CK115" i="1"/>
  <c r="CL119" i="1" s="1"/>
  <c r="CI115" i="1"/>
  <c r="CJ117" i="1" s="1"/>
  <c r="CG115" i="1"/>
  <c r="CE115" i="1"/>
  <c r="CC115" i="1"/>
  <c r="CA115" i="1"/>
  <c r="BY115" i="1"/>
  <c r="BW115" i="1"/>
  <c r="BW145" i="1" s="1"/>
  <c r="BU115" i="1"/>
  <c r="BV117" i="1" s="1"/>
  <c r="BS115" i="1"/>
  <c r="BT117" i="1" s="1"/>
  <c r="BQ115" i="1"/>
  <c r="BR116" i="1" s="1"/>
  <c r="BO115" i="1"/>
  <c r="BP120" i="1" s="1"/>
  <c r="BM115" i="1"/>
  <c r="BN119" i="1" s="1"/>
  <c r="BK115" i="1"/>
  <c r="BI115" i="1"/>
  <c r="BG115" i="1"/>
  <c r="BG145" i="1" s="1"/>
  <c r="BE115" i="1"/>
  <c r="BC115" i="1"/>
  <c r="BD118" i="1" s="1"/>
  <c r="BA115" i="1"/>
  <c r="BB118" i="1" s="1"/>
  <c r="AY115" i="1"/>
  <c r="AY145" i="1" s="1"/>
  <c r="AW115" i="1"/>
  <c r="AU115" i="1"/>
  <c r="AV116" i="1" s="1"/>
  <c r="AS115" i="1"/>
  <c r="AQ115" i="1"/>
  <c r="AQ145" i="1" s="1"/>
  <c r="AO115" i="1"/>
  <c r="AP119" i="1" s="1"/>
  <c r="AM115" i="1"/>
  <c r="AN118" i="1" s="1"/>
  <c r="AK115" i="1"/>
  <c r="AI115" i="1"/>
  <c r="AG115" i="1"/>
  <c r="AE115" i="1"/>
  <c r="AF130" i="1" s="1"/>
  <c r="AC115" i="1"/>
  <c r="AA115" i="1"/>
  <c r="AB116" i="1" s="1"/>
  <c r="Y115" i="1"/>
  <c r="X115" i="1"/>
  <c r="W115" i="1"/>
  <c r="W145" i="1" s="1"/>
  <c r="V115" i="1"/>
  <c r="U115" i="1"/>
  <c r="U145" i="1" s="1"/>
  <c r="T115" i="1"/>
  <c r="S115" i="1"/>
  <c r="S145" i="1" s="1"/>
  <c r="R115" i="1"/>
  <c r="Q115" i="1"/>
  <c r="Q145" i="1" s="1"/>
  <c r="P115" i="1"/>
  <c r="O115" i="1"/>
  <c r="O145" i="1" s="1"/>
  <c r="N115" i="1"/>
  <c r="M115" i="1"/>
  <c r="M145" i="1" s="1"/>
  <c r="L115" i="1"/>
  <c r="K115" i="1"/>
  <c r="K145" i="1" s="1"/>
  <c r="I109" i="1"/>
  <c r="BA108" i="1"/>
  <c r="BA107" i="1" s="1"/>
  <c r="AY108" i="1"/>
  <c r="AY107" i="1" s="1"/>
  <c r="AW108" i="1"/>
  <c r="AW107" i="1" s="1"/>
  <c r="AU108" i="1"/>
  <c r="AU107" i="1" s="1"/>
  <c r="AS108" i="1"/>
  <c r="AS107" i="1" s="1"/>
  <c r="AQ108" i="1"/>
  <c r="AQ107" i="1" s="1"/>
  <c r="AO108" i="1"/>
  <c r="AO107" i="1" s="1"/>
  <c r="W108" i="1"/>
  <c r="I108" i="1" s="1"/>
  <c r="CY107" i="1"/>
  <c r="CW107" i="1"/>
  <c r="CU107" i="1"/>
  <c r="CS107" i="1"/>
  <c r="CQ107" i="1"/>
  <c r="CO107" i="1"/>
  <c r="CM107" i="1"/>
  <c r="CK107" i="1"/>
  <c r="CI107" i="1"/>
  <c r="CG107" i="1"/>
  <c r="CE107" i="1"/>
  <c r="CC107" i="1"/>
  <c r="CA107" i="1"/>
  <c r="BY107" i="1"/>
  <c r="BW107" i="1"/>
  <c r="BU107" i="1"/>
  <c r="BS107" i="1"/>
  <c r="BQ107" i="1"/>
  <c r="BO107" i="1"/>
  <c r="BM107" i="1"/>
  <c r="BK107" i="1"/>
  <c r="BI107" i="1"/>
  <c r="BG107" i="1"/>
  <c r="BE107" i="1"/>
  <c r="BC107" i="1"/>
  <c r="AM107" i="1"/>
  <c r="AK107" i="1"/>
  <c r="AI107" i="1"/>
  <c r="AG107" i="1"/>
  <c r="AE107" i="1"/>
  <c r="AC107" i="1"/>
  <c r="AA107" i="1"/>
  <c r="Y107" i="1"/>
  <c r="U107" i="1"/>
  <c r="S107" i="1"/>
  <c r="Q107" i="1"/>
  <c r="O107" i="1"/>
  <c r="M107" i="1"/>
  <c r="K107" i="1"/>
  <c r="I103" i="1"/>
  <c r="CY101" i="1"/>
  <c r="CW101" i="1"/>
  <c r="CU101" i="1"/>
  <c r="CS101" i="1"/>
  <c r="CQ101" i="1"/>
  <c r="CO101" i="1"/>
  <c r="CM101" i="1"/>
  <c r="CK101" i="1"/>
  <c r="CI101" i="1"/>
  <c r="CG101" i="1"/>
  <c r="CE101" i="1"/>
  <c r="CC101" i="1"/>
  <c r="CA101" i="1"/>
  <c r="BY101" i="1"/>
  <c r="BW101" i="1"/>
  <c r="BU101" i="1"/>
  <c r="BS101" i="1"/>
  <c r="BQ101" i="1"/>
  <c r="BO101" i="1"/>
  <c r="BM101" i="1"/>
  <c r="BK101" i="1"/>
  <c r="BI101" i="1"/>
  <c r="BG101" i="1"/>
  <c r="BE101" i="1"/>
  <c r="BC101" i="1"/>
  <c r="BA101" i="1"/>
  <c r="AY101" i="1"/>
  <c r="AW101" i="1"/>
  <c r="AU101" i="1"/>
  <c r="AS101" i="1"/>
  <c r="AQ101" i="1"/>
  <c r="AO101" i="1"/>
  <c r="AK101" i="1"/>
  <c r="AI101" i="1"/>
  <c r="AG101" i="1"/>
  <c r="AE101" i="1"/>
  <c r="AC101" i="1"/>
  <c r="AA101" i="1"/>
  <c r="Y101" i="1"/>
  <c r="W101" i="1"/>
  <c r="U101" i="1"/>
  <c r="S101" i="1"/>
  <c r="Q101" i="1"/>
  <c r="O101" i="1"/>
  <c r="M101" i="1"/>
  <c r="K101" i="1"/>
  <c r="I97" i="1"/>
  <c r="CO89" i="1"/>
  <c r="CO251" i="1" s="1"/>
  <c r="CM89" i="1"/>
  <c r="CK89" i="1"/>
  <c r="CK251" i="1" s="1"/>
  <c r="CI89" i="1"/>
  <c r="CG89" i="1"/>
  <c r="CG251" i="1" s="1"/>
  <c r="CE89" i="1"/>
  <c r="CE251" i="1" s="1"/>
  <c r="CC89" i="1"/>
  <c r="CC251" i="1" s="1"/>
  <c r="CA89" i="1"/>
  <c r="BY89" i="1"/>
  <c r="BY251" i="1" s="1"/>
  <c r="BW89" i="1"/>
  <c r="BU89" i="1"/>
  <c r="BU251" i="1" s="1"/>
  <c r="BS89" i="1"/>
  <c r="BQ89" i="1"/>
  <c r="BQ251" i="1" s="1"/>
  <c r="BO89" i="1"/>
  <c r="BO251" i="1" s="1"/>
  <c r="BM89" i="1"/>
  <c r="BM251" i="1" s="1"/>
  <c r="BK89" i="1"/>
  <c r="BI89" i="1"/>
  <c r="BI251" i="1" s="1"/>
  <c r="BG89" i="1"/>
  <c r="BG251" i="1" s="1"/>
  <c r="AI89" i="1"/>
  <c r="AK89" i="1" s="1"/>
  <c r="AM89" i="1" s="1"/>
  <c r="AO89" i="1" s="1"/>
  <c r="AC89" i="1"/>
  <c r="AA89" i="1"/>
  <c r="Y89" i="1"/>
  <c r="W89" i="1"/>
  <c r="S89" i="1"/>
  <c r="Q89" i="1"/>
  <c r="O89" i="1"/>
  <c r="M89" i="1"/>
  <c r="K89" i="1"/>
  <c r="H89" i="1"/>
  <c r="BA88" i="1"/>
  <c r="AW88" i="1"/>
  <c r="AW242" i="1" s="1"/>
  <c r="S88" i="1"/>
  <c r="Q88" i="1"/>
  <c r="O88" i="1"/>
  <c r="M88" i="1"/>
  <c r="K88" i="1"/>
  <c r="H88" i="1"/>
  <c r="BA87" i="1"/>
  <c r="BA241" i="1" s="1"/>
  <c r="AW87" i="1"/>
  <c r="AW241" i="1" s="1"/>
  <c r="S87" i="1"/>
  <c r="Q87" i="1"/>
  <c r="O87" i="1"/>
  <c r="M87" i="1"/>
  <c r="K87" i="1"/>
  <c r="H87" i="1"/>
  <c r="W86" i="1"/>
  <c r="U86" i="1"/>
  <c r="S86" i="1"/>
  <c r="Q86" i="1"/>
  <c r="O86" i="1"/>
  <c r="M86" i="1"/>
  <c r="K86" i="1"/>
  <c r="H86" i="1"/>
  <c r="G86" i="1"/>
  <c r="CY85" i="1"/>
  <c r="CY239" i="1" s="1"/>
  <c r="CW85" i="1"/>
  <c r="CU85" i="1"/>
  <c r="CU239" i="1" s="1"/>
  <c r="CS85" i="1"/>
  <c r="CQ85" i="1"/>
  <c r="CO85" i="1"/>
  <c r="CM85" i="1"/>
  <c r="CM239" i="1" s="1"/>
  <c r="CK85" i="1"/>
  <c r="CK239" i="1" s="1"/>
  <c r="CI85" i="1"/>
  <c r="CI239" i="1" s="1"/>
  <c r="CG85" i="1"/>
  <c r="CE85" i="1"/>
  <c r="CE239" i="1" s="1"/>
  <c r="CC85" i="1"/>
  <c r="CC239" i="1" s="1"/>
  <c r="CA85" i="1"/>
  <c r="CA239" i="1" s="1"/>
  <c r="BY85" i="1"/>
  <c r="BW85" i="1"/>
  <c r="BW239" i="1" s="1"/>
  <c r="BU85" i="1"/>
  <c r="BU239" i="1" s="1"/>
  <c r="BS85" i="1"/>
  <c r="BS239" i="1" s="1"/>
  <c r="BQ85" i="1"/>
  <c r="BO85" i="1"/>
  <c r="BO239" i="1" s="1"/>
  <c r="BA85" i="1"/>
  <c r="BA239" i="1" s="1"/>
  <c r="AS85" i="1"/>
  <c r="H85" i="1"/>
  <c r="G85" i="1"/>
  <c r="BE83" i="1"/>
  <c r="BE231" i="1" s="1"/>
  <c r="BC83" i="1"/>
  <c r="BC231" i="1" s="1"/>
  <c r="AU83" i="1"/>
  <c r="BA81" i="1"/>
  <c r="AW81" i="1"/>
  <c r="AW228" i="1" s="1"/>
  <c r="BO80" i="1"/>
  <c r="S80" i="1"/>
  <c r="Q80" i="1"/>
  <c r="O80" i="1"/>
  <c r="M80" i="1"/>
  <c r="K80" i="1"/>
  <c r="H80" i="1"/>
  <c r="G80" i="1"/>
  <c r="BM78" i="1"/>
  <c r="BK78" i="1"/>
  <c r="BK230" i="1" s="1"/>
  <c r="BI78" i="1"/>
  <c r="BI230" i="1" s="1"/>
  <c r="BG78" i="1"/>
  <c r="BG230" i="1" s="1"/>
  <c r="BE78" i="1"/>
  <c r="BE230" i="1" s="1"/>
  <c r="BC78" i="1"/>
  <c r="BC230" i="1" s="1"/>
  <c r="BA78" i="1"/>
  <c r="BA230" i="1" s="1"/>
  <c r="AY78" i="1"/>
  <c r="AW78" i="1"/>
  <c r="AU78" i="1"/>
  <c r="AU230" i="1" s="1"/>
  <c r="AS78" i="1"/>
  <c r="AS230" i="1" s="1"/>
  <c r="AQ78" i="1"/>
  <c r="AQ230" i="1" s="1"/>
  <c r="AO78" i="1"/>
  <c r="AM78" i="1"/>
  <c r="AK78" i="1"/>
  <c r="AI78" i="1"/>
  <c r="AM77" i="1"/>
  <c r="AM226" i="1" s="1"/>
  <c r="AK77" i="1"/>
  <c r="AK226" i="1" s="1"/>
  <c r="AI77" i="1"/>
  <c r="S77" i="1"/>
  <c r="Q77" i="1"/>
  <c r="O77" i="1"/>
  <c r="M77" i="1"/>
  <c r="K77" i="1"/>
  <c r="H77" i="1"/>
  <c r="CY75" i="1"/>
  <c r="CW75" i="1"/>
  <c r="CU75" i="1"/>
  <c r="CS75" i="1"/>
  <c r="CQ75" i="1"/>
  <c r="CO75" i="1"/>
  <c r="CM75" i="1"/>
  <c r="CK75" i="1"/>
  <c r="CI75" i="1"/>
  <c r="CG75" i="1"/>
  <c r="CE75" i="1"/>
  <c r="CC75" i="1"/>
  <c r="CA75" i="1"/>
  <c r="BY75" i="1"/>
  <c r="BW75" i="1"/>
  <c r="BU75" i="1"/>
  <c r="BS75" i="1"/>
  <c r="BQ75" i="1"/>
  <c r="BO75" i="1"/>
  <c r="BM75" i="1"/>
  <c r="BI75" i="1"/>
  <c r="BG75" i="1"/>
  <c r="BE75" i="1"/>
  <c r="BC75" i="1"/>
  <c r="BA75" i="1"/>
  <c r="AY75" i="1"/>
  <c r="AW75" i="1"/>
  <c r="AU75" i="1"/>
  <c r="AS75" i="1"/>
  <c r="AQ75" i="1"/>
  <c r="AO75" i="1"/>
  <c r="AM75" i="1"/>
  <c r="AK75" i="1"/>
  <c r="AI75" i="1"/>
  <c r="AG75" i="1"/>
  <c r="AE75" i="1"/>
  <c r="AC75" i="1"/>
  <c r="AA75" i="1"/>
  <c r="Y75" i="1"/>
  <c r="W75" i="1"/>
  <c r="U75" i="1"/>
  <c r="S75" i="1"/>
  <c r="Q75" i="1"/>
  <c r="O75" i="1"/>
  <c r="M75" i="1"/>
  <c r="K75" i="1"/>
  <c r="G73" i="1"/>
  <c r="G71" i="1"/>
  <c r="O65" i="1"/>
  <c r="M65" i="1"/>
  <c r="K65" i="1"/>
  <c r="I64" i="1"/>
  <c r="CY63" i="1"/>
  <c r="CU63" i="1"/>
  <c r="CS63" i="1"/>
  <c r="CQ63" i="1"/>
  <c r="CO63" i="1"/>
  <c r="CM63" i="1"/>
  <c r="CK63" i="1"/>
  <c r="CI63" i="1"/>
  <c r="CG63" i="1"/>
  <c r="CE63" i="1"/>
  <c r="CC63" i="1"/>
  <c r="CA63" i="1"/>
  <c r="BY63" i="1"/>
  <c r="BW63" i="1"/>
  <c r="BU63" i="1"/>
  <c r="BS63" i="1"/>
  <c r="BQ63" i="1"/>
  <c r="BO63" i="1"/>
  <c r="BM63" i="1"/>
  <c r="BK63" i="1"/>
  <c r="BI63" i="1"/>
  <c r="BG63" i="1"/>
  <c r="BE63" i="1"/>
  <c r="BC63" i="1"/>
  <c r="BA63" i="1"/>
  <c r="AY63" i="1"/>
  <c r="AW63" i="1"/>
  <c r="AU63" i="1"/>
  <c r="AS63" i="1"/>
  <c r="AQ63" i="1"/>
  <c r="AO63" i="1"/>
  <c r="AM63" i="1"/>
  <c r="AK63" i="1"/>
  <c r="AI63" i="1"/>
  <c r="AG63" i="1"/>
  <c r="AE63" i="1"/>
  <c r="AC63" i="1"/>
  <c r="AA63" i="1"/>
  <c r="Y63" i="1"/>
  <c r="W63" i="1"/>
  <c r="U63" i="1"/>
  <c r="CU52" i="1"/>
  <c r="CS52" i="1"/>
  <c r="CQ52" i="1"/>
  <c r="CO52" i="1"/>
  <c r="CM52" i="1"/>
  <c r="CK52" i="1"/>
  <c r="CI52" i="1"/>
  <c r="CG52" i="1"/>
  <c r="CE52" i="1"/>
  <c r="CC52" i="1"/>
  <c r="CA52" i="1"/>
  <c r="BY52" i="1"/>
  <c r="BW52" i="1"/>
  <c r="BU52" i="1"/>
  <c r="BS52" i="1"/>
  <c r="BQ52" i="1"/>
  <c r="BO52" i="1"/>
  <c r="BM52" i="1"/>
  <c r="CY49" i="1"/>
  <c r="CU49" i="1"/>
  <c r="CS49" i="1"/>
  <c r="CQ49" i="1"/>
  <c r="CO49" i="1"/>
  <c r="CM49" i="1"/>
  <c r="CK49" i="1"/>
  <c r="CI49" i="1"/>
  <c r="CG49" i="1"/>
  <c r="CE49" i="1"/>
  <c r="CC49" i="1"/>
  <c r="CA49" i="1"/>
  <c r="BY49" i="1"/>
  <c r="BW49" i="1"/>
  <c r="BU49" i="1"/>
  <c r="BS49" i="1"/>
  <c r="BQ49" i="1"/>
  <c r="BO49" i="1"/>
  <c r="BM49" i="1"/>
  <c r="BK49" i="1"/>
  <c r="BI49" i="1"/>
  <c r="BG49" i="1"/>
  <c r="BE49" i="1"/>
  <c r="BC49" i="1"/>
  <c r="BA49" i="1"/>
  <c r="AY49" i="1"/>
  <c r="AW49" i="1"/>
  <c r="AU49" i="1"/>
  <c r="AS49" i="1"/>
  <c r="AQ49" i="1"/>
  <c r="AO49" i="1"/>
  <c r="AM49" i="1"/>
  <c r="AK49" i="1"/>
  <c r="AI49" i="1"/>
  <c r="AG49" i="1"/>
  <c r="AE49" i="1"/>
  <c r="AC49" i="1"/>
  <c r="AA49" i="1"/>
  <c r="Y49" i="1"/>
  <c r="W49" i="1"/>
  <c r="U49" i="1"/>
  <c r="S49" i="1"/>
  <c r="Q49" i="1"/>
  <c r="O49" i="1"/>
  <c r="M49" i="1"/>
  <c r="K49" i="1"/>
  <c r="J49" i="1"/>
  <c r="I48" i="1"/>
  <c r="CY47" i="1"/>
  <c r="CW47" i="1"/>
  <c r="CU47" i="1"/>
  <c r="CU46" i="1" s="1"/>
  <c r="CU45" i="1" s="1"/>
  <c r="CS46" i="1"/>
  <c r="CS45" i="1" s="1"/>
  <c r="CQ47" i="1"/>
  <c r="CQ46" i="1" s="1"/>
  <c r="CQ45" i="1" s="1"/>
  <c r="CO47" i="1"/>
  <c r="CO46" i="1" s="1"/>
  <c r="CO45" i="1" s="1"/>
  <c r="CM47" i="1"/>
  <c r="CM46" i="1" s="1"/>
  <c r="CM45" i="1" s="1"/>
  <c r="CK47" i="1"/>
  <c r="CK46" i="1" s="1"/>
  <c r="CK45" i="1" s="1"/>
  <c r="CI47" i="1"/>
  <c r="CI46" i="1" s="1"/>
  <c r="CI45" i="1" s="1"/>
  <c r="CG47" i="1"/>
  <c r="CG46" i="1" s="1"/>
  <c r="CG45" i="1" s="1"/>
  <c r="CE47" i="1"/>
  <c r="CE46" i="1" s="1"/>
  <c r="CE45" i="1" s="1"/>
  <c r="CC47" i="1"/>
  <c r="CC46" i="1" s="1"/>
  <c r="CC45" i="1" s="1"/>
  <c r="CA47" i="1"/>
  <c r="CA46" i="1" s="1"/>
  <c r="CA45" i="1" s="1"/>
  <c r="BY47" i="1"/>
  <c r="BY46" i="1" s="1"/>
  <c r="BY45" i="1" s="1"/>
  <c r="BW47" i="1"/>
  <c r="BW46" i="1" s="1"/>
  <c r="BW45" i="1" s="1"/>
  <c r="BU47" i="1"/>
  <c r="BU46" i="1" s="1"/>
  <c r="BU45" i="1" s="1"/>
  <c r="BS47" i="1"/>
  <c r="BS46" i="1" s="1"/>
  <c r="BS45" i="1" s="1"/>
  <c r="BQ47" i="1"/>
  <c r="BQ46" i="1" s="1"/>
  <c r="BQ45" i="1" s="1"/>
  <c r="BO47" i="1"/>
  <c r="BO46" i="1" s="1"/>
  <c r="BO45" i="1" s="1"/>
  <c r="BM47" i="1"/>
  <c r="BM46" i="1" s="1"/>
  <c r="BM45" i="1" s="1"/>
  <c r="BK47" i="1"/>
  <c r="BK46" i="1" s="1"/>
  <c r="BK45" i="1" s="1"/>
  <c r="BI47" i="1"/>
  <c r="BI46" i="1" s="1"/>
  <c r="BI45" i="1" s="1"/>
  <c r="BG47" i="1"/>
  <c r="BG46" i="1" s="1"/>
  <c r="BG45" i="1" s="1"/>
  <c r="BE47" i="1"/>
  <c r="BE46" i="1" s="1"/>
  <c r="BE45" i="1" s="1"/>
  <c r="BC47" i="1"/>
  <c r="BC46" i="1" s="1"/>
  <c r="BC45" i="1" s="1"/>
  <c r="BA47" i="1"/>
  <c r="BA46" i="1" s="1"/>
  <c r="BA45" i="1" s="1"/>
  <c r="AY47" i="1"/>
  <c r="AY46" i="1" s="1"/>
  <c r="AY45" i="1" s="1"/>
  <c r="AW47" i="1"/>
  <c r="AW46" i="1" s="1"/>
  <c r="AW45" i="1" s="1"/>
  <c r="AU47" i="1"/>
  <c r="AU46" i="1" s="1"/>
  <c r="AU45" i="1" s="1"/>
  <c r="AS47" i="1"/>
  <c r="AS46" i="1" s="1"/>
  <c r="AS45" i="1" s="1"/>
  <c r="AQ47" i="1"/>
  <c r="AQ46" i="1" s="1"/>
  <c r="AQ45" i="1" s="1"/>
  <c r="AO47" i="1"/>
  <c r="AO46" i="1" s="1"/>
  <c r="AO45" i="1" s="1"/>
  <c r="AM47" i="1"/>
  <c r="AM46" i="1" s="1"/>
  <c r="AM45" i="1" s="1"/>
  <c r="AK47" i="1"/>
  <c r="AK46" i="1" s="1"/>
  <c r="AK45" i="1" s="1"/>
  <c r="AI47" i="1"/>
  <c r="AI46" i="1" s="1"/>
  <c r="AI45" i="1" s="1"/>
  <c r="AG47" i="1"/>
  <c r="AG46" i="1" s="1"/>
  <c r="AG45" i="1" s="1"/>
  <c r="AE47" i="1"/>
  <c r="AE46" i="1" s="1"/>
  <c r="AE45" i="1" s="1"/>
  <c r="AC47" i="1"/>
  <c r="AC46" i="1" s="1"/>
  <c r="AC45" i="1" s="1"/>
  <c r="AA47" i="1"/>
  <c r="AA46" i="1" s="1"/>
  <c r="AA45" i="1" s="1"/>
  <c r="Y47" i="1"/>
  <c r="Y46" i="1" s="1"/>
  <c r="Y45" i="1" s="1"/>
  <c r="W47" i="1"/>
  <c r="W46" i="1" s="1"/>
  <c r="W45" i="1" s="1"/>
  <c r="U47" i="1"/>
  <c r="U46" i="1" s="1"/>
  <c r="U45" i="1" s="1"/>
  <c r="S47" i="1"/>
  <c r="S46" i="1" s="1"/>
  <c r="S45" i="1" s="1"/>
  <c r="Q47" i="1"/>
  <c r="Q46" i="1" s="1"/>
  <c r="Q45" i="1" s="1"/>
  <c r="O47" i="1"/>
  <c r="O46" i="1" s="1"/>
  <c r="O45" i="1" s="1"/>
  <c r="M47" i="1"/>
  <c r="M46" i="1" s="1"/>
  <c r="M45" i="1" s="1"/>
  <c r="K47" i="1"/>
  <c r="K46" i="1" s="1"/>
  <c r="K45" i="1" s="1"/>
  <c r="M41" i="1"/>
  <c r="K41" i="1"/>
  <c r="J41" i="1"/>
  <c r="M39" i="1"/>
  <c r="K39" i="1"/>
  <c r="J39" i="1"/>
  <c r="CZ38" i="1"/>
  <c r="CZ14" i="1" s="1"/>
  <c r="CY38" i="1"/>
  <c r="CY37" i="1" s="1"/>
  <c r="CX38" i="1"/>
  <c r="CX14" i="1" s="1"/>
  <c r="CW38" i="1"/>
  <c r="CW37" i="1" s="1"/>
  <c r="CV38" i="1"/>
  <c r="CV14" i="1" s="1"/>
  <c r="CU38" i="1"/>
  <c r="CT38" i="1"/>
  <c r="CT14" i="1" s="1"/>
  <c r="CS38" i="1"/>
  <c r="CS37" i="1" s="1"/>
  <c r="CR38" i="1"/>
  <c r="CR14" i="1" s="1"/>
  <c r="CQ38" i="1"/>
  <c r="CP38" i="1"/>
  <c r="CP14" i="1" s="1"/>
  <c r="CO38" i="1"/>
  <c r="CO14" i="1" s="1"/>
  <c r="CN38" i="1"/>
  <c r="CN14" i="1" s="1"/>
  <c r="CM38" i="1"/>
  <c r="CL38" i="1"/>
  <c r="CL14" i="1" s="1"/>
  <c r="CK38" i="1"/>
  <c r="CK14" i="1" s="1"/>
  <c r="CJ38" i="1"/>
  <c r="CJ14" i="1" s="1"/>
  <c r="CI38" i="1"/>
  <c r="CH38" i="1"/>
  <c r="CH14" i="1" s="1"/>
  <c r="CG38" i="1"/>
  <c r="CG14" i="1" s="1"/>
  <c r="CF38" i="1"/>
  <c r="CF14" i="1" s="1"/>
  <c r="CE38" i="1"/>
  <c r="CE14" i="1" s="1"/>
  <c r="CD38" i="1"/>
  <c r="CD14" i="1" s="1"/>
  <c r="CC38" i="1"/>
  <c r="CC37" i="1" s="1"/>
  <c r="CB38" i="1"/>
  <c r="CB14" i="1" s="1"/>
  <c r="CA38" i="1"/>
  <c r="CA37" i="1" s="1"/>
  <c r="BZ38" i="1"/>
  <c r="BZ14" i="1" s="1"/>
  <c r="BY38" i="1"/>
  <c r="BY14" i="1" s="1"/>
  <c r="BX38" i="1"/>
  <c r="BX14" i="1" s="1"/>
  <c r="BW38" i="1"/>
  <c r="BV38" i="1"/>
  <c r="BV14" i="1" s="1"/>
  <c r="BU38" i="1"/>
  <c r="BU14" i="1" s="1"/>
  <c r="BT38" i="1"/>
  <c r="BT14" i="1" s="1"/>
  <c r="BS38" i="1"/>
  <c r="BR38" i="1"/>
  <c r="BR14" i="1" s="1"/>
  <c r="BQ38" i="1"/>
  <c r="BQ37" i="1" s="1"/>
  <c r="BP38" i="1"/>
  <c r="BP14" i="1" s="1"/>
  <c r="BO38" i="1"/>
  <c r="BO14" i="1" s="1"/>
  <c r="BN38" i="1"/>
  <c r="BN14" i="1" s="1"/>
  <c r="BM38" i="1"/>
  <c r="BM37" i="1" s="1"/>
  <c r="BL38" i="1"/>
  <c r="BL14" i="1" s="1"/>
  <c r="BK38" i="1"/>
  <c r="BJ38" i="1"/>
  <c r="BJ14" i="1" s="1"/>
  <c r="BI38" i="1"/>
  <c r="BI14" i="1" s="1"/>
  <c r="BH38" i="1"/>
  <c r="BH14" i="1" s="1"/>
  <c r="BG38" i="1"/>
  <c r="BG37" i="1" s="1"/>
  <c r="BF38" i="1"/>
  <c r="BF14" i="1" s="1"/>
  <c r="BE38" i="1"/>
  <c r="BE14" i="1" s="1"/>
  <c r="BD38" i="1"/>
  <c r="BD14" i="1" s="1"/>
  <c r="BC38" i="1"/>
  <c r="BC37" i="1" s="1"/>
  <c r="BB38" i="1"/>
  <c r="BB14" i="1" s="1"/>
  <c r="BA38" i="1"/>
  <c r="BA37" i="1" s="1"/>
  <c r="AZ38" i="1"/>
  <c r="AZ14" i="1" s="1"/>
  <c r="AY38" i="1"/>
  <c r="AY37" i="1" s="1"/>
  <c r="AX38" i="1"/>
  <c r="AX14" i="1" s="1"/>
  <c r="AW38" i="1"/>
  <c r="AW37" i="1" s="1"/>
  <c r="AV38" i="1"/>
  <c r="AV14" i="1" s="1"/>
  <c r="AU38" i="1"/>
  <c r="AT38" i="1"/>
  <c r="AT14" i="1" s="1"/>
  <c r="AS38" i="1"/>
  <c r="AS14" i="1" s="1"/>
  <c r="AR38" i="1"/>
  <c r="AR14" i="1" s="1"/>
  <c r="AQ38" i="1"/>
  <c r="AP38" i="1"/>
  <c r="AP14" i="1" s="1"/>
  <c r="AO38" i="1"/>
  <c r="AO14" i="1" s="1"/>
  <c r="AN38" i="1"/>
  <c r="AN14" i="1" s="1"/>
  <c r="AM38" i="1"/>
  <c r="AL38" i="1"/>
  <c r="AL14" i="1" s="1"/>
  <c r="AK38" i="1"/>
  <c r="AK14" i="1" s="1"/>
  <c r="AJ38" i="1"/>
  <c r="AJ14" i="1" s="1"/>
  <c r="AI38" i="1"/>
  <c r="AI14" i="1" s="1"/>
  <c r="AH38" i="1"/>
  <c r="AH14" i="1" s="1"/>
  <c r="AG38" i="1"/>
  <c r="AG37" i="1" s="1"/>
  <c r="AF38" i="1"/>
  <c r="AF14" i="1" s="1"/>
  <c r="AE38" i="1"/>
  <c r="AE37" i="1" s="1"/>
  <c r="AD38" i="1"/>
  <c r="AD14" i="1" s="1"/>
  <c r="AC38" i="1"/>
  <c r="AC14" i="1" s="1"/>
  <c r="AB38" i="1"/>
  <c r="AB14" i="1" s="1"/>
  <c r="AA38" i="1"/>
  <c r="Z38" i="1"/>
  <c r="Z14" i="1" s="1"/>
  <c r="Y38" i="1"/>
  <c r="Y14" i="1" s="1"/>
  <c r="X38" i="1"/>
  <c r="X14" i="1" s="1"/>
  <c r="W38" i="1"/>
  <c r="V38" i="1"/>
  <c r="V14" i="1" s="1"/>
  <c r="U38" i="1"/>
  <c r="U37" i="1" s="1"/>
  <c r="T38" i="1"/>
  <c r="T14" i="1" s="1"/>
  <c r="S38" i="1"/>
  <c r="S14" i="1" s="1"/>
  <c r="R38" i="1"/>
  <c r="R14" i="1" s="1"/>
  <c r="Q38" i="1"/>
  <c r="Q37" i="1" s="1"/>
  <c r="P38" i="1"/>
  <c r="P14" i="1" s="1"/>
  <c r="O38" i="1"/>
  <c r="N38" i="1"/>
  <c r="N14" i="1" s="1"/>
  <c r="L38" i="1"/>
  <c r="L14" i="1" s="1"/>
  <c r="J22" i="1"/>
  <c r="I22" i="1"/>
  <c r="M20" i="1"/>
  <c r="I20" i="1" s="1"/>
  <c r="J20" i="1"/>
  <c r="AD19" i="1"/>
  <c r="AB19" i="1"/>
  <c r="M19" i="1"/>
  <c r="I19" i="1" s="1"/>
  <c r="X18" i="1"/>
  <c r="V18" i="1"/>
  <c r="V17" i="1" s="1"/>
  <c r="V13" i="1" s="1"/>
  <c r="I18" i="1"/>
  <c r="CZ17" i="1"/>
  <c r="CZ13" i="1" s="1"/>
  <c r="CY17" i="1"/>
  <c r="CY16" i="1" s="1"/>
  <c r="CX17" i="1"/>
  <c r="CX13" i="1" s="1"/>
  <c r="CW17" i="1"/>
  <c r="CW13" i="1" s="1"/>
  <c r="CV17" i="1"/>
  <c r="CV13" i="1" s="1"/>
  <c r="CU17" i="1"/>
  <c r="CT17" i="1"/>
  <c r="CT13" i="1" s="1"/>
  <c r="CS17" i="1"/>
  <c r="CR17" i="1"/>
  <c r="CR13" i="1" s="1"/>
  <c r="CQ17" i="1"/>
  <c r="CP17" i="1"/>
  <c r="CP13" i="1" s="1"/>
  <c r="CO17" i="1"/>
  <c r="CO13" i="1" s="1"/>
  <c r="CN17" i="1"/>
  <c r="CN13" i="1" s="1"/>
  <c r="CM17" i="1"/>
  <c r="CL17" i="1"/>
  <c r="CL13" i="1" s="1"/>
  <c r="CK17" i="1"/>
  <c r="CK16" i="1" s="1"/>
  <c r="CJ17" i="1"/>
  <c r="CJ13" i="1" s="1"/>
  <c r="CI17" i="1"/>
  <c r="CH17" i="1"/>
  <c r="CH13" i="1" s="1"/>
  <c r="CG17" i="1"/>
  <c r="CG13" i="1" s="1"/>
  <c r="CF17" i="1"/>
  <c r="CF13" i="1" s="1"/>
  <c r="CE17" i="1"/>
  <c r="CD17" i="1"/>
  <c r="CD13" i="1" s="1"/>
  <c r="CC17" i="1"/>
  <c r="CB17" i="1"/>
  <c r="CB13" i="1" s="1"/>
  <c r="CA17" i="1"/>
  <c r="CA16" i="1" s="1"/>
  <c r="BZ17" i="1"/>
  <c r="BZ13" i="1" s="1"/>
  <c r="BY17" i="1"/>
  <c r="BY13" i="1" s="1"/>
  <c r="BX17" i="1"/>
  <c r="BX13" i="1" s="1"/>
  <c r="BW17" i="1"/>
  <c r="BV17" i="1"/>
  <c r="BV13" i="1" s="1"/>
  <c r="BU17" i="1"/>
  <c r="BT17" i="1"/>
  <c r="BT13" i="1" s="1"/>
  <c r="BS17" i="1"/>
  <c r="BR17" i="1"/>
  <c r="BR13" i="1" s="1"/>
  <c r="BQ17" i="1"/>
  <c r="BQ13" i="1" s="1"/>
  <c r="BP17" i="1"/>
  <c r="BP13" i="1" s="1"/>
  <c r="BO17" i="1"/>
  <c r="BN17" i="1"/>
  <c r="BN13" i="1" s="1"/>
  <c r="BM17" i="1"/>
  <c r="BM16" i="1" s="1"/>
  <c r="BL17" i="1"/>
  <c r="BL13" i="1" s="1"/>
  <c r="BK17" i="1"/>
  <c r="BK16" i="1" s="1"/>
  <c r="BJ17" i="1"/>
  <c r="BJ13" i="1" s="1"/>
  <c r="BI17" i="1"/>
  <c r="BI13" i="1" s="1"/>
  <c r="BH17" i="1"/>
  <c r="BH13" i="1" s="1"/>
  <c r="BG17" i="1"/>
  <c r="BF17" i="1"/>
  <c r="BF13" i="1" s="1"/>
  <c r="BE17" i="1"/>
  <c r="BD17" i="1"/>
  <c r="BD13" i="1" s="1"/>
  <c r="BC17" i="1"/>
  <c r="BB17" i="1"/>
  <c r="BB13" i="1" s="1"/>
  <c r="BA17" i="1"/>
  <c r="BA13" i="1" s="1"/>
  <c r="AZ17" i="1"/>
  <c r="AZ13" i="1" s="1"/>
  <c r="AY17" i="1"/>
  <c r="AX17" i="1"/>
  <c r="AX13" i="1" s="1"/>
  <c r="AW17" i="1"/>
  <c r="AW16" i="1" s="1"/>
  <c r="AV17" i="1"/>
  <c r="AV13" i="1" s="1"/>
  <c r="AU17" i="1"/>
  <c r="AT17" i="1"/>
  <c r="AT13" i="1" s="1"/>
  <c r="AS17" i="1"/>
  <c r="AS13" i="1" s="1"/>
  <c r="AR17" i="1"/>
  <c r="AR13" i="1" s="1"/>
  <c r="AQ17" i="1"/>
  <c r="AP17" i="1"/>
  <c r="AP13" i="1" s="1"/>
  <c r="AO17" i="1"/>
  <c r="AO13" i="1" s="1"/>
  <c r="AN17" i="1"/>
  <c r="AN13" i="1" s="1"/>
  <c r="AM17" i="1"/>
  <c r="AM16" i="1" s="1"/>
  <c r="AL17" i="1"/>
  <c r="AL13" i="1" s="1"/>
  <c r="AK17" i="1"/>
  <c r="AK13" i="1" s="1"/>
  <c r="AJ17" i="1"/>
  <c r="AJ13" i="1" s="1"/>
  <c r="AI17" i="1"/>
  <c r="AH17" i="1"/>
  <c r="AH13" i="1" s="1"/>
  <c r="AG17" i="1"/>
  <c r="AF17" i="1"/>
  <c r="AF13" i="1" s="1"/>
  <c r="AE17" i="1"/>
  <c r="AD17" i="1"/>
  <c r="AD13" i="1" s="1"/>
  <c r="AC17" i="1"/>
  <c r="AC13" i="1" s="1"/>
  <c r="AA17" i="1"/>
  <c r="AA16" i="1" s="1"/>
  <c r="Z17" i="1"/>
  <c r="Z13" i="1" s="1"/>
  <c r="Y17" i="1"/>
  <c r="Y16" i="1" s="1"/>
  <c r="W17" i="1"/>
  <c r="W16" i="1" s="1"/>
  <c r="U17" i="1"/>
  <c r="U13" i="1" s="1"/>
  <c r="T17" i="1"/>
  <c r="T13" i="1" s="1"/>
  <c r="S17" i="1"/>
  <c r="S16" i="1" s="1"/>
  <c r="R17" i="1"/>
  <c r="R13" i="1" s="1"/>
  <c r="Q17" i="1"/>
  <c r="P17" i="1"/>
  <c r="P13" i="1" s="1"/>
  <c r="O17" i="1"/>
  <c r="N17" i="1"/>
  <c r="N13" i="1" s="1"/>
  <c r="L17" i="1"/>
  <c r="L13" i="1" s="1"/>
  <c r="K17" i="1"/>
  <c r="I5" i="1"/>
  <c r="CY4" i="1"/>
  <c r="CY295" i="1" s="1"/>
  <c r="CW4" i="1"/>
  <c r="CU4" i="1"/>
  <c r="CS4" i="1"/>
  <c r="I4" i="1"/>
  <c r="I3" i="1"/>
  <c r="I2" i="1"/>
  <c r="AF381" i="1" l="1"/>
  <c r="N381" i="1"/>
  <c r="AD381" i="1"/>
  <c r="BJ381" i="1"/>
  <c r="AT381" i="1"/>
  <c r="BZ381" i="1"/>
  <c r="BP184" i="1"/>
  <c r="P381" i="1"/>
  <c r="CP381" i="1"/>
  <c r="I75" i="1"/>
  <c r="I263" i="1"/>
  <c r="BI249" i="1"/>
  <c r="BI73" i="1" s="1"/>
  <c r="CO249" i="1"/>
  <c r="CO73" i="1" s="1"/>
  <c r="DJ126" i="1"/>
  <c r="BR405" i="1"/>
  <c r="BR403" i="1"/>
  <c r="CH404" i="1"/>
  <c r="CH403" i="1"/>
  <c r="W398" i="1"/>
  <c r="X403" i="1"/>
  <c r="AM249" i="1"/>
  <c r="AM73" i="1" s="1"/>
  <c r="AN403" i="1"/>
  <c r="BC249" i="1"/>
  <c r="BC73" i="1" s="1"/>
  <c r="BC70" i="1" s="1"/>
  <c r="BD403" i="1"/>
  <c r="BT404" i="1"/>
  <c r="BT403" i="1"/>
  <c r="CJ405" i="1"/>
  <c r="CJ403" i="1"/>
  <c r="Y398" i="1"/>
  <c r="Z403" i="1"/>
  <c r="AP401" i="1"/>
  <c r="AP403" i="1"/>
  <c r="BE398" i="1"/>
  <c r="BF403" i="1"/>
  <c r="BV404" i="1"/>
  <c r="BV403" i="1"/>
  <c r="CL404" i="1"/>
  <c r="CL403" i="1"/>
  <c r="K398" i="1"/>
  <c r="L403" i="1"/>
  <c r="AA398" i="1"/>
  <c r="AB403" i="1"/>
  <c r="AQ398" i="1"/>
  <c r="AR403" i="1"/>
  <c r="BG398" i="1"/>
  <c r="BH403" i="1"/>
  <c r="BX405" i="1"/>
  <c r="BX403" i="1"/>
  <c r="CN405" i="1"/>
  <c r="CN403" i="1"/>
  <c r="N401" i="1"/>
  <c r="N403" i="1"/>
  <c r="AT401" i="1"/>
  <c r="AT403" i="1"/>
  <c r="BZ404" i="1"/>
  <c r="BZ403" i="1"/>
  <c r="O249" i="1"/>
  <c r="O73" i="1" s="1"/>
  <c r="O70" i="1" s="1"/>
  <c r="P403" i="1"/>
  <c r="AE249" i="1"/>
  <c r="AE73" i="1" s="1"/>
  <c r="AF403" i="1"/>
  <c r="CA249" i="1"/>
  <c r="CA73" i="1" s="1"/>
  <c r="CB403" i="1"/>
  <c r="AH401" i="1"/>
  <c r="AH403" i="1"/>
  <c r="BS249" i="1"/>
  <c r="BS73" i="1" s="1"/>
  <c r="BG249" i="1"/>
  <c r="BG73" i="1" s="1"/>
  <c r="BW249" i="1"/>
  <c r="BW73" i="1" s="1"/>
  <c r="M249" i="1"/>
  <c r="M73" i="1" s="1"/>
  <c r="BY249" i="1"/>
  <c r="BY73" i="1" s="1"/>
  <c r="DH126" i="1"/>
  <c r="AC249" i="1"/>
  <c r="AC73" i="1" s="1"/>
  <c r="AA249" i="1"/>
  <c r="AA73" i="1" s="1"/>
  <c r="AS249" i="1"/>
  <c r="AS73" i="1" s="1"/>
  <c r="BB381" i="1"/>
  <c r="M224" i="1"/>
  <c r="M71" i="1" s="1"/>
  <c r="DD126" i="1"/>
  <c r="CE250" i="1"/>
  <c r="CM224" i="1"/>
  <c r="CM71" i="1" s="1"/>
  <c r="U77" i="1"/>
  <c r="DA248" i="1"/>
  <c r="J391" i="1"/>
  <c r="J392" i="1"/>
  <c r="J394" i="1"/>
  <c r="J393" i="1"/>
  <c r="CG237" i="1"/>
  <c r="U87" i="1"/>
  <c r="I256" i="1"/>
  <c r="U89" i="1"/>
  <c r="I89" i="1" s="1"/>
  <c r="AS398" i="1"/>
  <c r="DA70" i="1"/>
  <c r="DA69" i="1" s="1"/>
  <c r="BG250" i="1"/>
  <c r="I96" i="1"/>
  <c r="M279" i="1"/>
  <c r="CW46" i="1"/>
  <c r="CW45" i="1" s="1"/>
  <c r="CM76" i="1"/>
  <c r="CN80" i="1" s="1"/>
  <c r="W13" i="1"/>
  <c r="CY46" i="1"/>
  <c r="CY45" i="1" s="1"/>
  <c r="CZ282" i="1"/>
  <c r="CZ280" i="1" s="1"/>
  <c r="BC331" i="1"/>
  <c r="CM315" i="1"/>
  <c r="AC280" i="1"/>
  <c r="AC224" i="1" s="1"/>
  <c r="AC71" i="1" s="1"/>
  <c r="AN12" i="1"/>
  <c r="BL12" i="1"/>
  <c r="BU224" i="1"/>
  <c r="BU71" i="1" s="1"/>
  <c r="AY280" i="1"/>
  <c r="AY279" i="1" s="1"/>
  <c r="I101" i="1"/>
  <c r="BC250" i="1"/>
  <c r="CG295" i="1"/>
  <c r="BZ281" i="1"/>
  <c r="CM249" i="1"/>
  <c r="CM73" i="1" s="1"/>
  <c r="AG398" i="1"/>
  <c r="BE249" i="1"/>
  <c r="BE73" i="1" s="1"/>
  <c r="W279" i="1"/>
  <c r="AE280" i="1"/>
  <c r="AE279" i="1" s="1"/>
  <c r="K249" i="1"/>
  <c r="K73" i="1" s="1"/>
  <c r="AG280" i="1"/>
  <c r="AH287" i="1" s="1"/>
  <c r="BU249" i="1"/>
  <c r="BU73" i="1" s="1"/>
  <c r="BO250" i="1"/>
  <c r="I343" i="1"/>
  <c r="BU279" i="1"/>
  <c r="BV282" i="1"/>
  <c r="BU238" i="1"/>
  <c r="BU236" i="1" s="1"/>
  <c r="CK238" i="1"/>
  <c r="CK236" i="1" s="1"/>
  <c r="AA137" i="1"/>
  <c r="BW137" i="1"/>
  <c r="BX282" i="1"/>
  <c r="CM237" i="1"/>
  <c r="CJ282" i="1"/>
  <c r="CL282" i="1"/>
  <c r="DB400" i="1"/>
  <c r="BQ16" i="1"/>
  <c r="Q137" i="1"/>
  <c r="S224" i="1"/>
  <c r="S71" i="1" s="1"/>
  <c r="BX281" i="1"/>
  <c r="CN282" i="1"/>
  <c r="AP285" i="1"/>
  <c r="W224" i="1"/>
  <c r="W71" i="1" s="1"/>
  <c r="DA223" i="1"/>
  <c r="AO224" i="1"/>
  <c r="AO71" i="1" s="1"/>
  <c r="CB281" i="1"/>
  <c r="DF126" i="1"/>
  <c r="CZ118" i="1"/>
  <c r="BQ280" i="1"/>
  <c r="BQ293" i="1" s="1"/>
  <c r="BQ292" i="1" s="1"/>
  <c r="AO16" i="1"/>
  <c r="AS137" i="1"/>
  <c r="BI137" i="1"/>
  <c r="BM13" i="1"/>
  <c r="BI16" i="1"/>
  <c r="CO398" i="1"/>
  <c r="AF120" i="1"/>
  <c r="S238" i="1"/>
  <c r="S236" i="1" s="1"/>
  <c r="AD401" i="1"/>
  <c r="AD400" i="1" s="1"/>
  <c r="CO16" i="1"/>
  <c r="BE250" i="1"/>
  <c r="BO224" i="1"/>
  <c r="BO71" i="1" s="1"/>
  <c r="BO279" i="1"/>
  <c r="BW76" i="1"/>
  <c r="BX78" i="1" s="1"/>
  <c r="AZ129" i="1"/>
  <c r="CO237" i="1"/>
  <c r="W249" i="1"/>
  <c r="W73" i="1" s="1"/>
  <c r="CO315" i="1"/>
  <c r="U16" i="1"/>
  <c r="BX130" i="1"/>
  <c r="AI138" i="1"/>
  <c r="CH184" i="1"/>
  <c r="AM280" i="1"/>
  <c r="AM224" i="1" s="1"/>
  <c r="AM71" i="1" s="1"/>
  <c r="CI295" i="1"/>
  <c r="AC16" i="1"/>
  <c r="CT186" i="1"/>
  <c r="BY237" i="1"/>
  <c r="AQ280" i="1"/>
  <c r="AQ294" i="1" s="1"/>
  <c r="Y37" i="1"/>
  <c r="CC237" i="1"/>
  <c r="I400" i="1"/>
  <c r="AZ12" i="1"/>
  <c r="I49" i="1"/>
  <c r="AV120" i="1"/>
  <c r="CI249" i="1"/>
  <c r="CI73" i="1" s="1"/>
  <c r="CU250" i="1"/>
  <c r="AS280" i="1"/>
  <c r="AT282" i="1" s="1"/>
  <c r="AE14" i="1"/>
  <c r="I107" i="1"/>
  <c r="CX116" i="1"/>
  <c r="CP128" i="1"/>
  <c r="CI237" i="1"/>
  <c r="BK280" i="1"/>
  <c r="BL281" i="1" s="1"/>
  <c r="M398" i="1"/>
  <c r="AV12" i="1"/>
  <c r="CA224" i="1"/>
  <c r="CA71" i="1" s="1"/>
  <c r="CA279" i="1"/>
  <c r="BS238" i="1"/>
  <c r="BS236" i="1" s="1"/>
  <c r="CI238" i="1"/>
  <c r="CY238" i="1"/>
  <c r="CY236" i="1" s="1"/>
  <c r="BX116" i="1"/>
  <c r="CW250" i="1"/>
  <c r="J38" i="1"/>
  <c r="CR116" i="1"/>
  <c r="AR131" i="1"/>
  <c r="AA138" i="1"/>
  <c r="AK224" i="1"/>
  <c r="AK71" i="1" s="1"/>
  <c r="AY250" i="1"/>
  <c r="CY250" i="1"/>
  <c r="CS280" i="1"/>
  <c r="CT285" i="1" s="1"/>
  <c r="BN287" i="1"/>
  <c r="CS315" i="1"/>
  <c r="AM325" i="1"/>
  <c r="CY331" i="1"/>
  <c r="AC398" i="1"/>
  <c r="BZ401" i="1"/>
  <c r="CB12" i="1"/>
  <c r="AP129" i="1"/>
  <c r="BA250" i="1"/>
  <c r="K279" i="1"/>
  <c r="BG331" i="1"/>
  <c r="BW331" i="1"/>
  <c r="I332" i="1"/>
  <c r="BE331" i="1"/>
  <c r="BU331" i="1"/>
  <c r="CI137" i="1"/>
  <c r="BH127" i="1"/>
  <c r="BL129" i="1"/>
  <c r="K137" i="1"/>
  <c r="BK249" i="1"/>
  <c r="BK73" i="1" s="1"/>
  <c r="M294" i="1"/>
  <c r="M297" i="1" s="1"/>
  <c r="BI398" i="1"/>
  <c r="L12" i="1"/>
  <c r="W107" i="1"/>
  <c r="CL127" i="1"/>
  <c r="AQ137" i="1"/>
  <c r="BG137" i="1"/>
  <c r="CM137" i="1"/>
  <c r="J150" i="1"/>
  <c r="J162" i="1"/>
  <c r="BY225" i="1"/>
  <c r="CO225" i="1"/>
  <c r="CW225" i="1"/>
  <c r="CQ249" i="1"/>
  <c r="CQ73" i="1" s="1"/>
  <c r="AQ250" i="1"/>
  <c r="CQ250" i="1"/>
  <c r="CB287" i="1"/>
  <c r="BW295" i="1"/>
  <c r="CQ331" i="1"/>
  <c r="BY398" i="1"/>
  <c r="CE37" i="1"/>
  <c r="I376" i="1"/>
  <c r="CK13" i="1"/>
  <c r="CK12" i="1" s="1"/>
  <c r="CK11" i="1" s="1"/>
  <c r="CW16" i="1"/>
  <c r="N12" i="1"/>
  <c r="BR12" i="1"/>
  <c r="BT118" i="1"/>
  <c r="CN127" i="1"/>
  <c r="BL130" i="1"/>
  <c r="AK279" i="1"/>
  <c r="AP282" i="1"/>
  <c r="AU280" i="1"/>
  <c r="AU279" i="1" s="1"/>
  <c r="BS280" i="1"/>
  <c r="BS224" i="1" s="1"/>
  <c r="BS71" i="1" s="1"/>
  <c r="BY295" i="1"/>
  <c r="CI398" i="1"/>
  <c r="AY14" i="1"/>
  <c r="T12" i="1"/>
  <c r="BQ250" i="1"/>
  <c r="CG250" i="1"/>
  <c r="AU249" i="1"/>
  <c r="AU73" i="1" s="1"/>
  <c r="BW293" i="1"/>
  <c r="BW292" i="1" s="1"/>
  <c r="BW279" i="1"/>
  <c r="K16" i="1"/>
  <c r="K13" i="1"/>
  <c r="AE16" i="1"/>
  <c r="AE13" i="1"/>
  <c r="BC16" i="1"/>
  <c r="BC13" i="1"/>
  <c r="BS16" i="1"/>
  <c r="BS13" i="1"/>
  <c r="CQ16" i="1"/>
  <c r="CQ13" i="1"/>
  <c r="O37" i="1"/>
  <c r="O14" i="1"/>
  <c r="AM37" i="1"/>
  <c r="AM14" i="1"/>
  <c r="BK37" i="1"/>
  <c r="BK14" i="1"/>
  <c r="CI37" i="1"/>
  <c r="CI14" i="1"/>
  <c r="BW224" i="1"/>
  <c r="BW71" i="1" s="1"/>
  <c r="Y13" i="1"/>
  <c r="Y12" i="1" s="1"/>
  <c r="Y11" i="1" s="1"/>
  <c r="AW13" i="1"/>
  <c r="CP12" i="1"/>
  <c r="BD12" i="1"/>
  <c r="BT12" i="1"/>
  <c r="P12" i="1"/>
  <c r="AK138" i="1"/>
  <c r="AL143" i="1"/>
  <c r="AK137" i="1" s="1"/>
  <c r="BY137" i="1"/>
  <c r="CO137" i="1"/>
  <c r="CV184" i="1"/>
  <c r="CV187" i="1"/>
  <c r="CV185" i="1"/>
  <c r="CU331" i="1"/>
  <c r="BB131" i="1"/>
  <c r="BB128" i="1"/>
  <c r="CR187" i="1"/>
  <c r="CR184" i="1"/>
  <c r="CI16" i="1"/>
  <c r="CI13" i="1"/>
  <c r="W37" i="1"/>
  <c r="W14" i="1"/>
  <c r="BS37" i="1"/>
  <c r="BS14" i="1"/>
  <c r="CA14" i="1"/>
  <c r="BE16" i="1"/>
  <c r="BE13" i="1"/>
  <c r="BE12" i="1" s="1"/>
  <c r="BE11" i="1" s="1"/>
  <c r="BU13" i="1"/>
  <c r="BU12" i="1" s="1"/>
  <c r="BU11" i="1" s="1"/>
  <c r="BU16" i="1"/>
  <c r="CE145" i="1"/>
  <c r="CF116" i="1"/>
  <c r="CA13" i="1"/>
  <c r="O16" i="1"/>
  <c r="O13" i="1"/>
  <c r="AO137" i="1"/>
  <c r="BU137" i="1"/>
  <c r="BK13" i="1"/>
  <c r="M137" i="1"/>
  <c r="CG225" i="1"/>
  <c r="I41" i="1"/>
  <c r="BN184" i="1"/>
  <c r="BN186" i="1"/>
  <c r="AU16" i="1"/>
  <c r="AU13" i="1"/>
  <c r="AU37" i="1"/>
  <c r="AU14" i="1"/>
  <c r="CQ37" i="1"/>
  <c r="CQ14" i="1"/>
  <c r="BZ12" i="1"/>
  <c r="AG13" i="1"/>
  <c r="AG16" i="1"/>
  <c r="CC16" i="1"/>
  <c r="CC13" i="1"/>
  <c r="CS16" i="1"/>
  <c r="CS13" i="1"/>
  <c r="CY76" i="1"/>
  <c r="CY74" i="1" s="1"/>
  <c r="AJ120" i="1"/>
  <c r="AJ116" i="1"/>
  <c r="BB12" i="1"/>
  <c r="CY13" i="1"/>
  <c r="BE137" i="1"/>
  <c r="AM13" i="1"/>
  <c r="BC14" i="1"/>
  <c r="AD143" i="1"/>
  <c r="AC137" i="1" s="1"/>
  <c r="AC138" i="1"/>
  <c r="S249" i="1"/>
  <c r="AI249" i="1"/>
  <c r="AI73" i="1" s="1"/>
  <c r="AZ401" i="1"/>
  <c r="AY249" i="1"/>
  <c r="AY73" i="1" s="1"/>
  <c r="BO249" i="1"/>
  <c r="BO73" i="1" s="1"/>
  <c r="CE249" i="1"/>
  <c r="CE73" i="1" s="1"/>
  <c r="CF401" i="1"/>
  <c r="CU249" i="1"/>
  <c r="CU73" i="1" s="1"/>
  <c r="CK76" i="1"/>
  <c r="CL89" i="1" s="1"/>
  <c r="BO238" i="1"/>
  <c r="BO236" i="1" s="1"/>
  <c r="CE238" i="1"/>
  <c r="CU238" i="1"/>
  <c r="CU236" i="1" s="1"/>
  <c r="CR119" i="1"/>
  <c r="J156" i="1"/>
  <c r="CF185" i="1"/>
  <c r="CS250" i="1"/>
  <c r="CH287" i="1"/>
  <c r="I357" i="1"/>
  <c r="CK398" i="1"/>
  <c r="AU250" i="1"/>
  <c r="BU293" i="1"/>
  <c r="BU299" i="1" s="1"/>
  <c r="AU331" i="1"/>
  <c r="BK331" i="1"/>
  <c r="CA331" i="1"/>
  <c r="AG331" i="1"/>
  <c r="AW331" i="1"/>
  <c r="BM331" i="1"/>
  <c r="AO398" i="1"/>
  <c r="Z401" i="1"/>
  <c r="CG224" i="1"/>
  <c r="CG71" i="1" s="1"/>
  <c r="CI294" i="1"/>
  <c r="CI296" i="1" s="1"/>
  <c r="CJ285" i="1"/>
  <c r="CJ287" i="1"/>
  <c r="CJ281" i="1"/>
  <c r="CE280" i="1"/>
  <c r="CF285" i="1" s="1"/>
  <c r="AI331" i="1"/>
  <c r="AY331" i="1"/>
  <c r="BO331" i="1"/>
  <c r="AD12" i="1"/>
  <c r="AS225" i="1"/>
  <c r="AZ128" i="1"/>
  <c r="BH12" i="1"/>
  <c r="CF12" i="1"/>
  <c r="BU37" i="1"/>
  <c r="AM225" i="1"/>
  <c r="BW238" i="1"/>
  <c r="CM238" i="1"/>
  <c r="AP117" i="1"/>
  <c r="BX120" i="1"/>
  <c r="CF129" i="1"/>
  <c r="BJ131" i="1"/>
  <c r="BC137" i="1"/>
  <c r="CF187" i="1"/>
  <c r="CI224" i="1"/>
  <c r="CI71" i="1" s="1"/>
  <c r="W226" i="1"/>
  <c r="Y226" i="1" s="1"/>
  <c r="Y77" i="1" s="1"/>
  <c r="CI225" i="1"/>
  <c r="CU225" i="1"/>
  <c r="AO249" i="1"/>
  <c r="AO73" i="1" s="1"/>
  <c r="CL281" i="1"/>
  <c r="CL287" i="1"/>
  <c r="CL285" i="1"/>
  <c r="AW280" i="1"/>
  <c r="AW224" i="1" s="1"/>
  <c r="AW71" i="1" s="1"/>
  <c r="CU280" i="1"/>
  <c r="CV287" i="1" s="1"/>
  <c r="BS331" i="1"/>
  <c r="BS398" i="1"/>
  <c r="CN404" i="1"/>
  <c r="CP405" i="1"/>
  <c r="U88" i="1"/>
  <c r="BU250" i="1"/>
  <c r="CK250" i="1"/>
  <c r="BX117" i="1"/>
  <c r="AF119" i="1"/>
  <c r="AP127" i="1"/>
  <c r="BP128" i="1"/>
  <c r="U137" i="1"/>
  <c r="AU137" i="1"/>
  <c r="BK137" i="1"/>
  <c r="CA137" i="1"/>
  <c r="CQ137" i="1"/>
  <c r="U225" i="1"/>
  <c r="BW237" i="1"/>
  <c r="Q238" i="1"/>
  <c r="Q236" i="1" s="1"/>
  <c r="AQ249" i="1"/>
  <c r="AQ73" i="1" s="1"/>
  <c r="CN287" i="1"/>
  <c r="CN285" i="1"/>
  <c r="CN281" i="1"/>
  <c r="CC295" i="1"/>
  <c r="BU398" i="1"/>
  <c r="CP404" i="1"/>
  <c r="CG293" i="1"/>
  <c r="CG292" i="1" s="1"/>
  <c r="CH285" i="1"/>
  <c r="CH281" i="1"/>
  <c r="CQ280" i="1"/>
  <c r="CR287" i="1" s="1"/>
  <c r="BI225" i="1"/>
  <c r="CH12" i="1"/>
  <c r="AK16" i="1"/>
  <c r="BJ12" i="1"/>
  <c r="AR12" i="1"/>
  <c r="CA238" i="1"/>
  <c r="BV119" i="1"/>
  <c r="CF128" i="1"/>
  <c r="I163" i="1"/>
  <c r="I360" i="1" s="1"/>
  <c r="BG213" i="1"/>
  <c r="K224" i="1"/>
  <c r="K71" i="1" s="1"/>
  <c r="I240" i="1"/>
  <c r="Y249" i="1"/>
  <c r="Y73" i="1" s="1"/>
  <c r="Y70" i="1" s="1"/>
  <c r="CK249" i="1"/>
  <c r="CK73" i="1" s="1"/>
  <c r="AO279" i="1"/>
  <c r="CI279" i="1"/>
  <c r="CC280" i="1"/>
  <c r="CD287" i="1" s="1"/>
  <c r="CC331" i="1"/>
  <c r="CI331" i="1"/>
  <c r="BF401" i="1"/>
  <c r="CJ12" i="1"/>
  <c r="I39" i="1"/>
  <c r="BG14" i="1"/>
  <c r="AA14" i="1"/>
  <c r="AA37" i="1"/>
  <c r="BW37" i="1"/>
  <c r="BW14" i="1"/>
  <c r="CM37" i="1"/>
  <c r="CM14" i="1"/>
  <c r="AF12" i="1"/>
  <c r="AT12" i="1"/>
  <c r="CR12" i="1"/>
  <c r="AI16" i="1"/>
  <c r="AI13" i="1"/>
  <c r="AI12" i="1" s="1"/>
  <c r="AI11" i="1" s="1"/>
  <c r="AQ16" i="1"/>
  <c r="AQ13" i="1"/>
  <c r="AY16" i="1"/>
  <c r="AY13" i="1"/>
  <c r="BG16" i="1"/>
  <c r="BG13" i="1"/>
  <c r="BO16" i="1"/>
  <c r="BO13" i="1"/>
  <c r="BO12" i="1" s="1"/>
  <c r="BO11" i="1" s="1"/>
  <c r="BW16" i="1"/>
  <c r="BW13" i="1"/>
  <c r="CE16" i="1"/>
  <c r="CE13" i="1"/>
  <c r="CE12" i="1" s="1"/>
  <c r="CE11" i="1" s="1"/>
  <c r="CM16" i="1"/>
  <c r="CM13" i="1"/>
  <c r="CU16" i="1"/>
  <c r="CU13" i="1"/>
  <c r="J18" i="1"/>
  <c r="X17" i="1"/>
  <c r="X13" i="1" s="1"/>
  <c r="X12" i="1" s="1"/>
  <c r="S37" i="1"/>
  <c r="U294" i="1"/>
  <c r="U291" i="1" s="1"/>
  <c r="U279" i="1"/>
  <c r="U224" i="1"/>
  <c r="U71" i="1" s="1"/>
  <c r="V285" i="1"/>
  <c r="J384" i="1"/>
  <c r="CU37" i="1"/>
  <c r="CU14" i="1"/>
  <c r="Q16" i="1"/>
  <c r="Q13" i="1"/>
  <c r="BX12" i="1"/>
  <c r="CV12" i="1"/>
  <c r="AI37" i="1"/>
  <c r="AQ14" i="1"/>
  <c r="AQ37" i="1"/>
  <c r="AJ12" i="1"/>
  <c r="BP12" i="1"/>
  <c r="CN12" i="1"/>
  <c r="I47" i="1"/>
  <c r="AD131" i="1"/>
  <c r="AD118" i="1"/>
  <c r="AD128" i="1"/>
  <c r="AD116" i="1"/>
  <c r="BZ118" i="1"/>
  <c r="BZ116" i="1"/>
  <c r="AL12" i="1"/>
  <c r="CX12" i="1"/>
  <c r="BO37" i="1"/>
  <c r="BT186" i="1"/>
  <c r="BT184" i="1"/>
  <c r="BT185" i="1"/>
  <c r="BT187" i="1"/>
  <c r="CE76" i="1"/>
  <c r="CF82" i="1" s="1"/>
  <c r="CQ239" i="1"/>
  <c r="CQ238" i="1" s="1"/>
  <c r="CX187" i="1"/>
  <c r="CX184" i="1"/>
  <c r="CE225" i="1"/>
  <c r="CK293" i="1"/>
  <c r="CK298" i="1" s="1"/>
  <c r="CK224" i="1"/>
  <c r="CK71" i="1" s="1"/>
  <c r="CK279" i="1"/>
  <c r="BZ287" i="1"/>
  <c r="BY280" i="1"/>
  <c r="BY294" i="1" s="1"/>
  <c r="BY296" i="1" s="1"/>
  <c r="AQ331" i="1"/>
  <c r="CO331" i="1"/>
  <c r="J19" i="1"/>
  <c r="M38" i="1"/>
  <c r="M14" i="1" s="1"/>
  <c r="AC12" i="1"/>
  <c r="AC11" i="1" s="1"/>
  <c r="AK12" i="1"/>
  <c r="AK11" i="1" s="1"/>
  <c r="AS12" i="1"/>
  <c r="AS11" i="1" s="1"/>
  <c r="BI12" i="1"/>
  <c r="BI11" i="1" s="1"/>
  <c r="BY12" i="1"/>
  <c r="BY11" i="1" s="1"/>
  <c r="CG12" i="1"/>
  <c r="CG11" i="1" s="1"/>
  <c r="CO12" i="1"/>
  <c r="CO11" i="1" s="1"/>
  <c r="I72" i="1"/>
  <c r="CS239" i="1"/>
  <c r="CS238" i="1" s="1"/>
  <c r="CS236" i="1" s="1"/>
  <c r="CS76" i="1"/>
  <c r="AX119" i="1"/>
  <c r="AX117" i="1"/>
  <c r="AX130" i="1"/>
  <c r="AX129" i="1"/>
  <c r="CD131" i="1"/>
  <c r="CD127" i="1"/>
  <c r="CD129" i="1"/>
  <c r="CT130" i="1"/>
  <c r="CT129" i="1"/>
  <c r="CT127" i="1"/>
  <c r="CV128" i="1"/>
  <c r="CV129" i="1"/>
  <c r="AG137" i="1"/>
  <c r="BG280" i="1"/>
  <c r="BH285" i="1" s="1"/>
  <c r="CM331" i="1"/>
  <c r="CK331" i="1"/>
  <c r="R401" i="1"/>
  <c r="Q249" i="1"/>
  <c r="Q73" i="1" s="1"/>
  <c r="Q398" i="1"/>
  <c r="AG249" i="1"/>
  <c r="AG73" i="1" s="1"/>
  <c r="AX401" i="1"/>
  <c r="AW249" i="1"/>
  <c r="AW73" i="1" s="1"/>
  <c r="AW398" i="1"/>
  <c r="BM249" i="1"/>
  <c r="BM73" i="1" s="1"/>
  <c r="BM70" i="1" s="1"/>
  <c r="BN401" i="1"/>
  <c r="CD404" i="1"/>
  <c r="CD405" i="1"/>
  <c r="CC398" i="1"/>
  <c r="CC249" i="1"/>
  <c r="CC73" i="1" s="1"/>
  <c r="CD401" i="1"/>
  <c r="CT401" i="1"/>
  <c r="CS249" i="1"/>
  <c r="CT404" i="1"/>
  <c r="CT405" i="1"/>
  <c r="CZ187" i="1"/>
  <c r="CZ186" i="1"/>
  <c r="CZ185" i="1"/>
  <c r="CZ184" i="1"/>
  <c r="K297" i="1"/>
  <c r="K291" i="1"/>
  <c r="CA315" i="1"/>
  <c r="CA295" i="1"/>
  <c r="CA237" i="1"/>
  <c r="CZ12" i="1"/>
  <c r="AS16" i="1"/>
  <c r="BY16" i="1"/>
  <c r="AO37" i="1"/>
  <c r="CK37" i="1"/>
  <c r="K38" i="1"/>
  <c r="K37" i="1" s="1"/>
  <c r="I46" i="1"/>
  <c r="I45" i="1" s="1"/>
  <c r="CQ76" i="1"/>
  <c r="CR89" i="1" s="1"/>
  <c r="BK225" i="1"/>
  <c r="AL131" i="1"/>
  <c r="AL130" i="1"/>
  <c r="AL128" i="1"/>
  <c r="CH131" i="1"/>
  <c r="CH128" i="1"/>
  <c r="CH130" i="1"/>
  <c r="CX131" i="1"/>
  <c r="CX130" i="1"/>
  <c r="CX128" i="1"/>
  <c r="I126" i="1"/>
  <c r="W137" i="1"/>
  <c r="AI137" i="1"/>
  <c r="AW137" i="1"/>
  <c r="BM137" i="1"/>
  <c r="CC137" i="1"/>
  <c r="CS137" i="1"/>
  <c r="CB187" i="1"/>
  <c r="CB184" i="1"/>
  <c r="CP187" i="1"/>
  <c r="CP184" i="1"/>
  <c r="AW250" i="1"/>
  <c r="AI280" i="1"/>
  <c r="BA280" i="1"/>
  <c r="BB281" i="1" s="1"/>
  <c r="AK331" i="1"/>
  <c r="V401" i="1"/>
  <c r="U249" i="1"/>
  <c r="U73" i="1" s="1"/>
  <c r="U398" i="1"/>
  <c r="AK249" i="1"/>
  <c r="AK73" i="1" s="1"/>
  <c r="AL401" i="1"/>
  <c r="AL400" i="1" s="1"/>
  <c r="AK398" i="1"/>
  <c r="BA249" i="1"/>
  <c r="BA73" i="1" s="1"/>
  <c r="BA398" i="1"/>
  <c r="BB401" i="1"/>
  <c r="BQ249" i="1"/>
  <c r="BQ73" i="1" s="1"/>
  <c r="BR401" i="1"/>
  <c r="BR404" i="1"/>
  <c r="BQ398" i="1"/>
  <c r="CG249" i="1"/>
  <c r="CG73" i="1" s="1"/>
  <c r="CH405" i="1"/>
  <c r="CG398" i="1"/>
  <c r="CH401" i="1"/>
  <c r="CY249" i="1"/>
  <c r="CY73" i="1" s="1"/>
  <c r="CY70" i="1" s="1"/>
  <c r="CY398" i="1"/>
  <c r="CQ315" i="1"/>
  <c r="CQ295" i="1"/>
  <c r="CQ237" i="1"/>
  <c r="I65" i="1"/>
  <c r="I252" i="1" s="1"/>
  <c r="I250" i="1" s="1"/>
  <c r="CU76" i="1"/>
  <c r="CU74" i="1" s="1"/>
  <c r="BW251" i="1"/>
  <c r="BW250" i="1" s="1"/>
  <c r="CM251" i="1"/>
  <c r="CM250" i="1" s="1"/>
  <c r="CD184" i="1"/>
  <c r="CD186" i="1"/>
  <c r="CD187" i="1"/>
  <c r="CD185" i="1"/>
  <c r="CE315" i="1"/>
  <c r="CE237" i="1"/>
  <c r="CE295" i="1"/>
  <c r="BY331" i="1"/>
  <c r="CS398" i="1"/>
  <c r="AO12" i="1"/>
  <c r="AO11" i="1" s="1"/>
  <c r="AS76" i="1"/>
  <c r="AS74" i="1" s="1"/>
  <c r="BA242" i="1"/>
  <c r="BA238" i="1" s="1"/>
  <c r="BA236" i="1" s="1"/>
  <c r="BC88" i="1"/>
  <c r="BC242" i="1" s="1"/>
  <c r="BY250" i="1"/>
  <c r="BA137" i="1"/>
  <c r="M219" i="1"/>
  <c r="O219" i="1" s="1"/>
  <c r="AO219" i="1" s="1"/>
  <c r="M213" i="1"/>
  <c r="Q279" i="1"/>
  <c r="Q224" i="1"/>
  <c r="Q71" i="1" s="1"/>
  <c r="V381" i="1"/>
  <c r="AL381" i="1"/>
  <c r="BR381" i="1"/>
  <c r="CH381" i="1"/>
  <c r="CX381" i="1"/>
  <c r="BM398" i="1"/>
  <c r="AA13" i="1"/>
  <c r="BA16" i="1"/>
  <c r="CG16" i="1"/>
  <c r="S13" i="1"/>
  <c r="S12" i="1" s="1"/>
  <c r="S11" i="1" s="1"/>
  <c r="V12" i="1"/>
  <c r="R12" i="1"/>
  <c r="Z12" i="1"/>
  <c r="AP12" i="1"/>
  <c r="AX12" i="1"/>
  <c r="BF12" i="1"/>
  <c r="BN12" i="1"/>
  <c r="BV12" i="1"/>
  <c r="CD12" i="1"/>
  <c r="CL12" i="1"/>
  <c r="CT12" i="1"/>
  <c r="BS137" i="1"/>
  <c r="CQ225" i="1"/>
  <c r="X381" i="1"/>
  <c r="AN381" i="1"/>
  <c r="BD381" i="1"/>
  <c r="AW238" i="1"/>
  <c r="AW236" i="1" s="1"/>
  <c r="BI250" i="1"/>
  <c r="AF116" i="1"/>
  <c r="AF117" i="1"/>
  <c r="CN117" i="1"/>
  <c r="BP118" i="1"/>
  <c r="CF119" i="1"/>
  <c r="BH120" i="1"/>
  <c r="BF127" i="1"/>
  <c r="BJ128" i="1"/>
  <c r="BF129" i="1"/>
  <c r="BR130" i="1"/>
  <c r="BD131" i="1"/>
  <c r="U138" i="1"/>
  <c r="AY137" i="1"/>
  <c r="BO137" i="1"/>
  <c r="CE137" i="1"/>
  <c r="CU137" i="1"/>
  <c r="CV186" i="1"/>
  <c r="BI219" i="1"/>
  <c r="BK219" i="1" s="1"/>
  <c r="BM219" i="1" s="1"/>
  <c r="BO219" i="1" s="1"/>
  <c r="BQ219" i="1" s="1"/>
  <c r="BS219" i="1" s="1"/>
  <c r="BU219" i="1" s="1"/>
  <c r="BW219" i="1" s="1"/>
  <c r="BY219" i="1" s="1"/>
  <c r="CA219" i="1" s="1"/>
  <c r="CC219" i="1" s="1"/>
  <c r="CE219" i="1" s="1"/>
  <c r="CG219" i="1" s="1"/>
  <c r="CI219" i="1" s="1"/>
  <c r="CK219" i="1" s="1"/>
  <c r="CM219" i="1" s="1"/>
  <c r="CO219" i="1" s="1"/>
  <c r="CQ219" i="1" s="1"/>
  <c r="CS219" i="1" s="1"/>
  <c r="CU219" i="1" s="1"/>
  <c r="CW219" i="1" s="1"/>
  <c r="CY219" i="1" s="1"/>
  <c r="DA219" i="1" s="1"/>
  <c r="U238" i="1"/>
  <c r="U236" i="1" s="1"/>
  <c r="I285" i="1"/>
  <c r="J285" i="1" s="1"/>
  <c r="X287" i="1"/>
  <c r="AL287" i="1"/>
  <c r="I325" i="1"/>
  <c r="I350" i="1"/>
  <c r="BM250" i="1"/>
  <c r="AR116" i="1"/>
  <c r="CN116" i="1"/>
  <c r="AR117" i="1"/>
  <c r="BX118" i="1"/>
  <c r="AJ119" i="1"/>
  <c r="CN120" i="1"/>
  <c r="BT128" i="1"/>
  <c r="AF129" i="1"/>
  <c r="BP129" i="1"/>
  <c r="BX131" i="1"/>
  <c r="CJ185" i="1"/>
  <c r="BP186" i="1"/>
  <c r="CJ187" i="1"/>
  <c r="I215" i="1"/>
  <c r="I213" i="1" s="1"/>
  <c r="AO225" i="1"/>
  <c r="CS225" i="1"/>
  <c r="AO238" i="1"/>
  <c r="AO236" i="1" s="1"/>
  <c r="BP287" i="1"/>
  <c r="L381" i="1"/>
  <c r="AB381" i="1"/>
  <c r="AR381" i="1"/>
  <c r="BH381" i="1"/>
  <c r="BX381" i="1"/>
  <c r="CN381" i="1"/>
  <c r="Z381" i="1"/>
  <c r="AP381" i="1"/>
  <c r="BF381" i="1"/>
  <c r="BV381" i="1"/>
  <c r="CL381" i="1"/>
  <c r="J385" i="1"/>
  <c r="AJ401" i="1"/>
  <c r="BJ401" i="1"/>
  <c r="BJ400" i="1" s="1"/>
  <c r="BV405" i="1"/>
  <c r="CC76" i="1"/>
  <c r="CD86" i="1" s="1"/>
  <c r="CC250" i="1"/>
  <c r="CO250" i="1"/>
  <c r="CV119" i="1"/>
  <c r="CR120" i="1"/>
  <c r="AJ128" i="1"/>
  <c r="BZ128" i="1"/>
  <c r="AJ129" i="1"/>
  <c r="BV129" i="1"/>
  <c r="CN130" i="1"/>
  <c r="AG138" i="1"/>
  <c r="S137" i="1"/>
  <c r="CK137" i="1"/>
  <c r="CT185" i="1"/>
  <c r="CT187" i="1"/>
  <c r="BW225" i="1"/>
  <c r="CM225" i="1"/>
  <c r="BI280" i="1"/>
  <c r="BI294" i="1" s="1"/>
  <c r="BE280" i="1"/>
  <c r="BE294" i="1" s="1"/>
  <c r="M293" i="1"/>
  <c r="M299" i="1" s="1"/>
  <c r="CL401" i="1"/>
  <c r="BZ405" i="1"/>
  <c r="CZ119" i="1"/>
  <c r="AZ116" i="1"/>
  <c r="BH117" i="1"/>
  <c r="AJ118" i="1"/>
  <c r="CF118" i="1"/>
  <c r="AB127" i="1"/>
  <c r="BX127" i="1"/>
  <c r="CP131" i="1"/>
  <c r="AI145" i="1"/>
  <c r="CA225" i="1"/>
  <c r="AA280" i="1"/>
  <c r="AA224" i="1" s="1"/>
  <c r="AA71" i="1" s="1"/>
  <c r="L282" i="1"/>
  <c r="CM294" i="1"/>
  <c r="CE331" i="1"/>
  <c r="BP401" i="1"/>
  <c r="CP401" i="1"/>
  <c r="CP400" i="1" s="1"/>
  <c r="CV404" i="1"/>
  <c r="DA296" i="1"/>
  <c r="DA297" i="1"/>
  <c r="DA291" i="1"/>
  <c r="CC238" i="1"/>
  <c r="BH116" i="1"/>
  <c r="CV116" i="1"/>
  <c r="AZ118" i="1"/>
  <c r="CN118" i="1"/>
  <c r="AZ119" i="1"/>
  <c r="AT128" i="1"/>
  <c r="AV129" i="1"/>
  <c r="AR130" i="1"/>
  <c r="BO145" i="1"/>
  <c r="O137" i="1"/>
  <c r="BN185" i="1"/>
  <c r="CF186" i="1"/>
  <c r="BN187" i="1"/>
  <c r="N282" i="1"/>
  <c r="DB282" i="1"/>
  <c r="CM293" i="1"/>
  <c r="CM299" i="1" s="1"/>
  <c r="BA331" i="1"/>
  <c r="BQ331" i="1"/>
  <c r="CG331" i="1"/>
  <c r="AX381" i="1"/>
  <c r="T401" i="1"/>
  <c r="DB76" i="1"/>
  <c r="AO76" i="1"/>
  <c r="AO74" i="1" s="1"/>
  <c r="BP116" i="1"/>
  <c r="CV118" i="1"/>
  <c r="BP119" i="1"/>
  <c r="AR120" i="1"/>
  <c r="AR127" i="1"/>
  <c r="CU145" i="1"/>
  <c r="CJ184" i="1"/>
  <c r="BP185" i="1"/>
  <c r="BP187" i="1"/>
  <c r="AM238" i="1"/>
  <c r="AM236" i="1" s="1"/>
  <c r="AS250" i="1"/>
  <c r="AO331" i="1"/>
  <c r="T381" i="1"/>
  <c r="AJ381" i="1"/>
  <c r="AZ381" i="1"/>
  <c r="BP381" i="1"/>
  <c r="CF381" i="1"/>
  <c r="CV381" i="1"/>
  <c r="BV401" i="1"/>
  <c r="CV401" i="1"/>
  <c r="CL405" i="1"/>
  <c r="DA299" i="1"/>
  <c r="DA292" i="1"/>
  <c r="CY225" i="1"/>
  <c r="CY223" i="1" s="1"/>
  <c r="CY14" i="1"/>
  <c r="P219" i="1"/>
  <c r="R219" i="1" s="1"/>
  <c r="T219" i="1" s="1"/>
  <c r="V219" i="1" s="1"/>
  <c r="X219" i="1" s="1"/>
  <c r="Z219" i="1" s="1"/>
  <c r="AB219" i="1" s="1"/>
  <c r="AD219" i="1" s="1"/>
  <c r="AF219" i="1" s="1"/>
  <c r="AH219" i="1" s="1"/>
  <c r="M76" i="1"/>
  <c r="M74" i="1" s="1"/>
  <c r="I86" i="1"/>
  <c r="U80" i="1"/>
  <c r="J215" i="1"/>
  <c r="AK219" i="1"/>
  <c r="J272" i="1"/>
  <c r="Q76" i="1"/>
  <c r="Q74" i="1" s="1"/>
  <c r="U250" i="1"/>
  <c r="CY137" i="1"/>
  <c r="J14" i="1"/>
  <c r="AH12" i="1"/>
  <c r="I17" i="1"/>
  <c r="I16" i="1" s="1"/>
  <c r="BE37" i="1"/>
  <c r="CA251" i="1"/>
  <c r="CA250" i="1" s="1"/>
  <c r="CZ131" i="1"/>
  <c r="CZ129" i="1"/>
  <c r="CZ130" i="1"/>
  <c r="CZ128" i="1"/>
  <c r="CZ127" i="1"/>
  <c r="AW230" i="1"/>
  <c r="AW225" i="1" s="1"/>
  <c r="AW76" i="1"/>
  <c r="AW74" i="1" s="1"/>
  <c r="CG239" i="1"/>
  <c r="CG238" i="1" s="1"/>
  <c r="CG76" i="1"/>
  <c r="AQ89" i="1"/>
  <c r="AQ76" i="1" s="1"/>
  <c r="AQ74" i="1" s="1"/>
  <c r="BE145" i="1"/>
  <c r="BF118" i="1"/>
  <c r="BF120" i="1"/>
  <c r="BF116" i="1"/>
  <c r="BF117" i="1"/>
  <c r="BF119" i="1"/>
  <c r="CG145" i="1"/>
  <c r="CH119" i="1"/>
  <c r="CH117" i="1"/>
  <c r="CH120" i="1"/>
  <c r="CH116" i="1"/>
  <c r="CH118" i="1"/>
  <c r="Q14" i="1"/>
  <c r="AG14" i="1"/>
  <c r="AW14" i="1"/>
  <c r="BM14" i="1"/>
  <c r="CC14" i="1"/>
  <c r="CS14" i="1"/>
  <c r="AC37" i="1"/>
  <c r="AS37" i="1"/>
  <c r="BI37" i="1"/>
  <c r="BY37" i="1"/>
  <c r="CO37" i="1"/>
  <c r="CA76" i="1"/>
  <c r="AY230" i="1"/>
  <c r="AY225" i="1" s="1"/>
  <c r="AY76" i="1"/>
  <c r="AY74" i="1" s="1"/>
  <c r="BM230" i="1"/>
  <c r="BM225" i="1" s="1"/>
  <c r="BM223" i="1" s="1"/>
  <c r="BO78" i="1"/>
  <c r="O85" i="1"/>
  <c r="O76" i="1" s="1"/>
  <c r="O74" i="1" s="1"/>
  <c r="BS251" i="1"/>
  <c r="BS250" i="1" s="1"/>
  <c r="AN143" i="1"/>
  <c r="AM137" i="1" s="1"/>
  <c r="AM138" i="1"/>
  <c r="K76" i="1"/>
  <c r="K74" i="1" s="1"/>
  <c r="BA228" i="1"/>
  <c r="BA225" i="1" s="1"/>
  <c r="BC81" i="1"/>
  <c r="AS239" i="1"/>
  <c r="AS238" i="1" s="1"/>
  <c r="AS236" i="1" s="1"/>
  <c r="AU85" i="1"/>
  <c r="AU239" i="1" s="1"/>
  <c r="AU238" i="1" s="1"/>
  <c r="AU236" i="1" s="1"/>
  <c r="CT120" i="1"/>
  <c r="CT116" i="1"/>
  <c r="CT119" i="1"/>
  <c r="CS145" i="1"/>
  <c r="CT118" i="1"/>
  <c r="CT117" i="1"/>
  <c r="K252" i="1"/>
  <c r="K250" i="1" s="1"/>
  <c r="K244" i="1"/>
  <c r="K238" i="1" s="1"/>
  <c r="K236" i="1" s="1"/>
  <c r="K232" i="1"/>
  <c r="K225" i="1" s="1"/>
  <c r="AU231" i="1"/>
  <c r="AU225" i="1" s="1"/>
  <c r="CW239" i="1"/>
  <c r="CW238" i="1" s="1"/>
  <c r="CW236" i="1" s="1"/>
  <c r="CW76" i="1"/>
  <c r="AH131" i="1"/>
  <c r="AH130" i="1"/>
  <c r="AH120" i="1"/>
  <c r="AH116" i="1"/>
  <c r="AH129" i="1"/>
  <c r="AG145" i="1"/>
  <c r="AH128" i="1"/>
  <c r="AH118" i="1"/>
  <c r="AH117" i="1"/>
  <c r="AH119" i="1"/>
  <c r="AH127" i="1"/>
  <c r="BJ117" i="1"/>
  <c r="BJ120" i="1"/>
  <c r="BJ119" i="1"/>
  <c r="BI145" i="1"/>
  <c r="BJ116" i="1"/>
  <c r="BJ118" i="1"/>
  <c r="BO227" i="1"/>
  <c r="BQ80" i="1"/>
  <c r="BY239" i="1"/>
  <c r="BY238" i="1" s="1"/>
  <c r="BY76" i="1"/>
  <c r="BK251" i="1"/>
  <c r="BK250" i="1" s="1"/>
  <c r="AN131" i="1"/>
  <c r="AN129" i="1"/>
  <c r="AN130" i="1"/>
  <c r="AN127" i="1"/>
  <c r="I209" i="1"/>
  <c r="I208" i="1" s="1"/>
  <c r="I204" i="1"/>
  <c r="I201" i="1" s="1"/>
  <c r="I200" i="1" s="1"/>
  <c r="I295" i="1"/>
  <c r="I303" i="1"/>
  <c r="M244" i="1"/>
  <c r="M238" i="1" s="1"/>
  <c r="M236" i="1" s="1"/>
  <c r="M232" i="1"/>
  <c r="M225" i="1" s="1"/>
  <c r="M252" i="1"/>
  <c r="M250" i="1" s="1"/>
  <c r="CS295" i="1"/>
  <c r="CS303" i="1"/>
  <c r="CS270" i="1"/>
  <c r="AB17" i="1"/>
  <c r="AB13" i="1" s="1"/>
  <c r="AB12" i="1" s="1"/>
  <c r="O252" i="1"/>
  <c r="O250" i="1" s="1"/>
  <c r="O232" i="1"/>
  <c r="O225" i="1" s="1"/>
  <c r="O223" i="1" s="1"/>
  <c r="O244" i="1"/>
  <c r="O238" i="1" s="1"/>
  <c r="O236" i="1" s="1"/>
  <c r="AI226" i="1"/>
  <c r="AI225" i="1" s="1"/>
  <c r="I115" i="1"/>
  <c r="J120" i="1" s="1"/>
  <c r="CY303" i="1"/>
  <c r="CY270" i="1"/>
  <c r="CY279" i="1"/>
  <c r="CU303" i="1"/>
  <c r="CU295" i="1"/>
  <c r="U14" i="1"/>
  <c r="U12" i="1" s="1"/>
  <c r="U11" i="1" s="1"/>
  <c r="BQ14" i="1"/>
  <c r="BQ12" i="1" s="1"/>
  <c r="BQ11" i="1" s="1"/>
  <c r="AK37" i="1"/>
  <c r="CG37" i="1"/>
  <c r="I63" i="1"/>
  <c r="AK244" i="1"/>
  <c r="AK232" i="1"/>
  <c r="AK225" i="1" s="1"/>
  <c r="AK252" i="1"/>
  <c r="AK250" i="1" s="1"/>
  <c r="AM76" i="1"/>
  <c r="AM74" i="1" s="1"/>
  <c r="CO239" i="1"/>
  <c r="CO238" i="1" s="1"/>
  <c r="CO76" i="1"/>
  <c r="CI251" i="1"/>
  <c r="CI250" i="1" s="1"/>
  <c r="AN119" i="1"/>
  <c r="AM145" i="1"/>
  <c r="AN120" i="1"/>
  <c r="AN116" i="1"/>
  <c r="AN117" i="1"/>
  <c r="CA145" i="1"/>
  <c r="CB117" i="1"/>
  <c r="CB118" i="1"/>
  <c r="CB120" i="1"/>
  <c r="CB119" i="1"/>
  <c r="CB116" i="1"/>
  <c r="BA14" i="1"/>
  <c r="BA12" i="1" s="1"/>
  <c r="BA11" i="1" s="1"/>
  <c r="CW14" i="1"/>
  <c r="CW12" i="1" s="1"/>
  <c r="CW11" i="1" s="1"/>
  <c r="M17" i="1"/>
  <c r="CW295" i="1"/>
  <c r="CW303" i="1"/>
  <c r="CI76" i="1"/>
  <c r="S76" i="1"/>
  <c r="S74" i="1" s="1"/>
  <c r="BQ239" i="1"/>
  <c r="BQ238" i="1" s="1"/>
  <c r="BQ236" i="1" s="1"/>
  <c r="Z131" i="1"/>
  <c r="Y145" i="1"/>
  <c r="Z128" i="1"/>
  <c r="Z118" i="1"/>
  <c r="Z127" i="1"/>
  <c r="Z130" i="1"/>
  <c r="Z120" i="1"/>
  <c r="Z116" i="1"/>
  <c r="BA145" i="1"/>
  <c r="BB119" i="1"/>
  <c r="BB117" i="1"/>
  <c r="BT119" i="1"/>
  <c r="BS145" i="1"/>
  <c r="BT120" i="1"/>
  <c r="BT116" i="1"/>
  <c r="CK145" i="1"/>
  <c r="CL118" i="1"/>
  <c r="CL120" i="1"/>
  <c r="CL116" i="1"/>
  <c r="BB116" i="1"/>
  <c r="Z119" i="1"/>
  <c r="BB120" i="1"/>
  <c r="CJ129" i="1"/>
  <c r="CJ130" i="1"/>
  <c r="Z129" i="1"/>
  <c r="BD130" i="1"/>
  <c r="AA145" i="1"/>
  <c r="AB128" i="1"/>
  <c r="AB118" i="1"/>
  <c r="AB131" i="1"/>
  <c r="AB129" i="1"/>
  <c r="AB119" i="1"/>
  <c r="AT117" i="1"/>
  <c r="AS145" i="1"/>
  <c r="AT120" i="1"/>
  <c r="AT119" i="1"/>
  <c r="BK145" i="1"/>
  <c r="BL117" i="1"/>
  <c r="BL118" i="1"/>
  <c r="CC145" i="1"/>
  <c r="CD120" i="1"/>
  <c r="CD116" i="1"/>
  <c r="CD119" i="1"/>
  <c r="CD118" i="1"/>
  <c r="CD117" i="1"/>
  <c r="CJ118" i="1"/>
  <c r="BL119" i="1"/>
  <c r="BC85" i="1"/>
  <c r="BC87" i="1"/>
  <c r="AK145" i="1"/>
  <c r="AL119" i="1"/>
  <c r="AL117" i="1"/>
  <c r="BC145" i="1"/>
  <c r="BD119" i="1"/>
  <c r="BD120" i="1"/>
  <c r="BD116" i="1"/>
  <c r="BU145" i="1"/>
  <c r="BV118" i="1"/>
  <c r="BV120" i="1"/>
  <c r="BV116" i="1"/>
  <c r="CW145" i="1"/>
  <c r="CX119" i="1"/>
  <c r="CX117" i="1"/>
  <c r="Z117" i="1"/>
  <c r="BD117" i="1"/>
  <c r="BL120" i="1"/>
  <c r="AV131" i="1"/>
  <c r="AV127" i="1"/>
  <c r="AV128" i="1"/>
  <c r="CB131" i="1"/>
  <c r="CB127" i="1"/>
  <c r="CB130" i="1"/>
  <c r="CB128" i="1"/>
  <c r="CJ128" i="1"/>
  <c r="BA76" i="1"/>
  <c r="BA74" i="1" s="1"/>
  <c r="AD127" i="1"/>
  <c r="AD117" i="1"/>
  <c r="AD130" i="1"/>
  <c r="AD120" i="1"/>
  <c r="AD129" i="1"/>
  <c r="AD119" i="1"/>
  <c r="AC145" i="1"/>
  <c r="AU145" i="1"/>
  <c r="AV117" i="1"/>
  <c r="AV118" i="1"/>
  <c r="BN120" i="1"/>
  <c r="BN116" i="1"/>
  <c r="BM145" i="1"/>
  <c r="BN118" i="1"/>
  <c r="CP117" i="1"/>
  <c r="CP120" i="1"/>
  <c r="CP119" i="1"/>
  <c r="CO145" i="1"/>
  <c r="AL116" i="1"/>
  <c r="BL116" i="1"/>
  <c r="AB117" i="1"/>
  <c r="CL117" i="1"/>
  <c r="AL118" i="1"/>
  <c r="BR118" i="1"/>
  <c r="CP118" i="1"/>
  <c r="AB120" i="1"/>
  <c r="BR120" i="1"/>
  <c r="BD128" i="1"/>
  <c r="CB129" i="1"/>
  <c r="AB130" i="1"/>
  <c r="AE145" i="1"/>
  <c r="AF131" i="1"/>
  <c r="AF127" i="1"/>
  <c r="AF128" i="1"/>
  <c r="AF118" i="1"/>
  <c r="AW145" i="1"/>
  <c r="AX120" i="1"/>
  <c r="AX116" i="1"/>
  <c r="AX118" i="1"/>
  <c r="BZ117" i="1"/>
  <c r="BY145" i="1"/>
  <c r="BZ120" i="1"/>
  <c r="BZ119" i="1"/>
  <c r="AT116" i="1"/>
  <c r="BN117" i="1"/>
  <c r="AT118" i="1"/>
  <c r="CX118" i="1"/>
  <c r="AV119" i="1"/>
  <c r="AL120" i="1"/>
  <c r="BD127" i="1"/>
  <c r="CJ127" i="1"/>
  <c r="AO145" i="1"/>
  <c r="AP118" i="1"/>
  <c r="AP120" i="1"/>
  <c r="AP116" i="1"/>
  <c r="BQ145" i="1"/>
  <c r="BR119" i="1"/>
  <c r="BR117" i="1"/>
  <c r="CI145" i="1"/>
  <c r="CJ119" i="1"/>
  <c r="CJ120" i="1"/>
  <c r="CJ116" i="1"/>
  <c r="CR131" i="1"/>
  <c r="CR127" i="1"/>
  <c r="CR130" i="1"/>
  <c r="CR128" i="1"/>
  <c r="CZ116" i="1"/>
  <c r="AJ117" i="1"/>
  <c r="AZ117" i="1"/>
  <c r="BP117" i="1"/>
  <c r="CF117" i="1"/>
  <c r="CV117" i="1"/>
  <c r="CR118" i="1"/>
  <c r="AR119" i="1"/>
  <c r="BH119" i="1"/>
  <c r="BX119" i="1"/>
  <c r="CN119" i="1"/>
  <c r="CZ120" i="1"/>
  <c r="AJ127" i="1"/>
  <c r="BL128" i="1"/>
  <c r="AR129" i="1"/>
  <c r="BH129" i="1"/>
  <c r="BX129" i="1"/>
  <c r="CN129" i="1"/>
  <c r="BF130" i="1"/>
  <c r="AT131" i="1"/>
  <c r="BZ131" i="1"/>
  <c r="AQ225" i="1"/>
  <c r="BG225" i="1"/>
  <c r="CL131" i="1"/>
  <c r="CL130" i="1"/>
  <c r="CV131" i="1"/>
  <c r="CV130" i="1"/>
  <c r="AL127" i="1"/>
  <c r="BB127" i="1"/>
  <c r="CH127" i="1"/>
  <c r="CX127" i="1"/>
  <c r="AX128" i="1"/>
  <c r="BN128" i="1"/>
  <c r="CD128" i="1"/>
  <c r="CT128" i="1"/>
  <c r="AT129" i="1"/>
  <c r="BJ129" i="1"/>
  <c r="BZ129" i="1"/>
  <c r="CP129" i="1"/>
  <c r="AP130" i="1"/>
  <c r="CD130" i="1"/>
  <c r="AX131" i="1"/>
  <c r="BQ137" i="1"/>
  <c r="CG137" i="1"/>
  <c r="CW137" i="1"/>
  <c r="AZ131" i="1"/>
  <c r="AZ130" i="1"/>
  <c r="BV131" i="1"/>
  <c r="BJ130" i="1"/>
  <c r="BR131" i="1"/>
  <c r="BP131" i="1"/>
  <c r="BL131" i="1"/>
  <c r="BP130" i="1"/>
  <c r="CF131" i="1"/>
  <c r="CF130" i="1"/>
  <c r="BR128" i="1"/>
  <c r="BN129" i="1"/>
  <c r="AT130" i="1"/>
  <c r="BN130" i="1"/>
  <c r="BH131" i="1"/>
  <c r="CN131" i="1"/>
  <c r="CY145" i="1"/>
  <c r="BZ187" i="1"/>
  <c r="BZ186" i="1"/>
  <c r="BZ185" i="1"/>
  <c r="I243" i="1"/>
  <c r="AF143" i="1"/>
  <c r="AE137" i="1" s="1"/>
  <c r="AE138" i="1"/>
  <c r="BJ219" i="1"/>
  <c r="BL219" i="1" s="1"/>
  <c r="BN219" i="1" s="1"/>
  <c r="BP219" i="1" s="1"/>
  <c r="BR219" i="1" s="1"/>
  <c r="BT219" i="1" s="1"/>
  <c r="BV219" i="1" s="1"/>
  <c r="BX219" i="1" s="1"/>
  <c r="BZ219" i="1" s="1"/>
  <c r="CB219" i="1" s="1"/>
  <c r="CD219" i="1" s="1"/>
  <c r="CH219" i="1"/>
  <c r="CJ219" i="1" s="1"/>
  <c r="CL219" i="1" s="1"/>
  <c r="CN219" i="1" s="1"/>
  <c r="CP219" i="1" s="1"/>
  <c r="CR219" i="1" s="1"/>
  <c r="CT219" i="1" s="1"/>
  <c r="CV219" i="1" s="1"/>
  <c r="CX219" i="1" s="1"/>
  <c r="CZ219" i="1" s="1"/>
  <c r="DB219" i="1" s="1"/>
  <c r="CP127" i="1"/>
  <c r="AP128" i="1"/>
  <c r="BF128" i="1"/>
  <c r="BV128" i="1"/>
  <c r="CL128" i="1"/>
  <c r="AL129" i="1"/>
  <c r="BB129" i="1"/>
  <c r="BR129" i="1"/>
  <c r="CH129" i="1"/>
  <c r="CX129" i="1"/>
  <c r="BT130" i="1"/>
  <c r="BN131" i="1"/>
  <c r="CT131" i="1"/>
  <c r="W138" i="1"/>
  <c r="I143" i="1"/>
  <c r="I169" i="1"/>
  <c r="BR187" i="1"/>
  <c r="BR186" i="1"/>
  <c r="BR185" i="1"/>
  <c r="AL219" i="1"/>
  <c r="AN219" i="1" s="1"/>
  <c r="AP219" i="1" s="1"/>
  <c r="AR219" i="1" s="1"/>
  <c r="AT219" i="1" s="1"/>
  <c r="AV219" i="1" s="1"/>
  <c r="CR117" i="1"/>
  <c r="AR118" i="1"/>
  <c r="BH118" i="1"/>
  <c r="AZ120" i="1"/>
  <c r="CF120" i="1"/>
  <c r="BH128" i="1"/>
  <c r="BX128" i="1"/>
  <c r="BT129" i="1"/>
  <c r="AJ130" i="1"/>
  <c r="BB130" i="1"/>
  <c r="BV130" i="1"/>
  <c r="BT131" i="1"/>
  <c r="CC225" i="1"/>
  <c r="Y242" i="1"/>
  <c r="Y138" i="1"/>
  <c r="Z143" i="1"/>
  <c r="Y137" i="1" s="1"/>
  <c r="W227" i="1"/>
  <c r="CH185" i="1"/>
  <c r="CX185" i="1"/>
  <c r="CH186" i="1"/>
  <c r="CX186" i="1"/>
  <c r="O213" i="1"/>
  <c r="AE213" i="1"/>
  <c r="AU213" i="1"/>
  <c r="BK213" i="1"/>
  <c r="CA213" i="1"/>
  <c r="CQ213" i="1"/>
  <c r="CK225" i="1"/>
  <c r="Y241" i="1"/>
  <c r="BV185" i="1"/>
  <c r="CL185" i="1"/>
  <c r="BV186" i="1"/>
  <c r="CL186" i="1"/>
  <c r="BV187" i="1"/>
  <c r="CL187" i="1"/>
  <c r="AQ238" i="1"/>
  <c r="AQ236" i="1" s="1"/>
  <c r="CU270" i="1"/>
  <c r="BX185" i="1"/>
  <c r="CN185" i="1"/>
  <c r="BX186" i="1"/>
  <c r="CN186" i="1"/>
  <c r="BX187" i="1"/>
  <c r="CN187" i="1"/>
  <c r="J201" i="1"/>
  <c r="CW270" i="1"/>
  <c r="CP185" i="1"/>
  <c r="CP186" i="1"/>
  <c r="AY238" i="1"/>
  <c r="AY236" i="1" s="1"/>
  <c r="CB185" i="1"/>
  <c r="CR185" i="1"/>
  <c r="CB186" i="1"/>
  <c r="CR186" i="1"/>
  <c r="BU213" i="1"/>
  <c r="I270" i="1"/>
  <c r="P285" i="1"/>
  <c r="P287" i="1"/>
  <c r="O294" i="1"/>
  <c r="O296" i="1" s="1"/>
  <c r="O293" i="1"/>
  <c r="O298" i="1" s="1"/>
  <c r="P282" i="1"/>
  <c r="Y294" i="1"/>
  <c r="Y296" i="1" s="1"/>
  <c r="BC294" i="1"/>
  <c r="BC293" i="1"/>
  <c r="BC298" i="1" s="1"/>
  <c r="BD281" i="1"/>
  <c r="BD285" i="1"/>
  <c r="Z282" i="1"/>
  <c r="Y279" i="1"/>
  <c r="R285" i="1"/>
  <c r="R287" i="1"/>
  <c r="Q294" i="1"/>
  <c r="Q293" i="1"/>
  <c r="Q298" i="1" s="1"/>
  <c r="R282" i="1"/>
  <c r="I287" i="1"/>
  <c r="J287" i="1" s="1"/>
  <c r="AO298" i="1"/>
  <c r="AO294" i="1"/>
  <c r="AO296" i="1" s="1"/>
  <c r="BU294" i="1"/>
  <c r="BU291" i="1" s="1"/>
  <c r="CX282" i="1"/>
  <c r="CH282" i="1"/>
  <c r="BV281" i="1"/>
  <c r="CB285" i="1"/>
  <c r="CV282" i="1"/>
  <c r="CF282" i="1"/>
  <c r="BZ285" i="1"/>
  <c r="CT282" i="1"/>
  <c r="CD282" i="1"/>
  <c r="BX285" i="1"/>
  <c r="CR282" i="1"/>
  <c r="CB282" i="1"/>
  <c r="BV285" i="1"/>
  <c r="CP282" i="1"/>
  <c r="BZ282" i="1"/>
  <c r="AM331" i="1"/>
  <c r="T285" i="1"/>
  <c r="T287" i="1"/>
  <c r="S294" i="1"/>
  <c r="S293" i="1"/>
  <c r="S298" i="1" s="1"/>
  <c r="T282" i="1"/>
  <c r="CI293" i="1"/>
  <c r="CI298" i="1" s="1"/>
  <c r="CY294" i="1"/>
  <c r="CY296" i="1" s="1"/>
  <c r="CY293" i="1"/>
  <c r="CY298" i="1" s="1"/>
  <c r="AP287" i="1"/>
  <c r="BV287" i="1"/>
  <c r="CW280" i="1"/>
  <c r="CX281" i="1" s="1"/>
  <c r="K296" i="1"/>
  <c r="L285" i="1"/>
  <c r="L287" i="1"/>
  <c r="BM279" i="1"/>
  <c r="BN285" i="1"/>
  <c r="BN282" i="1"/>
  <c r="BM293" i="1"/>
  <c r="BM298" i="1" s="1"/>
  <c r="BN281" i="1"/>
  <c r="BX287" i="1"/>
  <c r="K293" i="1"/>
  <c r="K298" i="1" s="1"/>
  <c r="BM294" i="1"/>
  <c r="BM296" i="1" s="1"/>
  <c r="O279" i="1"/>
  <c r="BC279" i="1"/>
  <c r="Z285" i="1"/>
  <c r="BD287" i="1"/>
  <c r="W294" i="1"/>
  <c r="W296" i="1" s="1"/>
  <c r="W293" i="1"/>
  <c r="W298" i="1" s="1"/>
  <c r="X282" i="1"/>
  <c r="J282" i="1"/>
  <c r="CO280" i="1"/>
  <c r="CP287" i="1" s="1"/>
  <c r="Y293" i="1"/>
  <c r="I367" i="1"/>
  <c r="AK297" i="1"/>
  <c r="AK291" i="1"/>
  <c r="CA294" i="1"/>
  <c r="CA296" i="1" s="1"/>
  <c r="CA293" i="1"/>
  <c r="CA298" i="1" s="1"/>
  <c r="BD282" i="1"/>
  <c r="Z287" i="1"/>
  <c r="AO292" i="1"/>
  <c r="AN401" i="1"/>
  <c r="AM398" i="1"/>
  <c r="P401" i="1"/>
  <c r="O398" i="1"/>
  <c r="CB401" i="1"/>
  <c r="CB404" i="1"/>
  <c r="CB405" i="1"/>
  <c r="CA398" i="1"/>
  <c r="CK294" i="1"/>
  <c r="CK291" i="1" s="1"/>
  <c r="N287" i="1"/>
  <c r="BO294" i="1"/>
  <c r="BO296" i="1" s="1"/>
  <c r="BU315" i="1"/>
  <c r="BU295" i="1"/>
  <c r="CK315" i="1"/>
  <c r="CK295" i="1"/>
  <c r="AS331" i="1"/>
  <c r="BD401" i="1"/>
  <c r="BP281" i="1"/>
  <c r="I338" i="1"/>
  <c r="I336" i="1" s="1"/>
  <c r="S336" i="1"/>
  <c r="S331" i="1" s="1"/>
  <c r="AF401" i="1"/>
  <c r="AE398" i="1"/>
  <c r="CR401" i="1"/>
  <c r="CR400" i="1" s="1"/>
  <c r="CR404" i="1"/>
  <c r="CR405" i="1"/>
  <c r="CQ398" i="1"/>
  <c r="CJ404" i="1"/>
  <c r="AL285" i="1"/>
  <c r="BO293" i="1"/>
  <c r="CS331" i="1"/>
  <c r="BT401" i="1"/>
  <c r="V282" i="1"/>
  <c r="BP282" i="1"/>
  <c r="BP285" i="1"/>
  <c r="U293" i="1"/>
  <c r="U298" i="1" s="1"/>
  <c r="AK293" i="1"/>
  <c r="AK298" i="1" s="1"/>
  <c r="BW294" i="1"/>
  <c r="BW296" i="1" s="1"/>
  <c r="I315" i="1"/>
  <c r="BI331" i="1"/>
  <c r="AV401" i="1"/>
  <c r="AV400" i="1" s="1"/>
  <c r="AU398" i="1"/>
  <c r="AK296" i="1"/>
  <c r="CG294" i="1"/>
  <c r="AL282" i="1"/>
  <c r="V287" i="1"/>
  <c r="CW331" i="1"/>
  <c r="BT381" i="1"/>
  <c r="CJ381" i="1"/>
  <c r="CZ381" i="1"/>
  <c r="X401" i="1"/>
  <c r="CJ401" i="1"/>
  <c r="BT405" i="1"/>
  <c r="J383" i="1"/>
  <c r="BC398" i="1"/>
  <c r="BL401" i="1"/>
  <c r="BL400" i="1" s="1"/>
  <c r="BK398" i="1"/>
  <c r="CZ404" i="1"/>
  <c r="CZ401" i="1"/>
  <c r="CZ405" i="1"/>
  <c r="BX404" i="1"/>
  <c r="L401" i="1"/>
  <c r="AB401" i="1"/>
  <c r="AR401" i="1"/>
  <c r="BH401" i="1"/>
  <c r="BX401" i="1"/>
  <c r="CN401" i="1"/>
  <c r="J382" i="1"/>
  <c r="S398" i="1"/>
  <c r="AI398" i="1"/>
  <c r="AY398" i="1"/>
  <c r="BO398" i="1"/>
  <c r="CE398" i="1"/>
  <c r="CU398" i="1"/>
  <c r="CF405" i="1"/>
  <c r="CV405" i="1"/>
  <c r="CF404" i="1"/>
  <c r="BW398" i="1"/>
  <c r="CM398" i="1"/>
  <c r="FO77" i="1" l="1"/>
  <c r="FQ77" i="1"/>
  <c r="FM77" i="1"/>
  <c r="FK77" i="1"/>
  <c r="FG77" i="1"/>
  <c r="FI77" i="1"/>
  <c r="FC77" i="1"/>
  <c r="FE77" i="1"/>
  <c r="FA77" i="1"/>
  <c r="BC248" i="1"/>
  <c r="EY77" i="1"/>
  <c r="EU79" i="1"/>
  <c r="EW77" i="1"/>
  <c r="EU81" i="1"/>
  <c r="EU86" i="1"/>
  <c r="EU77" i="1"/>
  <c r="EU89" i="1"/>
  <c r="EU88" i="1"/>
  <c r="EU80" i="1"/>
  <c r="EU87" i="1"/>
  <c r="EU78" i="1"/>
  <c r="EU82" i="1"/>
  <c r="EU84" i="1"/>
  <c r="EU83" i="1"/>
  <c r="EU85" i="1"/>
  <c r="ES88" i="1"/>
  <c r="ES81" i="1"/>
  <c r="ES87" i="1"/>
  <c r="ES80" i="1"/>
  <c r="ES86" i="1"/>
  <c r="ES78" i="1"/>
  <c r="ES77" i="1"/>
  <c r="ES83" i="1"/>
  <c r="ES89" i="1"/>
  <c r="ES82" i="1"/>
  <c r="ES84" i="1"/>
  <c r="ES85" i="1"/>
  <c r="EQ84" i="1"/>
  <c r="EQ83" i="1"/>
  <c r="EQ82" i="1"/>
  <c r="EQ88" i="1"/>
  <c r="EQ80" i="1"/>
  <c r="EQ89" i="1"/>
  <c r="EQ81" i="1"/>
  <c r="EQ87" i="1"/>
  <c r="EQ78" i="1"/>
  <c r="EQ86" i="1"/>
  <c r="EQ77" i="1"/>
  <c r="EQ85" i="1"/>
  <c r="EO84" i="1"/>
  <c r="EO82" i="1"/>
  <c r="EO86" i="1"/>
  <c r="EO77" i="1"/>
  <c r="EO83" i="1"/>
  <c r="EO89" i="1"/>
  <c r="EO81" i="1"/>
  <c r="EO88" i="1"/>
  <c r="EO80" i="1"/>
  <c r="EO87" i="1"/>
  <c r="EO78" i="1"/>
  <c r="EO85" i="1"/>
  <c r="DT87" i="1"/>
  <c r="DT78" i="1"/>
  <c r="DT83" i="1"/>
  <c r="DT86" i="1"/>
  <c r="DT77" i="1"/>
  <c r="DT82" i="1"/>
  <c r="DT89" i="1"/>
  <c r="DT81" i="1"/>
  <c r="DT88" i="1"/>
  <c r="DT80" i="1"/>
  <c r="DT84" i="1"/>
  <c r="DP89" i="1"/>
  <c r="DT85" i="1"/>
  <c r="BI248" i="1"/>
  <c r="DR85" i="1"/>
  <c r="DR84" i="1"/>
  <c r="DR83" i="1"/>
  <c r="DR82" i="1"/>
  <c r="DR87" i="1"/>
  <c r="DR77" i="1"/>
  <c r="DR89" i="1"/>
  <c r="DR81" i="1"/>
  <c r="DR78" i="1"/>
  <c r="DR88" i="1"/>
  <c r="DR80" i="1"/>
  <c r="DR86" i="1"/>
  <c r="AP400" i="1"/>
  <c r="CA248" i="1"/>
  <c r="CO248" i="1"/>
  <c r="AT400" i="1"/>
  <c r="AM70" i="1"/>
  <c r="AM69" i="1" s="1"/>
  <c r="CA70" i="1"/>
  <c r="AM248" i="1"/>
  <c r="BW248" i="1"/>
  <c r="AC70" i="1"/>
  <c r="DP85" i="1"/>
  <c r="DP84" i="1"/>
  <c r="DP83" i="1"/>
  <c r="DP86" i="1"/>
  <c r="DP82" i="1"/>
  <c r="DP81" i="1"/>
  <c r="DP77" i="1"/>
  <c r="DP88" i="1"/>
  <c r="DP80" i="1"/>
  <c r="DP87" i="1"/>
  <c r="DP78" i="1"/>
  <c r="DN86" i="1"/>
  <c r="DN78" i="1"/>
  <c r="DN81" i="1"/>
  <c r="DN87" i="1"/>
  <c r="DN77" i="1"/>
  <c r="DN83" i="1"/>
  <c r="DN88" i="1"/>
  <c r="DN80" i="1"/>
  <c r="DN84" i="1"/>
  <c r="DN89" i="1"/>
  <c r="DN82" i="1"/>
  <c r="DN85" i="1"/>
  <c r="O248" i="1"/>
  <c r="BS248" i="1"/>
  <c r="DL88" i="1"/>
  <c r="DL81" i="1"/>
  <c r="DL87" i="1"/>
  <c r="DL80" i="1"/>
  <c r="DL83" i="1"/>
  <c r="DL86" i="1"/>
  <c r="DL78" i="1"/>
  <c r="DL77" i="1"/>
  <c r="DL84" i="1"/>
  <c r="DL82" i="1"/>
  <c r="DL89" i="1"/>
  <c r="DL85" i="1"/>
  <c r="AC248" i="1"/>
  <c r="N400" i="1"/>
  <c r="AH400" i="1"/>
  <c r="I249" i="1"/>
  <c r="I248" i="1" s="1"/>
  <c r="J403" i="1"/>
  <c r="AE248" i="1"/>
  <c r="AD282" i="1"/>
  <c r="BG248" i="1"/>
  <c r="BS70" i="1"/>
  <c r="DJ78" i="1"/>
  <c r="DJ85" i="1"/>
  <c r="DJ77" i="1"/>
  <c r="DJ89" i="1"/>
  <c r="DJ82" i="1"/>
  <c r="DJ84" i="1"/>
  <c r="DJ88" i="1"/>
  <c r="DJ83" i="1"/>
  <c r="DJ81" i="1"/>
  <c r="DJ80" i="1"/>
  <c r="DJ86" i="1"/>
  <c r="DJ87" i="1"/>
  <c r="BY248" i="1"/>
  <c r="AV285" i="1"/>
  <c r="M248" i="1"/>
  <c r="M223" i="1"/>
  <c r="M70" i="1"/>
  <c r="M69" i="1" s="1"/>
  <c r="CM70" i="1"/>
  <c r="AA70" i="1"/>
  <c r="CM223" i="1"/>
  <c r="BW70" i="1"/>
  <c r="AA248" i="1"/>
  <c r="DH89" i="1"/>
  <c r="DH84" i="1"/>
  <c r="DH83" i="1"/>
  <c r="DH88" i="1"/>
  <c r="DH82" i="1"/>
  <c r="DH80" i="1"/>
  <c r="DH81" i="1"/>
  <c r="DH86" i="1"/>
  <c r="DH78" i="1"/>
  <c r="DH85" i="1"/>
  <c r="DH77" i="1"/>
  <c r="DH87" i="1"/>
  <c r="AS248" i="1"/>
  <c r="CN85" i="1"/>
  <c r="AF287" i="1"/>
  <c r="CX87" i="1"/>
  <c r="DD81" i="1"/>
  <c r="DD80" i="1"/>
  <c r="DD86" i="1"/>
  <c r="DD78" i="1"/>
  <c r="DD89" i="1"/>
  <c r="DD85" i="1"/>
  <c r="DD77" i="1"/>
  <c r="DD84" i="1"/>
  <c r="DD83" i="1"/>
  <c r="DD88" i="1"/>
  <c r="DD82" i="1"/>
  <c r="DD87" i="1"/>
  <c r="BV400" i="1"/>
  <c r="CG236" i="1"/>
  <c r="J390" i="1"/>
  <c r="S223" i="1"/>
  <c r="AD287" i="1"/>
  <c r="BU248" i="1"/>
  <c r="AD285" i="1"/>
  <c r="AC294" i="1"/>
  <c r="AC297" i="1" s="1"/>
  <c r="AC279" i="1"/>
  <c r="CE293" i="1"/>
  <c r="CE298" i="1" s="1"/>
  <c r="AC293" i="1"/>
  <c r="AC299" i="1" s="1"/>
  <c r="CE294" i="1"/>
  <c r="CE296" i="1" s="1"/>
  <c r="J401" i="1"/>
  <c r="CG299" i="1"/>
  <c r="CG298" i="1"/>
  <c r="AH282" i="1"/>
  <c r="AZ282" i="1"/>
  <c r="BU70" i="1"/>
  <c r="CR78" i="1"/>
  <c r="AO70" i="1"/>
  <c r="AO69" i="1" s="1"/>
  <c r="AG293" i="1"/>
  <c r="AG299" i="1" s="1"/>
  <c r="BM12" i="1"/>
  <c r="BM11" i="1" s="1"/>
  <c r="CN82" i="1"/>
  <c r="CN89" i="1"/>
  <c r="AY12" i="1"/>
  <c r="AY11" i="1" s="1"/>
  <c r="AK248" i="1"/>
  <c r="CN88" i="1"/>
  <c r="CN77" i="1"/>
  <c r="AH285" i="1"/>
  <c r="AG294" i="1"/>
  <c r="AG296" i="1" s="1"/>
  <c r="AG224" i="1"/>
  <c r="AG71" i="1" s="1"/>
  <c r="AG70" i="1" s="1"/>
  <c r="CS279" i="1"/>
  <c r="BL285" i="1"/>
  <c r="BU298" i="1"/>
  <c r="AG279" i="1"/>
  <c r="AO223" i="1"/>
  <c r="BK224" i="1"/>
  <c r="BK71" i="1" s="1"/>
  <c r="BK70" i="1" s="1"/>
  <c r="Z400" i="1"/>
  <c r="BO70" i="1"/>
  <c r="AN285" i="1"/>
  <c r="AP280" i="1"/>
  <c r="CM74" i="1"/>
  <c r="CN75" i="1" s="1"/>
  <c r="CM248" i="1"/>
  <c r="CN81" i="1"/>
  <c r="CN78" i="1"/>
  <c r="U296" i="1"/>
  <c r="BK293" i="1"/>
  <c r="BK299" i="1" s="1"/>
  <c r="AN282" i="1"/>
  <c r="AA226" i="1"/>
  <c r="AC226" i="1" s="1"/>
  <c r="CI248" i="1"/>
  <c r="BK279" i="1"/>
  <c r="Q248" i="1"/>
  <c r="BR281" i="1"/>
  <c r="BL282" i="1"/>
  <c r="U297" i="1"/>
  <c r="BY236" i="1"/>
  <c r="BR287" i="1"/>
  <c r="BQ224" i="1"/>
  <c r="BQ71" i="1" s="1"/>
  <c r="BQ70" i="1" s="1"/>
  <c r="BR282" i="1"/>
  <c r="CI291" i="1"/>
  <c r="BK294" i="1"/>
  <c r="BK296" i="1" s="1"/>
  <c r="CN84" i="1"/>
  <c r="CN86" i="1"/>
  <c r="CO236" i="1"/>
  <c r="BQ279" i="1"/>
  <c r="BQ294" i="1"/>
  <c r="BQ297" i="1" s="1"/>
  <c r="CI297" i="1"/>
  <c r="AU294" i="1"/>
  <c r="AU296" i="1" s="1"/>
  <c r="CR82" i="1"/>
  <c r="BR285" i="1"/>
  <c r="CS294" i="1"/>
  <c r="CS296" i="1" s="1"/>
  <c r="CN83" i="1"/>
  <c r="CN87" i="1"/>
  <c r="AR287" i="1"/>
  <c r="U248" i="1"/>
  <c r="CL77" i="1"/>
  <c r="W12" i="1"/>
  <c r="W11" i="1" s="1"/>
  <c r="BK12" i="1"/>
  <c r="BK11" i="1" s="1"/>
  <c r="BP400" i="1"/>
  <c r="K223" i="1"/>
  <c r="CM298" i="1"/>
  <c r="K248" i="1"/>
  <c r="AQ279" i="1"/>
  <c r="AE294" i="1"/>
  <c r="AE296" i="1" s="1"/>
  <c r="AF285" i="1"/>
  <c r="AR285" i="1"/>
  <c r="T400" i="1"/>
  <c r="AE293" i="1"/>
  <c r="AE292" i="1" s="1"/>
  <c r="AF282" i="1"/>
  <c r="AE224" i="1"/>
  <c r="AE71" i="1" s="1"/>
  <c r="AE70" i="1" s="1"/>
  <c r="AQ293" i="1"/>
  <c r="AQ298" i="1" s="1"/>
  <c r="CS293" i="1"/>
  <c r="CS299" i="1" s="1"/>
  <c r="CY69" i="1"/>
  <c r="BX88" i="1"/>
  <c r="AZ287" i="1"/>
  <c r="CM236" i="1"/>
  <c r="BX80" i="1"/>
  <c r="BW74" i="1"/>
  <c r="BX76" i="1" s="1"/>
  <c r="BE248" i="1"/>
  <c r="BX84" i="1"/>
  <c r="AW293" i="1"/>
  <c r="AW298" i="1" s="1"/>
  <c r="BX86" i="1"/>
  <c r="BX82" i="1"/>
  <c r="BX85" i="1"/>
  <c r="BX77" i="1"/>
  <c r="W70" i="1"/>
  <c r="BK248" i="1"/>
  <c r="CC294" i="1"/>
  <c r="CC296" i="1" s="1"/>
  <c r="BX87" i="1"/>
  <c r="AZ285" i="1"/>
  <c r="I331" i="1"/>
  <c r="AY293" i="1"/>
  <c r="AY298" i="1" s="1"/>
  <c r="BX89" i="1"/>
  <c r="AY224" i="1"/>
  <c r="AY71" i="1" s="1"/>
  <c r="AY70" i="1" s="1"/>
  <c r="AY69" i="1" s="1"/>
  <c r="CQ248" i="1"/>
  <c r="BX83" i="1"/>
  <c r="AZ281" i="1"/>
  <c r="AY294" i="1"/>
  <c r="AY296" i="1" s="1"/>
  <c r="BW299" i="1"/>
  <c r="AX282" i="1"/>
  <c r="BS294" i="1"/>
  <c r="BS296" i="1" s="1"/>
  <c r="CX88" i="1"/>
  <c r="AX285" i="1"/>
  <c r="AN287" i="1"/>
  <c r="BT281" i="1"/>
  <c r="BT126" i="1"/>
  <c r="K70" i="1"/>
  <c r="K69" i="1" s="1"/>
  <c r="AM279" i="1"/>
  <c r="AM293" i="1"/>
  <c r="AM292" i="1" s="1"/>
  <c r="U223" i="1"/>
  <c r="BX126" i="1"/>
  <c r="AM294" i="1"/>
  <c r="AM297" i="1" s="1"/>
  <c r="CF85" i="1"/>
  <c r="CK70" i="1"/>
  <c r="AS279" i="1"/>
  <c r="AS224" i="1"/>
  <c r="AS71" i="1" s="1"/>
  <c r="AS70" i="1" s="1"/>
  <c r="AS69" i="1" s="1"/>
  <c r="BL126" i="1"/>
  <c r="AS293" i="1"/>
  <c r="AS298" i="1" s="1"/>
  <c r="AW294" i="1"/>
  <c r="AW296" i="1" s="1"/>
  <c r="BT287" i="1"/>
  <c r="CN280" i="1"/>
  <c r="AM223" i="1"/>
  <c r="CA12" i="1"/>
  <c r="CA11" i="1" s="1"/>
  <c r="BA293" i="1"/>
  <c r="BA298" i="1" s="1"/>
  <c r="BW298" i="1"/>
  <c r="BQ299" i="1"/>
  <c r="BT285" i="1"/>
  <c r="CY12" i="1"/>
  <c r="CY11" i="1" s="1"/>
  <c r="AT285" i="1"/>
  <c r="BB285" i="1"/>
  <c r="CC293" i="1"/>
  <c r="CC298" i="1" s="1"/>
  <c r="BT282" i="1"/>
  <c r="CC12" i="1"/>
  <c r="CC11" i="1" s="1"/>
  <c r="BW223" i="1"/>
  <c r="AS294" i="1"/>
  <c r="AS297" i="1" s="1"/>
  <c r="AA12" i="1"/>
  <c r="AA11" i="1" s="1"/>
  <c r="U70" i="1"/>
  <c r="CC279" i="1"/>
  <c r="BS279" i="1"/>
  <c r="BZ400" i="1"/>
  <c r="W248" i="1"/>
  <c r="CE236" i="1"/>
  <c r="CV82" i="1"/>
  <c r="DF86" i="1"/>
  <c r="DF77" i="1"/>
  <c r="DF84" i="1"/>
  <c r="DF81" i="1"/>
  <c r="DF82" i="1"/>
  <c r="DF89" i="1"/>
  <c r="DF83" i="1"/>
  <c r="DF88" i="1"/>
  <c r="DF80" i="1"/>
  <c r="DF87" i="1"/>
  <c r="DF78" i="1"/>
  <c r="DF85" i="1"/>
  <c r="BS293" i="1"/>
  <c r="BS299" i="1" s="1"/>
  <c r="CB280" i="1"/>
  <c r="CV88" i="1"/>
  <c r="AM219" i="1"/>
  <c r="AT287" i="1"/>
  <c r="AQ297" i="1"/>
  <c r="AQ291" i="1"/>
  <c r="AQ296" i="1"/>
  <c r="CM292" i="1"/>
  <c r="BL287" i="1"/>
  <c r="I398" i="1"/>
  <c r="P400" i="1"/>
  <c r="K14" i="1"/>
  <c r="K12" i="1" s="1"/>
  <c r="K11" i="1" s="1"/>
  <c r="AW248" i="1"/>
  <c r="BW12" i="1"/>
  <c r="BW11" i="1" s="1"/>
  <c r="CI70" i="1"/>
  <c r="CE248" i="1"/>
  <c r="CI236" i="1"/>
  <c r="AV282" i="1"/>
  <c r="CZ83" i="1"/>
  <c r="CF88" i="1"/>
  <c r="CF89" i="1"/>
  <c r="BX81" i="1"/>
  <c r="AM12" i="1"/>
  <c r="AM11" i="1" s="1"/>
  <c r="AU224" i="1"/>
  <c r="AU71" i="1" s="1"/>
  <c r="AU70" i="1" s="1"/>
  <c r="CD80" i="1"/>
  <c r="CC236" i="1"/>
  <c r="CA223" i="1"/>
  <c r="AU248" i="1"/>
  <c r="AE12" i="1"/>
  <c r="AE11" i="1" s="1"/>
  <c r="BQ248" i="1"/>
  <c r="AK70" i="1"/>
  <c r="AR282" i="1"/>
  <c r="AQ224" i="1"/>
  <c r="AQ71" i="1" s="1"/>
  <c r="AQ70" i="1" s="1"/>
  <c r="AQ69" i="1" s="1"/>
  <c r="AV287" i="1"/>
  <c r="I38" i="1"/>
  <c r="I37" i="1" s="1"/>
  <c r="J130" i="1"/>
  <c r="BU292" i="1"/>
  <c r="CD88" i="1"/>
  <c r="AW223" i="1"/>
  <c r="CI223" i="1"/>
  <c r="BO248" i="1"/>
  <c r="CS12" i="1"/>
  <c r="CS11" i="1" s="1"/>
  <c r="L280" i="1"/>
  <c r="AU293" i="1"/>
  <c r="AU298" i="1" s="1"/>
  <c r="CC248" i="1"/>
  <c r="CJ400" i="1"/>
  <c r="M296" i="1"/>
  <c r="AB115" i="1"/>
  <c r="AK223" i="1"/>
  <c r="CL80" i="1"/>
  <c r="AQ12" i="1"/>
  <c r="AQ11" i="1" s="1"/>
  <c r="CX287" i="1"/>
  <c r="CF287" i="1"/>
  <c r="CL82" i="1"/>
  <c r="R400" i="1"/>
  <c r="CL87" i="1"/>
  <c r="J17" i="1"/>
  <c r="CV400" i="1"/>
  <c r="AZ400" i="1"/>
  <c r="BD400" i="1"/>
  <c r="BJ285" i="1"/>
  <c r="CF115" i="1"/>
  <c r="CF400" i="1"/>
  <c r="CX285" i="1"/>
  <c r="I232" i="1"/>
  <c r="CG70" i="1"/>
  <c r="V400" i="1"/>
  <c r="CG223" i="1"/>
  <c r="CU248" i="1"/>
  <c r="AJ400" i="1"/>
  <c r="X280" i="1"/>
  <c r="CL85" i="1"/>
  <c r="CL78" i="1"/>
  <c r="I244" i="1"/>
  <c r="BJ287" i="1"/>
  <c r="CL88" i="1"/>
  <c r="CU294" i="1"/>
  <c r="CU296" i="1" s="1"/>
  <c r="AO248" i="1"/>
  <c r="BH126" i="1"/>
  <c r="CL84" i="1"/>
  <c r="M291" i="1"/>
  <c r="CL86" i="1"/>
  <c r="CK74" i="1"/>
  <c r="CL75" i="1" s="1"/>
  <c r="CV285" i="1"/>
  <c r="BW236" i="1"/>
  <c r="BJ282" i="1"/>
  <c r="AY248" i="1"/>
  <c r="AB282" i="1"/>
  <c r="AW279" i="1"/>
  <c r="CD89" i="1"/>
  <c r="Q223" i="1"/>
  <c r="CQ224" i="1"/>
  <c r="CQ71" i="1" s="1"/>
  <c r="CQ70" i="1" s="1"/>
  <c r="CR281" i="1"/>
  <c r="CQ279" i="1"/>
  <c r="CR285" i="1"/>
  <c r="S73" i="1"/>
  <c r="S70" i="1" s="1"/>
  <c r="S69" i="1" s="1"/>
  <c r="S248" i="1"/>
  <c r="CQ12" i="1"/>
  <c r="CQ11" i="1" s="1"/>
  <c r="AI248" i="1"/>
  <c r="M298" i="1"/>
  <c r="CE74" i="1"/>
  <c r="CF75" i="1" s="1"/>
  <c r="AJ115" i="1"/>
  <c r="AB285" i="1"/>
  <c r="AB287" i="1"/>
  <c r="AF115" i="1"/>
  <c r="CD81" i="1"/>
  <c r="CZ76" i="1"/>
  <c r="Q12" i="1"/>
  <c r="Q11" i="1" s="1"/>
  <c r="AZ115" i="1"/>
  <c r="W77" i="1"/>
  <c r="CA236" i="1"/>
  <c r="CH280" i="1"/>
  <c r="AQ248" i="1"/>
  <c r="Y248" i="1"/>
  <c r="CI12" i="1"/>
  <c r="CI11" i="1" s="1"/>
  <c r="CU224" i="1"/>
  <c r="CU71" i="1" s="1"/>
  <c r="CU70" i="1" s="1"/>
  <c r="CU69" i="1" s="1"/>
  <c r="CV281" i="1"/>
  <c r="BU297" i="1"/>
  <c r="CK223" i="1"/>
  <c r="AA294" i="1"/>
  <c r="AA296" i="1" s="1"/>
  <c r="CP285" i="1"/>
  <c r="CP281" i="1"/>
  <c r="M292" i="1"/>
  <c r="CU293" i="1"/>
  <c r="CU298" i="1" s="1"/>
  <c r="CQ293" i="1"/>
  <c r="CQ298" i="1" s="1"/>
  <c r="AX126" i="1"/>
  <c r="BR115" i="1"/>
  <c r="BD126" i="1"/>
  <c r="CF80" i="1"/>
  <c r="CF83" i="1"/>
  <c r="CD83" i="1"/>
  <c r="BP126" i="1"/>
  <c r="BN400" i="1"/>
  <c r="AW70" i="1"/>
  <c r="AW69" i="1" s="1"/>
  <c r="CT287" i="1"/>
  <c r="CT281" i="1"/>
  <c r="CS224" i="1"/>
  <c r="CS71" i="1" s="1"/>
  <c r="BS12" i="1"/>
  <c r="BS11" i="1" s="1"/>
  <c r="AX115" i="1"/>
  <c r="U76" i="1"/>
  <c r="U74" i="1" s="1"/>
  <c r="BT400" i="1"/>
  <c r="AU76" i="1"/>
  <c r="AU74" i="1" s="1"/>
  <c r="AA279" i="1"/>
  <c r="CU279" i="1"/>
  <c r="N280" i="1"/>
  <c r="AA293" i="1"/>
  <c r="AA299" i="1" s="1"/>
  <c r="BF281" i="1"/>
  <c r="AX287" i="1"/>
  <c r="CQ294" i="1"/>
  <c r="CQ296" i="1" s="1"/>
  <c r="W225" i="1"/>
  <c r="W223" i="1" s="1"/>
  <c r="AR115" i="1"/>
  <c r="AZ126" i="1"/>
  <c r="AR126" i="1"/>
  <c r="CC74" i="1"/>
  <c r="CD76" i="1" s="1"/>
  <c r="I145" i="1"/>
  <c r="CD77" i="1"/>
  <c r="CD82" i="1"/>
  <c r="BE88" i="1"/>
  <c r="BE242" i="1" s="1"/>
  <c r="M37" i="1"/>
  <c r="W239" i="1"/>
  <c r="W85" i="1" s="1"/>
  <c r="BF400" i="1"/>
  <c r="BM248" i="1"/>
  <c r="BF285" i="1"/>
  <c r="CY248" i="1"/>
  <c r="CH400" i="1"/>
  <c r="CT400" i="1"/>
  <c r="CM12" i="1"/>
  <c r="CM11" i="1" s="1"/>
  <c r="BG12" i="1"/>
  <c r="BG11" i="1" s="1"/>
  <c r="CK248" i="1"/>
  <c r="CL81" i="1"/>
  <c r="CL83" i="1"/>
  <c r="O12" i="1"/>
  <c r="O11" i="1" s="1"/>
  <c r="BQ298" i="1"/>
  <c r="AW12" i="1"/>
  <c r="AW11" i="1" s="1"/>
  <c r="CD85" i="1"/>
  <c r="AX281" i="1"/>
  <c r="Y239" i="1"/>
  <c r="Y85" i="1" s="1"/>
  <c r="BZ126" i="1"/>
  <c r="AV126" i="1"/>
  <c r="CD285" i="1"/>
  <c r="CD281" i="1"/>
  <c r="CC224" i="1"/>
  <c r="CC71" i="1" s="1"/>
  <c r="CC70" i="1" s="1"/>
  <c r="CF281" i="1"/>
  <c r="CE279" i="1"/>
  <c r="CE224" i="1"/>
  <c r="CE71" i="1" s="1"/>
  <c r="CE70" i="1" s="1"/>
  <c r="AU12" i="1"/>
  <c r="AU11" i="1" s="1"/>
  <c r="BC12" i="1"/>
  <c r="BC11" i="1" s="1"/>
  <c r="CV75" i="1"/>
  <c r="CV76" i="1"/>
  <c r="AJ282" i="1"/>
  <c r="AI279" i="1"/>
  <c r="AI224" i="1"/>
  <c r="AI71" i="1" s="1"/>
  <c r="AI70" i="1" s="1"/>
  <c r="CV115" i="1"/>
  <c r="CX81" i="1"/>
  <c r="CZ82" i="1"/>
  <c r="CR87" i="1"/>
  <c r="AN115" i="1"/>
  <c r="CR88" i="1"/>
  <c r="Q219" i="1"/>
  <c r="S219" i="1" s="1"/>
  <c r="U219" i="1" s="1"/>
  <c r="W219" i="1" s="1"/>
  <c r="Y219" i="1" s="1"/>
  <c r="AA219" i="1" s="1"/>
  <c r="AC219" i="1" s="1"/>
  <c r="AE219" i="1" s="1"/>
  <c r="AG219" i="1" s="1"/>
  <c r="CX86" i="1"/>
  <c r="DB88" i="1"/>
  <c r="DB81" i="1"/>
  <c r="DB87" i="1"/>
  <c r="DB80" i="1"/>
  <c r="DB86" i="1"/>
  <c r="DB82" i="1"/>
  <c r="DB78" i="1"/>
  <c r="DB77" i="1"/>
  <c r="DB84" i="1"/>
  <c r="DB83" i="1"/>
  <c r="DB89" i="1"/>
  <c r="CV87" i="1"/>
  <c r="CV86" i="1"/>
  <c r="CZ77" i="1"/>
  <c r="CX78" i="1"/>
  <c r="DB85" i="1"/>
  <c r="CX80" i="1"/>
  <c r="CV77" i="1"/>
  <c r="CT87" i="1"/>
  <c r="CZ81" i="1"/>
  <c r="CX84" i="1"/>
  <c r="CV81" i="1"/>
  <c r="CZ78" i="1"/>
  <c r="CV84" i="1"/>
  <c r="CT78" i="1"/>
  <c r="CZ86" i="1"/>
  <c r="BA294" i="1"/>
  <c r="BA279" i="1"/>
  <c r="BA224" i="1"/>
  <c r="BA71" i="1" s="1"/>
  <c r="BA70" i="1" s="1"/>
  <c r="BA69" i="1" s="1"/>
  <c r="BG294" i="1"/>
  <c r="BG279" i="1"/>
  <c r="BG224" i="1"/>
  <c r="BG71" i="1" s="1"/>
  <c r="BG70" i="1" s="1"/>
  <c r="BH281" i="1"/>
  <c r="BH282" i="1"/>
  <c r="BG293" i="1"/>
  <c r="BG298" i="1" s="1"/>
  <c r="BY279" i="1"/>
  <c r="BY224" i="1"/>
  <c r="BY293" i="1"/>
  <c r="CU12" i="1"/>
  <c r="CU11" i="1" s="1"/>
  <c r="J381" i="1"/>
  <c r="BB282" i="1"/>
  <c r="AT126" i="1"/>
  <c r="BP115" i="1"/>
  <c r="J116" i="1"/>
  <c r="CV78" i="1"/>
  <c r="AL115" i="1"/>
  <c r="CT85" i="1"/>
  <c r="CZ84" i="1"/>
  <c r="CZ85" i="1"/>
  <c r="BH287" i="1"/>
  <c r="CD84" i="1"/>
  <c r="CD87" i="1"/>
  <c r="CD78" i="1"/>
  <c r="DB126" i="1"/>
  <c r="BB287" i="1"/>
  <c r="CS73" i="1"/>
  <c r="CS248" i="1"/>
  <c r="CM297" i="1"/>
  <c r="CM291" i="1"/>
  <c r="CT86" i="1"/>
  <c r="BF126" i="1"/>
  <c r="CV126" i="1"/>
  <c r="CN115" i="1"/>
  <c r="CT84" i="1"/>
  <c r="CV85" i="1"/>
  <c r="CV80" i="1"/>
  <c r="CT83" i="1"/>
  <c r="CR80" i="1"/>
  <c r="CG248" i="1"/>
  <c r="DB115" i="1"/>
  <c r="BR400" i="1"/>
  <c r="AJ285" i="1"/>
  <c r="CR85" i="1"/>
  <c r="CZ80" i="1"/>
  <c r="CZ87" i="1"/>
  <c r="AL280" i="1"/>
  <c r="CD126" i="1"/>
  <c r="BX115" i="1"/>
  <c r="CX77" i="1"/>
  <c r="AV115" i="1"/>
  <c r="AD126" i="1"/>
  <c r="CX89" i="1"/>
  <c r="CX83" i="1"/>
  <c r="CT89" i="1"/>
  <c r="CR77" i="1"/>
  <c r="CR83" i="1"/>
  <c r="CX85" i="1"/>
  <c r="BE293" i="1"/>
  <c r="BE279" i="1"/>
  <c r="BF287" i="1"/>
  <c r="BE224" i="1"/>
  <c r="BE71" i="1" s="1"/>
  <c r="BE70" i="1" s="1"/>
  <c r="BF282" i="1"/>
  <c r="AX400" i="1"/>
  <c r="Q70" i="1"/>
  <c r="Q69" i="1" s="1"/>
  <c r="CQ236" i="1"/>
  <c r="BZ115" i="1"/>
  <c r="BN115" i="1"/>
  <c r="CT81" i="1"/>
  <c r="CM296" i="1"/>
  <c r="AI294" i="1"/>
  <c r="AI291" i="1" s="1"/>
  <c r="BH400" i="1"/>
  <c r="CZ400" i="1"/>
  <c r="J280" i="1"/>
  <c r="BJ126" i="1"/>
  <c r="CZ115" i="1"/>
  <c r="AT115" i="1"/>
  <c r="CS74" i="1"/>
  <c r="CT75" i="1" s="1"/>
  <c r="CZ89" i="1"/>
  <c r="CT77" i="1"/>
  <c r="CX115" i="1"/>
  <c r="CX82" i="1"/>
  <c r="BT115" i="1"/>
  <c r="CT88" i="1"/>
  <c r="CT82" i="1"/>
  <c r="CR81" i="1"/>
  <c r="AN126" i="1"/>
  <c r="AH126" i="1"/>
  <c r="CQ74" i="1"/>
  <c r="CR76" i="1" s="1"/>
  <c r="DB75" i="1"/>
  <c r="AG248" i="1"/>
  <c r="BA248" i="1"/>
  <c r="BB400" i="1"/>
  <c r="AJ287" i="1"/>
  <c r="CD400" i="1"/>
  <c r="AR400" i="1"/>
  <c r="AI293" i="1"/>
  <c r="AI292" i="1" s="1"/>
  <c r="BH115" i="1"/>
  <c r="BR126" i="1"/>
  <c r="CJ126" i="1"/>
  <c r="CZ88" i="1"/>
  <c r="CT80" i="1"/>
  <c r="CV89" i="1"/>
  <c r="CV83" i="1"/>
  <c r="CR86" i="1"/>
  <c r="CR84" i="1"/>
  <c r="CZ126" i="1"/>
  <c r="CL400" i="1"/>
  <c r="DB280" i="1"/>
  <c r="BI224" i="1"/>
  <c r="BJ281" i="1"/>
  <c r="BI293" i="1"/>
  <c r="BI279" i="1"/>
  <c r="CK299" i="1"/>
  <c r="CK292" i="1"/>
  <c r="CF78" i="1"/>
  <c r="CF87" i="1"/>
  <c r="CF86" i="1"/>
  <c r="CF84" i="1"/>
  <c r="CF77" i="1"/>
  <c r="CF81" i="1"/>
  <c r="O69" i="1"/>
  <c r="Z280" i="1"/>
  <c r="V280" i="1"/>
  <c r="BZ280" i="1"/>
  <c r="BX280" i="1"/>
  <c r="BU296" i="1"/>
  <c r="CJ280" i="1"/>
  <c r="CG297" i="1"/>
  <c r="CG291" i="1"/>
  <c r="CO294" i="1"/>
  <c r="CO296" i="1" s="1"/>
  <c r="CO279" i="1"/>
  <c r="CO293" i="1"/>
  <c r="CO298" i="1" s="1"/>
  <c r="CO224" i="1"/>
  <c r="CJ80" i="1"/>
  <c r="CJ88" i="1"/>
  <c r="CJ83" i="1"/>
  <c r="CJ82" i="1"/>
  <c r="CJ87" i="1"/>
  <c r="CJ84" i="1"/>
  <c r="CJ81" i="1"/>
  <c r="CJ77" i="1"/>
  <c r="CI74" i="1"/>
  <c r="CJ86" i="1"/>
  <c r="CJ78" i="1"/>
  <c r="BZ84" i="1"/>
  <c r="BZ78" i="1"/>
  <c r="BZ86" i="1"/>
  <c r="BZ81" i="1"/>
  <c r="BZ77" i="1"/>
  <c r="BZ80" i="1"/>
  <c r="BZ89" i="1"/>
  <c r="BZ88" i="1"/>
  <c r="BZ82" i="1"/>
  <c r="BZ83" i="1"/>
  <c r="BZ87" i="1"/>
  <c r="CX405" i="1"/>
  <c r="CW398" i="1"/>
  <c r="CW249" i="1"/>
  <c r="BO292" i="1"/>
  <c r="BO299" i="1"/>
  <c r="CX126" i="1"/>
  <c r="CR126" i="1"/>
  <c r="AB400" i="1"/>
  <c r="CX401" i="1"/>
  <c r="CK296" i="1"/>
  <c r="CB400" i="1"/>
  <c r="BE297" i="1"/>
  <c r="BE291" i="1"/>
  <c r="CP126" i="1"/>
  <c r="CH126" i="1"/>
  <c r="AJ126" i="1"/>
  <c r="CP115" i="1"/>
  <c r="AB126" i="1"/>
  <c r="Z126" i="1"/>
  <c r="CP84" i="1"/>
  <c r="CP78" i="1"/>
  <c r="CP86" i="1"/>
  <c r="CP81" i="1"/>
  <c r="CP77" i="1"/>
  <c r="CP80" i="1"/>
  <c r="CP89" i="1"/>
  <c r="CP87" i="1"/>
  <c r="CP83" i="1"/>
  <c r="CP88" i="1"/>
  <c r="CP82" i="1"/>
  <c r="J129" i="1"/>
  <c r="J119" i="1"/>
  <c r="J127" i="1"/>
  <c r="J128" i="1"/>
  <c r="J131" i="1"/>
  <c r="J117" i="1"/>
  <c r="CJ85" i="1"/>
  <c r="CB87" i="1"/>
  <c r="CB78" i="1"/>
  <c r="CB86" i="1"/>
  <c r="CB81" i="1"/>
  <c r="CB77" i="1"/>
  <c r="CB80" i="1"/>
  <c r="CB82" i="1"/>
  <c r="CB85" i="1"/>
  <c r="CB88" i="1"/>
  <c r="CA74" i="1"/>
  <c r="CB76" i="1" s="1"/>
  <c r="CB83" i="1"/>
  <c r="CB84" i="1"/>
  <c r="CG296" i="1"/>
  <c r="S291" i="1"/>
  <c r="S297" i="1"/>
  <c r="S296" i="1"/>
  <c r="CB126" i="1"/>
  <c r="BP280" i="1"/>
  <c r="L400" i="1"/>
  <c r="BY297" i="1"/>
  <c r="BY291" i="1"/>
  <c r="BW297" i="1"/>
  <c r="BW291" i="1"/>
  <c r="BE296" i="1"/>
  <c r="Y297" i="1"/>
  <c r="Y291" i="1"/>
  <c r="Y227" i="1"/>
  <c r="W80" i="1"/>
  <c r="AA242" i="1"/>
  <c r="Y88" i="1"/>
  <c r="CF126" i="1"/>
  <c r="BB126" i="1"/>
  <c r="AF126" i="1"/>
  <c r="BB115" i="1"/>
  <c r="CP85" i="1"/>
  <c r="BJ115" i="1"/>
  <c r="BF115" i="1"/>
  <c r="CO74" i="1"/>
  <c r="CA299" i="1"/>
  <c r="CA292" i="1"/>
  <c r="CJ89" i="1"/>
  <c r="AG12" i="1"/>
  <c r="AG11" i="1" s="1"/>
  <c r="CA297" i="1"/>
  <c r="CA291" i="1"/>
  <c r="AP126" i="1"/>
  <c r="BD115" i="1"/>
  <c r="CZ75" i="1"/>
  <c r="CT115" i="1"/>
  <c r="CX404" i="1"/>
  <c r="BO298" i="1"/>
  <c r="Y299" i="1"/>
  <c r="Y292" i="1"/>
  <c r="BI297" i="1"/>
  <c r="BI291" i="1"/>
  <c r="CI299" i="1"/>
  <c r="CI292" i="1"/>
  <c r="BV280" i="1"/>
  <c r="BD280" i="1"/>
  <c r="AA241" i="1"/>
  <c r="Y87" i="1"/>
  <c r="I280" i="1"/>
  <c r="I138" i="1"/>
  <c r="J143" i="1"/>
  <c r="I137" i="1" s="1"/>
  <c r="AL126" i="1"/>
  <c r="AP115" i="1"/>
  <c r="CD115" i="1"/>
  <c r="CL115" i="1"/>
  <c r="J118" i="1"/>
  <c r="BO230" i="1"/>
  <c r="BO225" i="1" s="1"/>
  <c r="BO223" i="1" s="1"/>
  <c r="BQ78" i="1"/>
  <c r="BO76" i="1"/>
  <c r="BP78" i="1" s="1"/>
  <c r="CH115" i="1"/>
  <c r="CW294" i="1"/>
  <c r="CW293" i="1"/>
  <c r="CW279" i="1"/>
  <c r="CW224" i="1"/>
  <c r="CH86" i="1"/>
  <c r="CH81" i="1"/>
  <c r="CH77" i="1"/>
  <c r="CH88" i="1"/>
  <c r="CH83" i="1"/>
  <c r="CH82" i="1"/>
  <c r="CH87" i="1"/>
  <c r="CG74" i="1"/>
  <c r="CH76" i="1" s="1"/>
  <c r="CH89" i="1"/>
  <c r="CH80" i="1"/>
  <c r="CH78" i="1"/>
  <c r="CH84" i="1"/>
  <c r="AK299" i="1"/>
  <c r="AK292" i="1"/>
  <c r="AF400" i="1"/>
  <c r="BN280" i="1"/>
  <c r="CL280" i="1"/>
  <c r="BI296" i="1"/>
  <c r="BC299" i="1"/>
  <c r="BC292" i="1"/>
  <c r="Y298" i="1"/>
  <c r="CT126" i="1"/>
  <c r="CN126" i="1"/>
  <c r="CJ115" i="1"/>
  <c r="BL115" i="1"/>
  <c r="BV115" i="1"/>
  <c r="M13" i="1"/>
  <c r="M16" i="1"/>
  <c r="CB115" i="1"/>
  <c r="BY74" i="1"/>
  <c r="BZ76" i="1" s="1"/>
  <c r="CY299" i="1"/>
  <c r="CY292" i="1"/>
  <c r="Q299" i="1"/>
  <c r="Q292" i="1"/>
  <c r="Q291" i="1"/>
  <c r="Q297" i="1"/>
  <c r="Q296" i="1"/>
  <c r="CN400" i="1"/>
  <c r="BM299" i="1"/>
  <c r="BM292" i="1"/>
  <c r="BC297" i="1"/>
  <c r="BC291" i="1"/>
  <c r="P280" i="1"/>
  <c r="CL126" i="1"/>
  <c r="BC228" i="1"/>
  <c r="BC225" i="1" s="1"/>
  <c r="BC223" i="1" s="1"/>
  <c r="BE81" i="1"/>
  <c r="BC76" i="1"/>
  <c r="BC74" i="1" s="1"/>
  <c r="BC69" i="1" s="1"/>
  <c r="K299" i="1"/>
  <c r="K292" i="1"/>
  <c r="S299" i="1"/>
  <c r="S292" i="1"/>
  <c r="O297" i="1"/>
  <c r="O291" i="1"/>
  <c r="BC239" i="1"/>
  <c r="BE85" i="1"/>
  <c r="BQ227" i="1"/>
  <c r="BS80" i="1"/>
  <c r="CY297" i="1"/>
  <c r="CY291" i="1"/>
  <c r="BZ85" i="1"/>
  <c r="CH85" i="1"/>
  <c r="U299" i="1"/>
  <c r="U292" i="1"/>
  <c r="BO297" i="1"/>
  <c r="BO291" i="1"/>
  <c r="W299" i="1"/>
  <c r="W292" i="1"/>
  <c r="BX400" i="1"/>
  <c r="X400" i="1"/>
  <c r="CK297" i="1"/>
  <c r="AN400" i="1"/>
  <c r="W297" i="1"/>
  <c r="W291" i="1"/>
  <c r="BM297" i="1"/>
  <c r="BM291" i="1"/>
  <c r="T280" i="1"/>
  <c r="AO297" i="1"/>
  <c r="AO291" i="1"/>
  <c r="R280" i="1"/>
  <c r="BC296" i="1"/>
  <c r="O299" i="1"/>
  <c r="O292" i="1"/>
  <c r="CR115" i="1"/>
  <c r="BV126" i="1"/>
  <c r="BN126" i="1"/>
  <c r="AD115" i="1"/>
  <c r="BC241" i="1"/>
  <c r="BE87" i="1"/>
  <c r="Z115" i="1"/>
  <c r="AH115" i="1"/>
  <c r="CW74" i="1"/>
  <c r="CX76" i="1" s="1"/>
  <c r="CB89" i="1"/>
  <c r="J13" i="1"/>
  <c r="J12" i="1" s="1"/>
  <c r="CE299" i="1" l="1"/>
  <c r="AG298" i="1"/>
  <c r="AH280" i="1"/>
  <c r="J400" i="1"/>
  <c r="AD280" i="1"/>
  <c r="CE291" i="1"/>
  <c r="CE297" i="1"/>
  <c r="AC292" i="1"/>
  <c r="AC298" i="1"/>
  <c r="AC296" i="1"/>
  <c r="CE292" i="1"/>
  <c r="AC291" i="1"/>
  <c r="BQ296" i="1"/>
  <c r="AE299" i="1"/>
  <c r="AA77" i="1"/>
  <c r="AW297" i="1"/>
  <c r="CS292" i="1"/>
  <c r="AW291" i="1"/>
  <c r="BK298" i="1"/>
  <c r="AE297" i="1"/>
  <c r="CS298" i="1"/>
  <c r="BK292" i="1"/>
  <c r="AG292" i="1"/>
  <c r="AS291" i="1"/>
  <c r="BK223" i="1"/>
  <c r="AE291" i="1"/>
  <c r="W238" i="1"/>
  <c r="W236" i="1" s="1"/>
  <c r="CS297" i="1"/>
  <c r="AG291" i="1"/>
  <c r="BK297" i="1"/>
  <c r="AM296" i="1"/>
  <c r="AQ292" i="1"/>
  <c r="CN76" i="1"/>
  <c r="AA239" i="1"/>
  <c r="AA85" i="1" s="1"/>
  <c r="CM69" i="1"/>
  <c r="AG297" i="1"/>
  <c r="BK291" i="1"/>
  <c r="BL280" i="1"/>
  <c r="CS291" i="1"/>
  <c r="AY292" i="1"/>
  <c r="BS298" i="1"/>
  <c r="AA291" i="1"/>
  <c r="AZ280" i="1"/>
  <c r="AY299" i="1"/>
  <c r="AS223" i="1"/>
  <c r="AE298" i="1"/>
  <c r="BQ291" i="1"/>
  <c r="AU292" i="1"/>
  <c r="BS292" i="1"/>
  <c r="BA299" i="1"/>
  <c r="AN280" i="1"/>
  <c r="BR280" i="1"/>
  <c r="AU291" i="1"/>
  <c r="AU297" i="1"/>
  <c r="AS296" i="1"/>
  <c r="BX75" i="1"/>
  <c r="BW69" i="1"/>
  <c r="AF280" i="1"/>
  <c r="AY291" i="1"/>
  <c r="CD280" i="1"/>
  <c r="AR280" i="1"/>
  <c r="AQ299" i="1"/>
  <c r="AU299" i="1"/>
  <c r="AY297" i="1"/>
  <c r="AW292" i="1"/>
  <c r="AS292" i="1"/>
  <c r="AW299" i="1"/>
  <c r="AA292" i="1"/>
  <c r="AS299" i="1"/>
  <c r="AM291" i="1"/>
  <c r="CC291" i="1"/>
  <c r="CC297" i="1"/>
  <c r="I71" i="1"/>
  <c r="AM299" i="1"/>
  <c r="AM298" i="1"/>
  <c r="BS291" i="1"/>
  <c r="CL76" i="1"/>
  <c r="BS297" i="1"/>
  <c r="AA298" i="1"/>
  <c r="CU292" i="1"/>
  <c r="AT280" i="1"/>
  <c r="BT280" i="1"/>
  <c r="AY223" i="1"/>
  <c r="CU299" i="1"/>
  <c r="AI223" i="1"/>
  <c r="BA292" i="1"/>
  <c r="CC69" i="1"/>
  <c r="U69" i="1"/>
  <c r="I14" i="1"/>
  <c r="CC299" i="1"/>
  <c r="CC292" i="1"/>
  <c r="Y238" i="1"/>
  <c r="Y236" i="1" s="1"/>
  <c r="CU297" i="1"/>
  <c r="CP280" i="1"/>
  <c r="CV280" i="1"/>
  <c r="AV280" i="1"/>
  <c r="CT76" i="1"/>
  <c r="AI296" i="1"/>
  <c r="AI297" i="1"/>
  <c r="AQ223" i="1"/>
  <c r="AU69" i="1"/>
  <c r="AX280" i="1"/>
  <c r="CD75" i="1"/>
  <c r="BJ280" i="1"/>
  <c r="CK69" i="1"/>
  <c r="CF280" i="1"/>
  <c r="AB280" i="1"/>
  <c r="AU223" i="1"/>
  <c r="CX280" i="1"/>
  <c r="AA297" i="1"/>
  <c r="CU291" i="1"/>
  <c r="CR280" i="1"/>
  <c r="BF280" i="1"/>
  <c r="CT280" i="1"/>
  <c r="AU219" i="1"/>
  <c r="CF76" i="1"/>
  <c r="CE69" i="1"/>
  <c r="BB280" i="1"/>
  <c r="BH280" i="1"/>
  <c r="CS70" i="1"/>
  <c r="CS69" i="1" s="1"/>
  <c r="AQ219" i="1"/>
  <c r="CQ291" i="1"/>
  <c r="CQ292" i="1"/>
  <c r="BG88" i="1"/>
  <c r="BG242" i="1" s="1"/>
  <c r="AS219" i="1"/>
  <c r="I73" i="1"/>
  <c r="BG223" i="1"/>
  <c r="CQ297" i="1"/>
  <c r="CQ299" i="1"/>
  <c r="CE223" i="1"/>
  <c r="CC223" i="1"/>
  <c r="CU223" i="1"/>
  <c r="CS223" i="1"/>
  <c r="CR75" i="1"/>
  <c r="AI298" i="1"/>
  <c r="BA223" i="1"/>
  <c r="CQ223" i="1"/>
  <c r="CX400" i="1"/>
  <c r="CQ69" i="1"/>
  <c r="BI299" i="1"/>
  <c r="BI298" i="1"/>
  <c r="BI292" i="1"/>
  <c r="AI299" i="1"/>
  <c r="BY299" i="1"/>
  <c r="BY292" i="1"/>
  <c r="BY298" i="1"/>
  <c r="BG297" i="1"/>
  <c r="BG291" i="1"/>
  <c r="BG296" i="1"/>
  <c r="BI71" i="1"/>
  <c r="BI70" i="1" s="1"/>
  <c r="BI223" i="1"/>
  <c r="BY71" i="1"/>
  <c r="BY70" i="1" s="1"/>
  <c r="BY69" i="1" s="1"/>
  <c r="BY223" i="1"/>
  <c r="J115" i="1"/>
  <c r="AJ280" i="1"/>
  <c r="BE292" i="1"/>
  <c r="BE298" i="1"/>
  <c r="BE299" i="1"/>
  <c r="BG299" i="1"/>
  <c r="BG292" i="1"/>
  <c r="BA291" i="1"/>
  <c r="BA296" i="1"/>
  <c r="BA297" i="1"/>
  <c r="CW73" i="1"/>
  <c r="CW248" i="1"/>
  <c r="M12" i="1"/>
  <c r="M11" i="1" s="1"/>
  <c r="I13" i="1"/>
  <c r="BQ230" i="1"/>
  <c r="BQ225" i="1" s="1"/>
  <c r="BQ223" i="1" s="1"/>
  <c r="BS78" i="1"/>
  <c r="BQ76" i="1"/>
  <c r="CI69" i="1"/>
  <c r="CJ75" i="1"/>
  <c r="AA227" i="1"/>
  <c r="Y80" i="1"/>
  <c r="Y76" i="1" s="1"/>
  <c r="Y74" i="1" s="1"/>
  <c r="Y69" i="1" s="1"/>
  <c r="Y225" i="1"/>
  <c r="Y223" i="1" s="1"/>
  <c r="CO297" i="1"/>
  <c r="CO291" i="1"/>
  <c r="BE228" i="1"/>
  <c r="BE225" i="1" s="1"/>
  <c r="BE223" i="1" s="1"/>
  <c r="BE76" i="1"/>
  <c r="BE74" i="1" s="1"/>
  <c r="BE69" i="1" s="1"/>
  <c r="CW299" i="1"/>
  <c r="CW292" i="1"/>
  <c r="BP85" i="1"/>
  <c r="BP88" i="1"/>
  <c r="BP83" i="1"/>
  <c r="BP82" i="1"/>
  <c r="BP89" i="1"/>
  <c r="BP87" i="1"/>
  <c r="BP86" i="1"/>
  <c r="BP84" i="1"/>
  <c r="BP77" i="1"/>
  <c r="BP81" i="1"/>
  <c r="BO74" i="1"/>
  <c r="BP76" i="1" s="1"/>
  <c r="BP80" i="1"/>
  <c r="CW297" i="1"/>
  <c r="CW291" i="1"/>
  <c r="AC239" i="1"/>
  <c r="AE226" i="1"/>
  <c r="AC77" i="1"/>
  <c r="AC241" i="1"/>
  <c r="AA87" i="1"/>
  <c r="CW296" i="1"/>
  <c r="CP75" i="1"/>
  <c r="CJ76" i="1"/>
  <c r="CW71" i="1"/>
  <c r="CW223" i="1"/>
  <c r="J126" i="1"/>
  <c r="BE241" i="1"/>
  <c r="BG87" i="1"/>
  <c r="BG241" i="1" s="1"/>
  <c r="CX75" i="1"/>
  <c r="BE239" i="1"/>
  <c r="BG85" i="1"/>
  <c r="BZ75" i="1"/>
  <c r="CW298" i="1"/>
  <c r="I294" i="1"/>
  <c r="I296" i="1" s="1"/>
  <c r="I293" i="1"/>
  <c r="I298" i="1" s="1"/>
  <c r="I279" i="1"/>
  <c r="I224" i="1"/>
  <c r="AC242" i="1"/>
  <c r="AA88" i="1"/>
  <c r="CB75" i="1"/>
  <c r="CA69" i="1"/>
  <c r="CP76" i="1"/>
  <c r="CO71" i="1"/>
  <c r="CO70" i="1" s="1"/>
  <c r="CO69" i="1" s="1"/>
  <c r="CO223" i="1"/>
  <c r="CG69" i="1"/>
  <c r="CH75" i="1"/>
  <c r="BS227" i="1"/>
  <c r="BU80" i="1"/>
  <c r="BC238" i="1"/>
  <c r="BC236" i="1" s="1"/>
  <c r="W76" i="1"/>
  <c r="W74" i="1" s="1"/>
  <c r="W69" i="1" s="1"/>
  <c r="CO299" i="1"/>
  <c r="CO292" i="1"/>
  <c r="AA238" i="1" l="1"/>
  <c r="AA236" i="1" s="1"/>
  <c r="I70" i="1"/>
  <c r="I12" i="1"/>
  <c r="I11" i="1" s="1"/>
  <c r="CW70" i="1"/>
  <c r="CW69" i="1" s="1"/>
  <c r="BS230" i="1"/>
  <c r="BS225" i="1" s="1"/>
  <c r="BS223" i="1" s="1"/>
  <c r="BS76" i="1"/>
  <c r="BT78" i="1" s="1"/>
  <c r="BU78" i="1"/>
  <c r="AC238" i="1"/>
  <c r="AC236" i="1" s="1"/>
  <c r="AC85" i="1"/>
  <c r="AE241" i="1"/>
  <c r="AC87" i="1"/>
  <c r="BO69" i="1"/>
  <c r="BP75" i="1"/>
  <c r="BE238" i="1"/>
  <c r="BE236" i="1" s="1"/>
  <c r="AC227" i="1"/>
  <c r="AA80" i="1"/>
  <c r="AA76" i="1" s="1"/>
  <c r="AA74" i="1" s="1"/>
  <c r="AA69" i="1" s="1"/>
  <c r="AA225" i="1"/>
  <c r="AA223" i="1" s="1"/>
  <c r="AE242" i="1"/>
  <c r="AC88" i="1"/>
  <c r="BG239" i="1"/>
  <c r="BG238" i="1" s="1"/>
  <c r="BG236" i="1" s="1"/>
  <c r="BI85" i="1"/>
  <c r="BG76" i="1"/>
  <c r="BG74" i="1" s="1"/>
  <c r="BG69" i="1" s="1"/>
  <c r="BU227" i="1"/>
  <c r="I292" i="1"/>
  <c r="I299" i="1"/>
  <c r="I297" i="1"/>
  <c r="I291" i="1"/>
  <c r="BR86" i="1"/>
  <c r="BR81" i="1"/>
  <c r="BR77" i="1"/>
  <c r="BR88" i="1"/>
  <c r="BR83" i="1"/>
  <c r="BR82" i="1"/>
  <c r="BR87" i="1"/>
  <c r="BR84" i="1"/>
  <c r="BQ74" i="1"/>
  <c r="BR89" i="1"/>
  <c r="BR85" i="1"/>
  <c r="BR80" i="1"/>
  <c r="AG226" i="1"/>
  <c r="AE239" i="1"/>
  <c r="AE225" i="1"/>
  <c r="AE223" i="1" s="1"/>
  <c r="AE77" i="1"/>
  <c r="BR78" i="1"/>
  <c r="BQ69" i="1" l="1"/>
  <c r="BR75" i="1"/>
  <c r="AG241" i="1"/>
  <c r="I241" i="1" s="1"/>
  <c r="AE87" i="1"/>
  <c r="BI239" i="1"/>
  <c r="BI238" i="1" s="1"/>
  <c r="BI236" i="1" s="1"/>
  <c r="BK85" i="1"/>
  <c r="BI76" i="1"/>
  <c r="BI74" i="1" s="1"/>
  <c r="BI69" i="1" s="1"/>
  <c r="AC80" i="1"/>
  <c r="AC76" i="1" s="1"/>
  <c r="AC74" i="1" s="1"/>
  <c r="AC69" i="1" s="1"/>
  <c r="AC225" i="1"/>
  <c r="AC223" i="1" s="1"/>
  <c r="AE238" i="1"/>
  <c r="AE236" i="1" s="1"/>
  <c r="AE85" i="1"/>
  <c r="I85" i="1" s="1"/>
  <c r="I239" i="1"/>
  <c r="BU230" i="1"/>
  <c r="BU225" i="1" s="1"/>
  <c r="BU223" i="1" s="1"/>
  <c r="BU76" i="1"/>
  <c r="BR76" i="1"/>
  <c r="BT88" i="1"/>
  <c r="BT83" i="1"/>
  <c r="BT82" i="1"/>
  <c r="BT87" i="1"/>
  <c r="BT84" i="1"/>
  <c r="BT86" i="1"/>
  <c r="BS74" i="1"/>
  <c r="BT81" i="1"/>
  <c r="BT77" i="1"/>
  <c r="BT89" i="1"/>
  <c r="BT85" i="1"/>
  <c r="BT80" i="1"/>
  <c r="I227" i="1"/>
  <c r="AG225" i="1"/>
  <c r="AG223" i="1" s="1"/>
  <c r="AG77" i="1"/>
  <c r="AG242" i="1"/>
  <c r="AG88" i="1" s="1"/>
  <c r="AE88" i="1"/>
  <c r="I226" i="1"/>
  <c r="I80" i="1" l="1"/>
  <c r="I225" i="1"/>
  <c r="I223" i="1" s="1"/>
  <c r="I242" i="1"/>
  <c r="I238" i="1" s="1"/>
  <c r="I236" i="1" s="1"/>
  <c r="AI88" i="1"/>
  <c r="I88" i="1"/>
  <c r="BK239" i="1"/>
  <c r="BK238" i="1" s="1"/>
  <c r="BK236" i="1" s="1"/>
  <c r="BM85" i="1"/>
  <c r="BK76" i="1"/>
  <c r="BL85" i="1" s="1"/>
  <c r="BS69" i="1"/>
  <c r="BT75" i="1"/>
  <c r="I77" i="1"/>
  <c r="AG238" i="1"/>
  <c r="AG236" i="1" s="1"/>
  <c r="AG87" i="1"/>
  <c r="AG76" i="1" s="1"/>
  <c r="AG74" i="1" s="1"/>
  <c r="AG69" i="1" s="1"/>
  <c r="BT76" i="1"/>
  <c r="AE76" i="1"/>
  <c r="AE74" i="1" s="1"/>
  <c r="AE69" i="1" s="1"/>
  <c r="BV87" i="1"/>
  <c r="BV84" i="1"/>
  <c r="BU74" i="1"/>
  <c r="BV83" i="1"/>
  <c r="BV88" i="1"/>
  <c r="BV82" i="1"/>
  <c r="BV81" i="1"/>
  <c r="BV86" i="1"/>
  <c r="BV77" i="1"/>
  <c r="BV89" i="1"/>
  <c r="BV85" i="1"/>
  <c r="BV80" i="1"/>
  <c r="BV78" i="1"/>
  <c r="BL87" i="1" l="1"/>
  <c r="BL80" i="1"/>
  <c r="BL86" i="1"/>
  <c r="BL81" i="1"/>
  <c r="BL77" i="1"/>
  <c r="BL83" i="1"/>
  <c r="BL88" i="1"/>
  <c r="BL84" i="1"/>
  <c r="BL82" i="1"/>
  <c r="BL78" i="1"/>
  <c r="BL89" i="1"/>
  <c r="BK74" i="1"/>
  <c r="BK69" i="1" s="1"/>
  <c r="BM239" i="1"/>
  <c r="BM238" i="1" s="1"/>
  <c r="BM236" i="1" s="1"/>
  <c r="BM76" i="1"/>
  <c r="AI87" i="1"/>
  <c r="I87" i="1"/>
  <c r="I76" i="1" s="1"/>
  <c r="I74" i="1" s="1"/>
  <c r="I69" i="1" s="1"/>
  <c r="BU69" i="1"/>
  <c r="BV75" i="1"/>
  <c r="BV76" i="1"/>
  <c r="AI242" i="1"/>
  <c r="AK88" i="1"/>
  <c r="AK242" i="1" s="1"/>
  <c r="AI241" i="1" l="1"/>
  <c r="AI238" i="1" s="1"/>
  <c r="AI236" i="1" s="1"/>
  <c r="AK87" i="1"/>
  <c r="AI76" i="1"/>
  <c r="AI74" i="1" s="1"/>
  <c r="AI69" i="1" s="1"/>
  <c r="BN84" i="1"/>
  <c r="BM74" i="1"/>
  <c r="BN86" i="1"/>
  <c r="BN81" i="1"/>
  <c r="BN77" i="1"/>
  <c r="BN88" i="1"/>
  <c r="BN83" i="1"/>
  <c r="BN82" i="1"/>
  <c r="BN80" i="1"/>
  <c r="BN87" i="1"/>
  <c r="BN89" i="1"/>
  <c r="BN78" i="1"/>
  <c r="BN85" i="1"/>
  <c r="BM69" i="1" l="1"/>
  <c r="BN75" i="1"/>
  <c r="AK241" i="1"/>
  <c r="AK238" i="1" s="1"/>
  <c r="AK236" i="1" s="1"/>
  <c r="AK76" i="1"/>
  <c r="AK74" i="1" s="1"/>
  <c r="AK69" i="1" s="1"/>
  <c r="BN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Gabrielle Prado</author>
    <author>TROCAUSER</author>
    <author>tc={E57DA039-6816-4AA5-971B-210FA24B388C}</author>
    <author>tc={42B0CCF3-947E-43E2-9A9C-4E728F24F8AE}</author>
    <author>tc={31183347-57E9-415B-8105-D63477CB8797}</author>
  </authors>
  <commentList>
    <comment ref="G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======
ID#AAAAmEAPnSI
TROCAUSER    (2022-12-20 13:43:49)
Faturamento em R$
Qtde de vendas totais: número de pedidos
Venda site + mktplace + televendas: números de pedidos destes canais, sem o quiosque
Tkt médio: valor médio dos aparelhos vendidos do mês.
Informações no S&amp;OP no Tableau</t>
        </r>
      </text>
    </comment>
    <comment ref="B16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======
ID#AAAAmEAPnRI
TROCAUSER    (2022-12-20 13:43:49)
Antes do envio
É retirado pedidos das linhas de 18 a 22.</t>
        </r>
      </text>
    </comment>
    <comment ref="DS17" authorId="1" shapeId="0" xr:uid="{0BED4B03-B61D-46F1-9CEF-F7B43E6631DB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EN17" authorId="1" shapeId="0" xr:uid="{F5F75C51-9E5E-46E9-A69E-A35DDC464F5E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EP17" authorId="1" shapeId="0" xr:uid="{2DF48202-B670-4B17-AF3E-8C58F2C36AAF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ER17" authorId="1" shapeId="0" xr:uid="{9BD797C1-1028-45F6-806F-AF75E02F92B7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ET17" authorId="1" shapeId="0" xr:uid="{C25EF658-9C99-449F-A206-0CF2CEE059C7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EV17" authorId="1" shapeId="0" xr:uid="{5BAAD9AC-8958-489B-BE6E-69E843ED97F3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EX17" authorId="1" shapeId="0" xr:uid="{1B20F895-BAAA-4379-826F-BFBA957684EC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EZ17" authorId="1" shapeId="0" xr:uid="{808045F1-548F-4AE7-9B4A-BF39FBB94AC9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FB17" authorId="1" shapeId="0" xr:uid="{32F7721F-88FB-42E3-8F93-916FC9D1B6B8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FD17" authorId="1" shapeId="0" xr:uid="{E1772DBB-78EC-4940-A0B7-7F4D5E19C6E5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FF17" authorId="1" shapeId="0" xr:uid="{6DA58C41-AC52-4112-A596-5BB64A9A59AB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FH17" authorId="1" shapeId="0" xr:uid="{BE55296C-9EEE-40C5-8EB9-200F9403D929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FJ17" authorId="1" shapeId="0" xr:uid="{F24AD9FC-0C21-4901-B1AA-1092A45298C3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FL17" authorId="1" shapeId="0" xr:uid="{990F2F90-E04B-405D-B174-B70969C482BF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FN17" authorId="1" shapeId="0" xr:uid="{DA31A104-AA84-46E7-9EA0-F973C0EF0723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FP17" authorId="1" shapeId="0" xr:uid="{F8A9ABFC-8A2E-446E-AA5F-59045D5B1287}">
      <text>
        <r>
          <rPr>
            <b/>
            <sz val="9"/>
            <color indexed="81"/>
            <rFont val="Segoe UI"/>
            <family val="2"/>
          </rPr>
          <t>A partir daqui retirado insucesso e extravio.</t>
        </r>
      </text>
    </comment>
    <comment ref="B24" authorId="0" shapeId="0" xr:uid="{EAFBE40E-C99E-4EFB-83D5-A59B7732A99A}">
      <text>
        <r>
          <rPr>
            <sz val="11"/>
            <color theme="1"/>
            <rFont val="Calibri"/>
            <family val="2"/>
            <scheme val="minor"/>
          </rPr>
          <t>======
ID#AAAAmEAPnRU
TROCAUSER    (2022-12-20 13:43:49)
Depois do envio</t>
        </r>
      </text>
    </comment>
    <comment ref="B30" authorId="0" shapeId="0" xr:uid="{2DD6694C-0E5F-4F58-BED3-FF111347741F}">
      <text>
        <r>
          <rPr>
            <sz val="11"/>
            <color theme="1"/>
            <rFont val="Calibri"/>
            <family val="2"/>
            <scheme val="minor"/>
          </rPr>
          <t>======
ID#AAAAmEAPnRU
TROCAUSER    (2022-12-20 13:43:49)
Depois do envio</t>
        </r>
      </text>
    </comment>
    <comment ref="B3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======
ID#AAAAmEAPnRU
TROCAUSER    (2022-12-20 13:43:49)
Depois do envio</t>
        </r>
      </text>
    </comment>
    <comment ref="EN39" authorId="2" shapeId="0" xr:uid="{783FD7EE-F8AF-4A63-96BA-A6B893A3F680}">
      <text>
        <r>
          <rPr>
            <b/>
            <sz val="9"/>
            <color indexed="81"/>
            <rFont val="Segoe UI"/>
            <family val="2"/>
          </rPr>
          <t>TROCAUSER:</t>
        </r>
        <r>
          <rPr>
            <sz val="9"/>
            <color indexed="81"/>
            <rFont val="Segoe UI"/>
            <family val="2"/>
          </rPr>
          <t xml:space="preserve">
A partir daqui retirado insucesso.</t>
        </r>
      </text>
    </comment>
    <comment ref="B4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======
ID#AAAAmEAPnR4
TROCAUSER    (2022-12-20 13:43:49)
Fechamento enviado por e-mail</t>
        </r>
      </text>
    </comment>
    <comment ref="DO64" authorId="3" shapeId="0" xr:uid="{E57DA039-6816-4AA5-971B-210FA24B388C}">
      <text>
        <r>
          <rPr>
            <sz val="11"/>
            <color theme="1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MÉDIA FOPA</t>
        </r>
      </text>
    </comment>
    <comment ref="G6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======
ID#AAAAmEAPnRE
TROCAUSER    (2022-12-20 13:43:49)
Adm + gestão</t>
        </r>
      </text>
    </comment>
    <comment ref="CC7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======
ID#AAAAmEAPnRM
TROCAUSER    (2022-12-20 13:43:49)
Ver se a fórmula no Gerot está certa</t>
        </r>
      </text>
    </comment>
    <comment ref="CE7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======
ID#AAAAmEAPnRk
TROCAUSER    (2022-12-20 13:43:49)
Ver se a fórmula no Gerot está certa</t>
        </r>
      </text>
    </comment>
    <comment ref="ER80" authorId="4" shapeId="0" xr:uid="{42B0CCF3-947E-43E2-9A9C-4E728F24F8AE}">
      <text>
        <r>
          <rPr>
            <sz val="11"/>
            <color theme="1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 em atraso.</t>
        </r>
      </text>
    </comment>
    <comment ref="G8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======
ID#AAAAmEAPnRc
TROCAUSER    (2022-12-20 13:43:49)
Linha do Gerot 106</t>
        </r>
      </text>
    </comment>
    <comment ref="G8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======
ID#AAAAmEAPnSA
TROCAUSER    (2022-12-20 13:43:49)
Gerot 136</t>
        </r>
      </text>
    </comment>
    <comment ref="G87" authorId="1" shapeId="0" xr:uid="{1EE6FF39-018D-4B65-9CF7-52CE345490E2}">
      <text>
        <r>
          <rPr>
            <sz val="9"/>
            <color indexed="81"/>
            <rFont val="Segoe UI"/>
            <family val="2"/>
          </rPr>
          <t xml:space="preserve">RA COMPRAS + b2c a partir de Maio
</t>
        </r>
      </text>
    </comment>
    <comment ref="CY88" authorId="5" shapeId="0" xr:uid="{31183347-57E9-415B-8105-D63477CB8797}">
      <text>
        <r>
          <rPr>
            <sz val="11"/>
            <color theme="1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Houve um pagamento excedente de redes sociais.</t>
        </r>
      </text>
    </comment>
    <comment ref="G89" authorId="1" shapeId="0" xr:uid="{D3032EB4-4FDC-49BA-9E2C-4992CC9680ED}">
      <text>
        <r>
          <rPr>
            <b/>
            <sz val="9"/>
            <color indexed="81"/>
            <rFont val="Segoe UI"/>
            <family val="2"/>
          </rPr>
          <t xml:space="preserve">Checar Divisão com a Marcella </t>
        </r>
      </text>
    </comment>
    <comment ref="B94" authorId="2" shapeId="0" xr:uid="{B5ADD98E-9461-40C2-B4BC-A677EB3B03EF}">
      <text>
        <r>
          <rPr>
            <b/>
            <sz val="9"/>
            <color indexed="81"/>
            <rFont val="Segoe UI"/>
            <family val="2"/>
          </rPr>
          <t>TROCAUSER:</t>
        </r>
        <r>
          <rPr>
            <sz val="9"/>
            <color indexed="81"/>
            <rFont val="Segoe UI"/>
            <family val="2"/>
          </rPr>
          <t xml:space="preserve">
B2C, B2B e C2B pós, somente e-mail.</t>
        </r>
      </text>
    </comment>
    <comment ref="AW10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======
ID#AAAAmEAPnR0
Marcella Cervigne    (2022-12-20 13:43:49)
4852 fora de horário.</t>
        </r>
      </text>
    </comment>
    <comment ref="AY10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ID#AAAAmEAPnSU
Marcella Cervigne    (2022-12-20 13:43:49)
3320
 fora de horário.</t>
        </r>
      </text>
    </comment>
    <comment ref="BA10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======
ID#AAAAmEAPnRY
Marcella Cervigne    (2022-12-20 13:43:49)
3320
 fora de horário.</t>
        </r>
      </text>
    </comment>
    <comment ref="B301" authorId="2" shapeId="0" xr:uid="{1E9B09B1-1F22-4DC0-90BC-B45E9636B526}">
      <text>
        <r>
          <rPr>
            <b/>
            <sz val="9"/>
            <color indexed="81"/>
            <rFont val="Segoe UI"/>
            <family val="2"/>
          </rPr>
          <t>TROCAUSER:</t>
        </r>
        <r>
          <rPr>
            <sz val="9"/>
            <color indexed="81"/>
            <rFont val="Segoe UI"/>
            <family val="2"/>
          </rPr>
          <t xml:space="preserve">
Considerado e-mail e Whatsapp.</t>
        </r>
      </text>
    </comment>
    <comment ref="B313" authorId="2" shapeId="0" xr:uid="{FE37718D-BB72-4B4A-A0C1-C31A8D0664C7}">
      <text>
        <r>
          <rPr>
            <b/>
            <sz val="9"/>
            <color indexed="81"/>
            <rFont val="Segoe UI"/>
            <family val="2"/>
          </rPr>
          <t>TROCAUSER:</t>
        </r>
        <r>
          <rPr>
            <sz val="9"/>
            <color indexed="81"/>
            <rFont val="Segoe UI"/>
            <family val="2"/>
          </rPr>
          <t xml:space="preserve">
Qtde de interações
Contato recebido, B2C e C2B (pré), pós, e-mail 
Whatsapp volume de contato B2C e C2B.</t>
        </r>
      </text>
    </comment>
    <comment ref="G316" authorId="1" shapeId="0" xr:uid="{19B22576-383F-4AC3-8782-C5AE16829AD8}">
      <text>
        <r>
          <rPr>
            <b/>
            <sz val="9"/>
            <color indexed="81"/>
            <rFont val="Segoe UI"/>
            <family val="2"/>
          </rPr>
          <t>só e-mail</t>
        </r>
      </text>
    </comment>
    <comment ref="B318" authorId="2" shapeId="0" xr:uid="{85947838-7BE9-4097-B042-051FE158EA1F}">
      <text>
        <r>
          <rPr>
            <b/>
            <sz val="9"/>
            <color indexed="81"/>
            <rFont val="Segoe UI"/>
            <family val="2"/>
          </rPr>
          <t>TROCAUSER:</t>
        </r>
        <r>
          <rPr>
            <sz val="9"/>
            <color indexed="81"/>
            <rFont val="Segoe UI"/>
            <family val="2"/>
          </rPr>
          <t xml:space="preserve">
Qtde de interações
Contato recebido, B2C e C2B (pré), pós, e-mail 
Whatsapp volume de contato B2C e C2B.</t>
        </r>
      </text>
    </comment>
    <comment ref="G321" authorId="1" shapeId="0" xr:uid="{CDE99D7E-EF30-4C15-8131-173E4ED64D9B}">
      <text>
        <r>
          <rPr>
            <b/>
            <sz val="9"/>
            <color indexed="81"/>
            <rFont val="Segoe UI"/>
            <family val="2"/>
          </rPr>
          <t>só e-mail</t>
        </r>
      </text>
    </comment>
    <comment ref="CG32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ID#AAAAmEAPnSQ
TROCAUSER    (2022-12-20 13:43:49)
Fora do horário + atendido em URA</t>
        </r>
      </text>
    </comment>
    <comment ref="CO32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======
ID#AAAAmEAPnSE
TROCAUSER    (2022-12-20 13:43:49)
Fora do horário + atendido pela URA</t>
        </r>
      </text>
    </comment>
    <comment ref="I339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======
ID#AAAAmEAPnRs
Marcella Cervigne    (2022-12-20 13:43:49)
Essa info parou de vir no relatório, irei verificar com a Neo para voltar.</t>
        </r>
      </text>
    </comment>
    <comment ref="AC33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======
ID#AAAAmEAPnRQ
Marcella Cervigne    (2022-12-20 13:43:49)
Essa info parou de vir no relatório, irei verificar com a Neo para voltar.</t>
        </r>
      </text>
    </comment>
    <comment ref="AE33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ID#AAAAmEAPnSY
Marcella Cervigne    (2022-12-20 13:43:49)
Essa info parou de vir no relatório, irei verificar com a Neo para voltar.</t>
        </r>
      </text>
    </comment>
    <comment ref="CQ35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======
ID#AAAAmEAPnRw
TROCAUSER    (2022-12-20 13:43:49)
Devido a problemas na Take parte das informações foram perdidas.</t>
        </r>
      </text>
    </comment>
    <comment ref="DA380" authorId="2" shapeId="0" xr:uid="{CFE5FD11-A613-499D-9683-BA5A45CCD9CF}">
      <text>
        <r>
          <rPr>
            <b/>
            <sz val="9"/>
            <color indexed="81"/>
            <rFont val="Segoe UI"/>
            <family val="2"/>
          </rPr>
          <t>TROCAUSER:</t>
        </r>
        <r>
          <rPr>
            <sz val="9"/>
            <color indexed="81"/>
            <rFont val="Segoe UI"/>
            <family val="2"/>
          </rPr>
          <t xml:space="preserve">
B2C e C2B</t>
        </r>
      </text>
    </comment>
    <comment ref="G399" authorId="1" shapeId="0" xr:uid="{17834DDD-4E2C-4C0C-B10B-97AE7BCF0D6D}">
      <text>
        <r>
          <rPr>
            <sz val="9"/>
            <color indexed="81"/>
            <rFont val="Segoe UI"/>
            <family val="2"/>
          </rPr>
          <t xml:space="preserve">s&amp;0p
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33tNVTLaKOyIWG71cjS0eFe1i1w=="/>
    </ext>
  </extLst>
</comments>
</file>

<file path=xl/sharedStrings.xml><?xml version="1.0" encoding="utf-8"?>
<sst xmlns="http://schemas.openxmlformats.org/spreadsheetml/2006/main" count="2604" uniqueCount="447">
  <si>
    <t>Corrigir de agosto para tras</t>
  </si>
  <si>
    <t>Faturamento Trocafone</t>
  </si>
  <si>
    <t>Qtde Venda Total</t>
  </si>
  <si>
    <t>Venda Site + MKTPlace + televendas</t>
  </si>
  <si>
    <t>Tkt Médio</t>
  </si>
  <si>
    <t>Item</t>
  </si>
  <si>
    <t xml:space="preserve">Responsável </t>
  </si>
  <si>
    <t>Orientação</t>
  </si>
  <si>
    <t>Cálculo / Explicação</t>
  </si>
  <si>
    <t>Unidade</t>
  </si>
  <si>
    <t>#</t>
  </si>
  <si>
    <t>Consolidado 2019</t>
  </si>
  <si>
    <t>Comentários Jan.22</t>
  </si>
  <si>
    <t>Comentários Fev.22</t>
  </si>
  <si>
    <t>Comentários Mar.22</t>
  </si>
  <si>
    <t>Comentários Abr.22</t>
  </si>
  <si>
    <t>Comentários Mai.22</t>
  </si>
  <si>
    <t>Comentários Jun.22</t>
  </si>
  <si>
    <t>Comentários Jul.22</t>
  </si>
  <si>
    <t>Comentários Ago.22</t>
  </si>
  <si>
    <t>Comentários Set.22</t>
  </si>
  <si>
    <t>Comentários Out.22</t>
  </si>
  <si>
    <t>Comentários Nov.22</t>
  </si>
  <si>
    <r>
      <rPr>
        <sz val="10"/>
        <color theme="1"/>
        <rFont val="Calibri"/>
        <family val="2"/>
      </rPr>
      <t>% Pedidos Cancelados sob Faturamento Bruto -</t>
    </r>
    <r>
      <rPr>
        <b/>
        <sz val="10"/>
        <color theme="1"/>
        <rFont val="Calibri"/>
        <family val="2"/>
      </rPr>
      <t xml:space="preserve"> Total</t>
    </r>
  </si>
  <si>
    <t>Marcella</t>
  </si>
  <si>
    <t>&lt;</t>
  </si>
  <si>
    <t>Quantidade total de pedidos reembolsados, por desistência (antes do envio) e arrependimento da compra (após envio) pelo faturamento do período.</t>
  </si>
  <si>
    <t>%</t>
  </si>
  <si>
    <t>% meta</t>
  </si>
  <si>
    <t>Atualizado</t>
  </si>
  <si>
    <t>% realizado</t>
  </si>
  <si>
    <t>R$ Real | Qtde Real</t>
  </si>
  <si>
    <t>Desistência da compra (antes do envio)</t>
  </si>
  <si>
    <t>Arrependimento da Compra (pós envio)</t>
  </si>
  <si>
    <t>Isamara</t>
  </si>
  <si>
    <t>Quantidade real total de pedidos reembolsados por desistência (antes do envio do aparelho) pelo faturamento do período.</t>
  </si>
  <si>
    <t>R$ Custo Ped. Desist. | Qtde Real</t>
  </si>
  <si>
    <t xml:space="preserve">R$ Custo Ped. Desis.  | Qtde </t>
  </si>
  <si>
    <t>Suspeita de Fraude/ não reconhece a compra</t>
  </si>
  <si>
    <t>R$ Compras duplicadas</t>
  </si>
  <si>
    <t>Compras por voucher</t>
  </si>
  <si>
    <t>R$ Ped. Recomprados | Qtde</t>
  </si>
  <si>
    <t>Quantidade real de pedidos reembolsados por arrependimento (após envio do aparelho) pelo faturamento do período.</t>
  </si>
  <si>
    <t>R$ Ped. cancelados Real| Qtde</t>
  </si>
  <si>
    <t>R$ Ped. cancelados  &lt;&gt; Qtde</t>
  </si>
  <si>
    <t>R$ Ped. Recomprados &lt;&gt; Qtde</t>
  </si>
  <si>
    <t xml:space="preserve"> % Custos Ações Judiciais sob Faturamento Bruto</t>
  </si>
  <si>
    <t>Alex</t>
  </si>
  <si>
    <t>Custos com jurídico (sentenças + honorários advogados) pelo Faturamento do período.</t>
  </si>
  <si>
    <t>Custo Total</t>
  </si>
  <si>
    <t>Custos advogados</t>
  </si>
  <si>
    <t>Custo total Real Pag. Finan.</t>
  </si>
  <si>
    <t>Custo méd. | Qtde casos no per.</t>
  </si>
  <si>
    <t>R$</t>
  </si>
  <si>
    <t>Valor solicitado histórico</t>
  </si>
  <si>
    <t>32 k | 11k</t>
  </si>
  <si>
    <t>40 K | 11,5 K</t>
  </si>
  <si>
    <t>40 k | 11,5 k</t>
  </si>
  <si>
    <t>Custo efetivo histórico</t>
  </si>
  <si>
    <t>% de custo sob valor solicitado</t>
  </si>
  <si>
    <t>Causas Trabalhistas Atendimento</t>
  </si>
  <si>
    <t>Causas Trabalhistas R$ solicitado | R$ Custoreal</t>
  </si>
  <si>
    <t>% Custos MO sob Faturamento Bruto</t>
  </si>
  <si>
    <t>Relação entre custo total SAC sobre o Faturamento do período</t>
  </si>
  <si>
    <t>Custo MO SAC</t>
  </si>
  <si>
    <t>Custo MO SAC para Rateio</t>
  </si>
  <si>
    <t xml:space="preserve"> Custo por Contato</t>
  </si>
  <si>
    <t xml:space="preserve">Relação de custos de sistemas e pessoas sob o faturamento do período. </t>
  </si>
  <si>
    <t>Qtde de contatos Recebidos Total</t>
  </si>
  <si>
    <t>Total de Custo (Sistema + Pessoas)</t>
  </si>
  <si>
    <t>MO</t>
  </si>
  <si>
    <t>Custo Total Sistemas</t>
  </si>
  <si>
    <t>Bot Site Droz</t>
  </si>
  <si>
    <t>Zendesk Página de atendimento</t>
  </si>
  <si>
    <t>Trustvox</t>
  </si>
  <si>
    <t>WhatsApp Sistema Take-Blip Contatos recebidos</t>
  </si>
  <si>
    <t>WhatsApp Custo de Notificações</t>
  </si>
  <si>
    <t>Whatsapp treinamento</t>
  </si>
  <si>
    <t>Hugme Mídias RS (redes sociais)</t>
  </si>
  <si>
    <t>% Protocolos atendidos &gt; 4 interações</t>
  </si>
  <si>
    <t>Marcella &gt; Supers</t>
  </si>
  <si>
    <t>Qtde de protocolos com mais de 4 interações / Qtde total de protocolos atendidos</t>
  </si>
  <si>
    <t>Atualizado, porém checar</t>
  </si>
  <si>
    <t>Qtde de prot. &gt; 4 Interações</t>
  </si>
  <si>
    <t>% de Abandono no canal telefonia</t>
  </si>
  <si>
    <t>Rita e Paula</t>
  </si>
  <si>
    <t>Qtde de cont. abandonados real do canal Voz (clientes que optartam por falar com um atendente na URA)/
Qtde total de chamadas recebidas no canal Voz</t>
  </si>
  <si>
    <t>Desativado</t>
  </si>
  <si>
    <t>Contatos Atendidos</t>
  </si>
  <si>
    <t>Qtde Abandonada</t>
  </si>
  <si>
    <t>% Abandono no canal Chat</t>
  </si>
  <si>
    <t>Qtde de cont. abandonados real do canal Chat (clientes que optartam por falar com um atendente)/
Qtde total de chamadas recebidas no canal Chat</t>
  </si>
  <si>
    <t>Qtde Total de Cont. Rec. Chat</t>
  </si>
  <si>
    <t>Tempo médio de atendimento consosiderando todos os contatos atendidos no canal Chat</t>
  </si>
  <si>
    <t>Tempo Médio de espera considerando todos os contatos Chat</t>
  </si>
  <si>
    <t xml:space="preserve"> HORAS CORRIDAS - % de E-mails respondidos em até 4 horas Corridas</t>
  </si>
  <si>
    <t>&gt;</t>
  </si>
  <si>
    <t xml:space="preserve">%  de e-mails respondidos em até 2 dias útteis / Qtde total de e-mails respondidos </t>
  </si>
  <si>
    <t>% realizado Total de e-mails | %</t>
  </si>
  <si>
    <t>Divisão entre tempo de respostas dados no canal e-mail</t>
  </si>
  <si>
    <t>0 a 4 horas Corridas</t>
  </si>
  <si>
    <t>4 a 8h</t>
  </si>
  <si>
    <t>8h a 24h</t>
  </si>
  <si>
    <t>24h a 48h</t>
  </si>
  <si>
    <t>&gt; 48h</t>
  </si>
  <si>
    <t>Spam</t>
  </si>
  <si>
    <t>Aging de resolução E-mail</t>
  </si>
  <si>
    <t xml:space="preserve">HORAS ÚTEIS -% de E-mails respondidos dentro do prazo de 2 dias úteis a partir da data  do recebimento - </t>
  </si>
  <si>
    <t>Média de Nota de Satisfação Pesquisa do Consumidor Todos os Canais</t>
  </si>
  <si>
    <t>Média Ponderada da nota dada pelo consumidor nos canais de atendimento Telefonia, Chat e E-mail.</t>
  </si>
  <si>
    <t>Um.</t>
  </si>
  <si>
    <t>Qtde de Avaliações</t>
  </si>
  <si>
    <t>Média de Nota de Satisfação pesquisa consumidor - E-mail</t>
  </si>
  <si>
    <t>Média da Nota dada pelo consumidor na resposta da Pesquisa de Satisfação do Canal E-mail  onde:
1 - Muito Insatisfeito; 
2 - Insatisfeito; 
3 -Satisfeito ;
 4 - Muito Satisfeito</t>
  </si>
  <si>
    <t>Un.</t>
  </si>
  <si>
    <t>Com erro</t>
  </si>
  <si>
    <t>Qtde de avaliados E-mail | Ponderação</t>
  </si>
  <si>
    <t>Qtde Pesquisas Enviadas</t>
  </si>
  <si>
    <t>Qtde de e-mails Enviados</t>
  </si>
  <si>
    <t>Média de Nota de Satisfação pesquisa consumidor - Telefonia</t>
  </si>
  <si>
    <t>Média da Nota dada pelo consumidor na resposta da Pesquisa de Satisfação do Canal Telefonia  onde:
1 - Muito Insatisfeito; 
2 - Insatisfeito; 
3 -Satisfeito ;
 4 - Muito Satisfeito</t>
  </si>
  <si>
    <t>Qtde de avaliados Telefonia | Ponderação</t>
  </si>
  <si>
    <t>Qtde de atendimentos realizados</t>
  </si>
  <si>
    <t>Média de Nota de Satisfação pesquisa consumidor - Whatsapp</t>
  </si>
  <si>
    <t>Qtde de avaliados Whatsapp | Ponderação</t>
  </si>
  <si>
    <t>Média de Nota de Satisfação pesquisa consumidor - Chat</t>
  </si>
  <si>
    <t>Média da Nota dada pelo consumidor na resposta da Pesquisa de Satisfação do Canal Chat  onde:
1 - Muito Insatisfeito; 
2 - Insatisfeito; 
3 -Satisfeito ;
 4 - Muito Satisfeito</t>
  </si>
  <si>
    <t>Qtde de avaliados Chat | Ponderação</t>
  </si>
  <si>
    <t>Qtde de Chats atendidos</t>
  </si>
  <si>
    <t>Média de Nota de Satisfação pesquisa consumidor - Chat / Whatsapp Parceiro</t>
  </si>
  <si>
    <t>Média da Nota dada pelo consumidor na resposta da Pesquisa de Satisfação do Canal Chat do Parceiro  onde:
1 - Muito Insatisfeito; 
2 - Insatisfeito; 
3 -Satisfeito ;
 4 - Muito Satisfeito</t>
  </si>
  <si>
    <t xml:space="preserve"> - </t>
  </si>
  <si>
    <t>Qtde Chats avaliados</t>
  </si>
  <si>
    <t>Qtde Chats Atendidos</t>
  </si>
  <si>
    <t>Resultados obtidos no Parceiro Reclame Aqui mês a mês e acumulado dos 6 e 12 meses</t>
  </si>
  <si>
    <t>ÓTIMO</t>
  </si>
  <si>
    <t>% realizado 6 meses</t>
  </si>
  <si>
    <t>BOM</t>
  </si>
  <si>
    <t>RA 1000</t>
  </si>
  <si>
    <t>Nota Acum. 12 meses Painel</t>
  </si>
  <si>
    <t xml:space="preserve">ÓTIMO </t>
  </si>
  <si>
    <t>RA1000</t>
  </si>
  <si>
    <t>Nota do mês</t>
  </si>
  <si>
    <t>REGULAR</t>
  </si>
  <si>
    <t>Qtde de acessos a Troca no RA</t>
  </si>
  <si>
    <t>Não temos mais acesso.</t>
  </si>
  <si>
    <t>Índice de Solução</t>
  </si>
  <si>
    <t>% Voltaria a fazer negócio</t>
  </si>
  <si>
    <t xml:space="preserve">Nota média </t>
  </si>
  <si>
    <t>Lais</t>
  </si>
  <si>
    <t>Número de Promotores (notas 9 e 10) - Númeto de detratores (Notas 0 a 6)/ Total Pesquisas Respondidas x 100</t>
  </si>
  <si>
    <t>Qtde de Pesq. Resp. &lt;&gt; % Promotores</t>
  </si>
  <si>
    <t>Nota 0</t>
  </si>
  <si>
    <t>Nota 1</t>
  </si>
  <si>
    <t>Nota 2</t>
  </si>
  <si>
    <t>11) % Retenção de Cancelamentos pelo Faturamento do período</t>
  </si>
  <si>
    <t>Diogo</t>
  </si>
  <si>
    <t>R$ de WF relacioandos a Retenção de cancelamento / Faturamento do período</t>
  </si>
  <si>
    <t>Esforço Retenção Evitar Canc.  R$ | Qtde</t>
  </si>
  <si>
    <t>Qtde Wfs cancelados</t>
  </si>
  <si>
    <t>Isa</t>
  </si>
  <si>
    <t>Ineficiência SAC</t>
  </si>
  <si>
    <t>Esforço de Retenção R$ | Qtde</t>
  </si>
  <si>
    <t>12) % de Devoluções negadas pelo Faturamento do período</t>
  </si>
  <si>
    <t>Paula</t>
  </si>
  <si>
    <t>R$  de Devoluções Negadas /Faturamento do período</t>
  </si>
  <si>
    <t>Dev. Negadas R$ | Qtde</t>
  </si>
  <si>
    <t>% de Extravios forçados Real pelo Faturamento do período</t>
  </si>
  <si>
    <t>R$ Custo de pedidos extraviados / Faturamento do período</t>
  </si>
  <si>
    <t>Qtde Expedida</t>
  </si>
  <si>
    <t>Ext. Forçados real SAC R$ | Qtde</t>
  </si>
  <si>
    <t>Ext. Forçados SAC R$ | Qtde</t>
  </si>
  <si>
    <t>Extravio Confirmado</t>
  </si>
  <si>
    <t>Aparelho Devolvido / Extravio Revertido</t>
  </si>
  <si>
    <t>Conta corrente do ano (Saldo)</t>
  </si>
  <si>
    <t>Saldo</t>
  </si>
  <si>
    <t>Custo do atendimento eletrônico pela quantidade de contatos recebidos nos canais eletrônicos</t>
  </si>
  <si>
    <t>Custo do atendimento eletrônico / Qtde de contatos recebidos no canal eletrônico</t>
  </si>
  <si>
    <t>Contatos recebidos eletrônico</t>
  </si>
  <si>
    <t>Custo Atendimento Eletrônico</t>
  </si>
  <si>
    <t xml:space="preserve">Bot Site </t>
  </si>
  <si>
    <t>GoBots bot Mercado Livre</t>
  </si>
  <si>
    <t>Notificações WhatsApp</t>
  </si>
  <si>
    <t>Rateio MO SAC</t>
  </si>
  <si>
    <t>Custo do atendimento humano pela quantidade de contatos recebidos nos canais humanos</t>
  </si>
  <si>
    <t>Custo do atendimento humano / Qtde de contatos recebidos nos canais humanos</t>
  </si>
  <si>
    <t>Contatos atendido Humano</t>
  </si>
  <si>
    <t>Custo Atendimento Humano</t>
  </si>
  <si>
    <t>Sistema Neo Atendimento</t>
  </si>
  <si>
    <t>Telefonia</t>
  </si>
  <si>
    <t>HugMe RA (Mensal + Licenças)</t>
  </si>
  <si>
    <t>Hugme Mídias</t>
  </si>
  <si>
    <t>Recurso MO (Front + Back)</t>
  </si>
  <si>
    <t>Custo do atendimento ao Parceiro / qtde de contatos recebidos no atendimento ao parceiro</t>
  </si>
  <si>
    <t>Custo do atendimento ao parceiro / Qtde de contatos recebidos no canaç parceiro</t>
  </si>
  <si>
    <t>Contatos recebidos Parceiro</t>
  </si>
  <si>
    <t>Custo Atendimento ao Parceiro</t>
  </si>
  <si>
    <t>Hora Extra</t>
  </si>
  <si>
    <t>Custo Hora Extra / Faturamento do período</t>
  </si>
  <si>
    <t>Custo HE</t>
  </si>
  <si>
    <t>Qtde pessoas</t>
  </si>
  <si>
    <t>Qtde de faltas / Qtde de pessoas esperadas no período</t>
  </si>
  <si>
    <t>13.31%</t>
  </si>
  <si>
    <t>Qtde abs  | Qtde pessoas abs</t>
  </si>
  <si>
    <t>Qtde de pessoas focadas no Atendimento</t>
  </si>
  <si>
    <t xml:space="preserve">Qtde Pessoas Total Atendimento </t>
  </si>
  <si>
    <t>Custo Percpto</t>
  </si>
  <si>
    <t>19) Capacidade instalada</t>
  </si>
  <si>
    <t>Qtde de cap. instalada de acordo com o quadro atual e prod. média</t>
  </si>
  <si>
    <t>Qtde Esperada</t>
  </si>
  <si>
    <t>marcella / Isa</t>
  </si>
  <si>
    <t>Qtde Produzida | Média Prod.</t>
  </si>
  <si>
    <t>20) Quantidade de Preventivos realizados pela Quantidade de venda Todos os canais</t>
  </si>
  <si>
    <t>Qtde de Preventivos realizados / Qtde de vendas do período</t>
  </si>
  <si>
    <t>Qtde Preventivo</t>
  </si>
  <si>
    <t>Representatividade dos motivos de contato no preventivo</t>
  </si>
  <si>
    <t>Qtde e %</t>
  </si>
  <si>
    <t>Entrega</t>
  </si>
  <si>
    <t>Marcella / Isa</t>
  </si>
  <si>
    <t xml:space="preserve">Upgrade </t>
  </si>
  <si>
    <t>RA</t>
  </si>
  <si>
    <t>Outros</t>
  </si>
  <si>
    <t>Taxa de contatos de canais Eletrônicos pelo Total de vendas</t>
  </si>
  <si>
    <t>Qtde de contatos recebidos nos canais eletrônicos pela quantidade de vendas do período</t>
  </si>
  <si>
    <t>Qtde solicitações Eletrônicos</t>
  </si>
  <si>
    <t>Qtde de cont.  Atend. WhatsApp</t>
  </si>
  <si>
    <t>Qtde de cont.  Atend. Bot Site</t>
  </si>
  <si>
    <t>Qtde de cont. Atend. GoBots</t>
  </si>
  <si>
    <t>Efetividade (Retenção) Bot</t>
  </si>
  <si>
    <t>Pesquisa de Satisfação | % avaliação</t>
  </si>
  <si>
    <t>Taxa de Contato Total</t>
  </si>
  <si>
    <t xml:space="preserve">Qtde de contatos totais recebidos sob qtde total de venda realizada. </t>
  </si>
  <si>
    <t>Tx contato Atendido Total</t>
  </si>
  <si>
    <t>Tx contato Recebido Cont. Único</t>
  </si>
  <si>
    <t>Qtde Contatos Rec. Total - Únicos</t>
  </si>
  <si>
    <t>Qtde Contatos Rec. Total Real</t>
  </si>
  <si>
    <t>Qtde de contatos totais recebidos sob qtde total de venda realizada - Humano</t>
  </si>
  <si>
    <t>Tx de contato humano</t>
  </si>
  <si>
    <t>Share Atendimento Eletrônico x Humano</t>
  </si>
  <si>
    <t>Representatividade dos canais humanos e eletrônicos em relação ao total de contatos recebidos.</t>
  </si>
  <si>
    <t>Share Aend. Eletrônico  - interações</t>
  </si>
  <si>
    <t>ShareAtend. Humano - interações</t>
  </si>
  <si>
    <t>Share Aend. Eletrônico  - cont único</t>
  </si>
  <si>
    <t>ShareAtend. Humano - cont único</t>
  </si>
  <si>
    <t>Qtde de Protocolos Únicos (clientes) / Qtde de Vendas Aprovadas do período</t>
  </si>
  <si>
    <t>% Índice de Interação Humano</t>
  </si>
  <si>
    <t>Total de Diálogos por pedido (interação)</t>
  </si>
  <si>
    <t>Marcella &gt;Supers</t>
  </si>
  <si>
    <t>Qtde de diálogos realizados / qtde de protoclos únicos do mesmo período</t>
  </si>
  <si>
    <t>Indicador de Interações B2C</t>
  </si>
  <si>
    <t>24) % de Retenção URA (com Spam)</t>
  </si>
  <si>
    <t>Qtde atendida pela URA / Qtde Total recebida Telefonia</t>
  </si>
  <si>
    <t>Qtde Total de Cont. Rec. Tel.</t>
  </si>
  <si>
    <t>Qtde Atendida URA</t>
  </si>
  <si>
    <t>Qtde de pesquisas respondidas "SIM" para pergunta "Seu Problema foi resolvido?" Todos os Canais/ Qtde total de de pesquisas respondidas</t>
  </si>
  <si>
    <t>Qtde de aval. como resol.</t>
  </si>
  <si>
    <t>% de clientes que repsonderam "Sim" para pergunta "Seu Problema foi resolvido" na pesquisa de satisfação do e-mail</t>
  </si>
  <si>
    <t>Qtde de pesquisas respondidas "SIM" para pergunta "Seu Problema foi resolvido?"/ Qtde total de de pesquisas respondidas</t>
  </si>
  <si>
    <t>Qtde de pesquisas respond.</t>
  </si>
  <si>
    <t>Qtde de pesquisas env.</t>
  </si>
  <si>
    <t xml:space="preserve">% de clientes que responderam "Sim" para pergunta "Seu Problema foi resolvido" na pesquisa de satisfação da Telefonia </t>
  </si>
  <si>
    <t>% de clientes que responderam "Sim" para pergunta "Seu Problema foi resolvido" na pesquisa de satisfação da Whatsapp</t>
  </si>
  <si>
    <t>% de clientes que repsonderam "Sim" para pergunta "Seu Problema foi resolvido" na pesquisa de satisfação do Chat</t>
  </si>
  <si>
    <t/>
  </si>
  <si>
    <t xml:space="preserve">Qtde Chats atendidos </t>
  </si>
  <si>
    <t>% de clientes que repsonderam "Sim" para pergunta "Seu Problema foi resolvido" na pesquisa de satisfação do Whatsapp Parceiro</t>
  </si>
  <si>
    <t>Média de Pontuação na ficha de monitoria até 100%</t>
  </si>
  <si>
    <t>Dandara</t>
  </si>
  <si>
    <t>Média da nota de monitoria atingida pelos operadores do SAC</t>
  </si>
  <si>
    <t>Qtde de Monitorias Realiz.</t>
  </si>
  <si>
    <t>Taxa de reclamações no Reclame Aqui pela venda do período</t>
  </si>
  <si>
    <t>Qtde de reclamações recebidas no RA / Qtde de vendas so péríodo</t>
  </si>
  <si>
    <t>Média de tempo de Resolução de todas as reclamações finalziadas no período</t>
  </si>
  <si>
    <t>3 dias</t>
  </si>
  <si>
    <t>Média de tempo de resp. mês</t>
  </si>
  <si>
    <t>4h 19</t>
  </si>
  <si>
    <t>3 dias e 22h</t>
  </si>
  <si>
    <t>4 dias e 12h</t>
  </si>
  <si>
    <t>4 dias</t>
  </si>
  <si>
    <t xml:space="preserve">4 dias e 8h </t>
  </si>
  <si>
    <t xml:space="preserve">4 dias 35 minutos </t>
  </si>
  <si>
    <t>3 dias e 21h</t>
  </si>
  <si>
    <t>4 dias e 3h</t>
  </si>
  <si>
    <t>4 dias 14h</t>
  </si>
  <si>
    <t>5 dias 1h</t>
  </si>
  <si>
    <t>4 dias 15h</t>
  </si>
  <si>
    <t xml:space="preserve">4 dias 22h </t>
  </si>
  <si>
    <t xml:space="preserve">5 dias 3h </t>
  </si>
  <si>
    <t>6 dias 6h</t>
  </si>
  <si>
    <t>6 dias 15h</t>
  </si>
  <si>
    <t xml:space="preserve">7 dias 1h </t>
  </si>
  <si>
    <t xml:space="preserve">6 dias 1h </t>
  </si>
  <si>
    <t xml:space="preserve">5 dias </t>
  </si>
  <si>
    <t>6 dias</t>
  </si>
  <si>
    <t>5 dias</t>
  </si>
  <si>
    <t xml:space="preserve">Qtde reclamações </t>
  </si>
  <si>
    <t>Divisão entre tempo de resposta no Reclame Aqui</t>
  </si>
  <si>
    <t xml:space="preserve">Respondida no mesmo dia </t>
  </si>
  <si>
    <t>Respondida em até 2 dias</t>
  </si>
  <si>
    <t>Respond. entre o 3 e 4 dia</t>
  </si>
  <si>
    <t>&gt; 4 dias</t>
  </si>
  <si>
    <t>Taxa de Contato - Atendimento Parceiro</t>
  </si>
  <si>
    <t>Qtde de Contatos recebidos no B2B (atendimento aos parceritos) / Qtde de captação do período</t>
  </si>
  <si>
    <t>Qtde Compra</t>
  </si>
  <si>
    <t>Qtde Cont. Rec. Total sem spam</t>
  </si>
  <si>
    <t>Qtde Cont. Rec. Elet. (Bot)</t>
  </si>
  <si>
    <t>38% (1989)</t>
  </si>
  <si>
    <t>39% (800)</t>
  </si>
  <si>
    <t>20% (229)</t>
  </si>
  <si>
    <t>25% (259)</t>
  </si>
  <si>
    <t>29% (288)</t>
  </si>
  <si>
    <t>24% (124)</t>
  </si>
  <si>
    <t>24% (121)</t>
  </si>
  <si>
    <t>34% (96)</t>
  </si>
  <si>
    <t>39% (72)</t>
  </si>
  <si>
    <t>40% (68)</t>
  </si>
  <si>
    <t>49% (69)</t>
  </si>
  <si>
    <t>44% (47)</t>
  </si>
  <si>
    <t>58% (28)</t>
  </si>
  <si>
    <t>55% (40)</t>
  </si>
  <si>
    <t>28% (5)</t>
  </si>
  <si>
    <t>16% (4)</t>
  </si>
  <si>
    <t>18% (4)</t>
  </si>
  <si>
    <t>25% (5)</t>
  </si>
  <si>
    <t>36% (52)</t>
  </si>
  <si>
    <t>19% (4)</t>
  </si>
  <si>
    <t>44% (18)</t>
  </si>
  <si>
    <t>31% (8)</t>
  </si>
  <si>
    <t>41% (34)</t>
  </si>
  <si>
    <t>19% (3)</t>
  </si>
  <si>
    <t>23% (3)</t>
  </si>
  <si>
    <t>21% (9)</t>
  </si>
  <si>
    <t>56% (5)</t>
  </si>
  <si>
    <t>38% (8)</t>
  </si>
  <si>
    <t>13% (2)</t>
  </si>
  <si>
    <t>39% (9)</t>
  </si>
  <si>
    <t>33% (2)</t>
  </si>
  <si>
    <t>8% (1)</t>
  </si>
  <si>
    <t>30% (6)</t>
  </si>
  <si>
    <t>Correlação entre contatos e abertura de Retidos vs Humano</t>
  </si>
  <si>
    <t>Metolodia: Nivel abertura maior: C2b; B2C; Partners; MKt Place</t>
  </si>
  <si>
    <t>Grande Objetivo é aumentar o % retenção</t>
  </si>
  <si>
    <t>Mes</t>
  </si>
  <si>
    <t>Semana</t>
  </si>
  <si>
    <t>cttos entraram</t>
  </si>
  <si>
    <t>Escorr. Humano</t>
  </si>
  <si>
    <t>% Retenção</t>
  </si>
  <si>
    <t>Reorganização dos indicadores de Contatos</t>
  </si>
  <si>
    <t>Discernir o que é contato e o que é interação</t>
  </si>
  <si>
    <t>Discernir o que é preventivo e o que é reativo</t>
  </si>
  <si>
    <t>Abrir entre os canais</t>
  </si>
  <si>
    <t>Registrar MKT Place</t>
  </si>
  <si>
    <t>Grande Objetivo é ter melhor controle e entendimento dos geradores de demanda para criar uma Taxa a ser acompanhada que determina melhora ou piora e efetuar dimensionamento adequado</t>
  </si>
  <si>
    <t>Indicação de quais serão os</t>
  </si>
  <si>
    <t>controles marcio</t>
  </si>
  <si>
    <t>Conceito número da semana (sempre 7 dias)</t>
  </si>
  <si>
    <t>Ordens vendidas entendendo os canais especificos</t>
  </si>
  <si>
    <t>deveria servir para entender se operação melhora ou piora e determinar melhorias no atendimento eletronico</t>
  </si>
  <si>
    <t>Dimensionamento e efetividade no número de interações necessárias para resolver um problema</t>
  </si>
  <si>
    <t>Qualitativo = o quão sou eficiente em cada um dos canais</t>
  </si>
  <si>
    <t>TAXAS</t>
  </si>
  <si>
    <t>ESFORÇO = INTERAÇÕES</t>
  </si>
  <si>
    <t>Taxa Contato B2C</t>
  </si>
  <si>
    <t>Ctto unico canais tradicionais (registrados)</t>
  </si>
  <si>
    <t>13/11</t>
  </si>
  <si>
    <t>20/11</t>
  </si>
  <si>
    <t>27/11</t>
  </si>
  <si>
    <t>18/12</t>
  </si>
  <si>
    <t>Whats</t>
  </si>
  <si>
    <r>
      <t xml:space="preserve">Neo - </t>
    </r>
    <r>
      <rPr>
        <u/>
        <sz val="11"/>
        <color rgb="FF1155CC"/>
        <rFont val="Calibri"/>
        <family val="2"/>
      </rPr>
      <t>TF.com</t>
    </r>
  </si>
  <si>
    <t>MKT Place + TF com</t>
  </si>
  <si>
    <t>Total</t>
  </si>
  <si>
    <t>Ctto unico outros canais (? registrado ou é recebido)</t>
  </si>
  <si>
    <r>
      <t xml:space="preserve">Neo - </t>
    </r>
    <r>
      <rPr>
        <u/>
        <sz val="11"/>
        <color rgb="FF1155CC"/>
        <rFont val="Calibri"/>
        <family val="2"/>
      </rPr>
      <t>TF.com</t>
    </r>
  </si>
  <si>
    <t>Trust vox</t>
  </si>
  <si>
    <t>Midias</t>
  </si>
  <si>
    <t>XXXXX</t>
  </si>
  <si>
    <t>YYYYY</t>
  </si>
  <si>
    <t>ZZZZ</t>
  </si>
  <si>
    <t>Taxas de contato</t>
  </si>
  <si>
    <t>Comentários Dez.22</t>
  </si>
  <si>
    <t>BOm</t>
  </si>
  <si>
    <t>Comentários Jan.23</t>
  </si>
  <si>
    <t>Take + neo bot Parceiro</t>
  </si>
  <si>
    <t>Tempo médio de Resolução para reclamações do Reclame Aqui BC2</t>
  </si>
  <si>
    <t>Tempo médio de Resolução para reclamações do Reclame Aqui C2B</t>
  </si>
  <si>
    <t>Contatos Recebidos Magalu telefone | % Abn</t>
  </si>
  <si>
    <t>Contatos Recebidos Iplace telefone | % Abn</t>
  </si>
  <si>
    <t>S&amp;op</t>
  </si>
  <si>
    <t>Contatos atendido Humano B2C e C2B pós - Interação</t>
  </si>
  <si>
    <t>Comentários Fev.23</t>
  </si>
  <si>
    <t>Comentários Mar.23</t>
  </si>
  <si>
    <t>RUIM</t>
  </si>
  <si>
    <t>Inativo</t>
  </si>
  <si>
    <t>Comentários Abr.23</t>
  </si>
  <si>
    <t>Nota NPS B2C Trocafone</t>
  </si>
  <si>
    <t>E-mail</t>
  </si>
  <si>
    <t>Nota Reclame Aqui B2C</t>
  </si>
  <si>
    <t>Comentários Mai.23</t>
  </si>
  <si>
    <t>Comentários Jun.23</t>
  </si>
  <si>
    <r>
      <t xml:space="preserve"> % Pedidos Cancelados antes do envio sob Faturamento Bruto - </t>
    </r>
    <r>
      <rPr>
        <b/>
        <sz val="10"/>
        <color theme="1"/>
        <rFont val="Calibri"/>
        <family val="2"/>
      </rPr>
      <t>Desistência</t>
    </r>
  </si>
  <si>
    <r>
      <t xml:space="preserve"> % Pedidos Cancelados sob Faturamento Bruto -</t>
    </r>
    <r>
      <rPr>
        <b/>
        <sz val="10"/>
        <color theme="1"/>
        <rFont val="Calibri"/>
        <family val="2"/>
      </rPr>
      <t xml:space="preserve"> Arrependimento</t>
    </r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(Devolução)</t>
    </r>
  </si>
  <si>
    <t>Comentários Julho.23</t>
  </si>
  <si>
    <t>Sem dados</t>
  </si>
  <si>
    <t>A partir de Fev começamos realizar uma média 26% de custos pelos e adms super devido atualização da Fopa</t>
  </si>
  <si>
    <t>Nota NPS C2B Trocafone</t>
  </si>
  <si>
    <t>Neo/Take Blip (parceiro)</t>
  </si>
  <si>
    <t>Qtde Cont. Rec. Hum Whatsapp</t>
  </si>
  <si>
    <t>Comentários Setembro.23</t>
  </si>
  <si>
    <t>% de Clientes que responderam "Sim" para a Pergunta "Seu problema foi resolvido" pesquisa de Satisfação Todos os canais</t>
  </si>
  <si>
    <t>Qtd Retenção Formulario de e-mail</t>
  </si>
  <si>
    <t>Qtde de cont.  Atend. Chat</t>
  </si>
  <si>
    <t>R$ Ped. Barrados  &lt;&gt; Qtde</t>
  </si>
  <si>
    <r>
      <t xml:space="preserve"> % Pedidos Cancelados sob Faturamento Bruto -</t>
    </r>
    <r>
      <rPr>
        <b/>
        <sz val="10"/>
        <color theme="1"/>
        <rFont val="Calibri"/>
        <family val="2"/>
      </rPr>
      <t xml:space="preserve"> Insucesso</t>
    </r>
  </si>
  <si>
    <r>
      <t xml:space="preserve"> % Pedidos Cancelados sob Faturamento Bruto -</t>
    </r>
    <r>
      <rPr>
        <b/>
        <sz val="10"/>
        <color theme="1"/>
        <rFont val="Calibri"/>
        <family val="2"/>
      </rPr>
      <t xml:space="preserve"> Extravio</t>
    </r>
  </si>
  <si>
    <t>Qtde de Cont. - Prot. Ún. C2B</t>
  </si>
  <si>
    <t>Qtde de Cont. - Prot. Ún. B2C</t>
  </si>
  <si>
    <t>Qtde de Protocolos Únicos B2C pós por pedidos vendidos  - todos os canais</t>
  </si>
  <si>
    <t>Qtde de Cont. - Inter. C2B Total (Neo + WhatsApp)</t>
  </si>
  <si>
    <t>Qtde de Cont. - Inter. B2C  Total (Neo + WhatsApp)</t>
  </si>
  <si>
    <t>Qtde de Protocolos Únicos C2B  por pedidos comprados  - todos os canais</t>
  </si>
  <si>
    <t>Indicador de Interações C2B</t>
  </si>
  <si>
    <t>Qtde Compra C2B/ Tradein Online</t>
  </si>
  <si>
    <t>Qtde de Cont. atend. URA ( Telefonia)</t>
  </si>
  <si>
    <t>Comentários Outubro.23</t>
  </si>
  <si>
    <t>Comentários Novembro.23</t>
  </si>
  <si>
    <t>Comentários Dezembro.23</t>
  </si>
  <si>
    <t>Comentários Janeiro.24</t>
  </si>
  <si>
    <t>Comentários Fevereiro.24</t>
  </si>
  <si>
    <t>Delighted</t>
  </si>
  <si>
    <t>Comentários Março.24</t>
  </si>
  <si>
    <t>Pendente eletrônico</t>
  </si>
  <si>
    <t>Comentários Abril.24</t>
  </si>
  <si>
    <t>Jobhome</t>
  </si>
  <si>
    <t>Comentários Maio.24</t>
  </si>
  <si>
    <t>Comentários Junho.24</t>
  </si>
  <si>
    <t>Comentários Julho.24</t>
  </si>
  <si>
    <t>Predize</t>
  </si>
  <si>
    <t>Comentários Agosto.24</t>
  </si>
  <si>
    <t>Comentários Setembro.24</t>
  </si>
  <si>
    <t>RE</t>
  </si>
  <si>
    <t>Comentários Outubro.24</t>
  </si>
  <si>
    <t>Comentários Novembro.24</t>
  </si>
  <si>
    <t>atualizado</t>
  </si>
  <si>
    <t>R$ Ped. Extraviados total  &lt;&gt; Qtde</t>
  </si>
  <si>
    <t>R$ Ped. Extraviados Real| Qtde</t>
  </si>
  <si>
    <t>Comentários Dezembro.24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</si>
</sst>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"/>
    <numFmt numFmtId="165" formatCode="_-&quot;R$&quot;* #,##0_-;\-&quot;R$&quot;* #,##0_-;_-&quot;R$&quot;* &quot;-&quot;??_-;_-@"/>
    <numFmt numFmtId="166" formatCode="_-* #,##0_-;\-* #,##0_-;_-* &quot;-&quot;??_-;_-@"/>
    <numFmt numFmtId="167" formatCode="0.0%"/>
    <numFmt numFmtId="168" formatCode="_-* #,##0.00_-;\-* #,##0.00_-;_-* &quot;-&quot;??_-;_-@"/>
    <numFmt numFmtId="169" formatCode="0.0"/>
    <numFmt numFmtId="170" formatCode="_-* #,##0.0_-;\-* #,##0.0_-;_-* &quot;-&quot;??_-;_-@"/>
    <numFmt numFmtId="171" formatCode="0.000%"/>
    <numFmt numFmtId="172" formatCode="_-* #,##0.0_-;\-* #,##0.0_-;_-* &quot;-&quot;?_-;_-@"/>
    <numFmt numFmtId="173" formatCode="mm/dd"/>
    <numFmt numFmtId="174" formatCode="m/d"/>
    <numFmt numFmtId="175" formatCode="_-* #,##0_-;\-* #,##0_-;_-* &quot;-&quot;?_-;_-@"/>
  </numFmts>
  <fonts count="35" x14ac:knownFonts="1">
    <font>
      <sz val="11"/>
      <color theme="1"/>
      <name val="Calibri"/>
      <scheme val="minor"/>
    </font>
    <font>
      <sz val="8"/>
      <color theme="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rgb="FFFF0000"/>
      <name val="Calibri"/>
      <family val="2"/>
    </font>
    <font>
      <sz val="10"/>
      <color rgb="FFFF0000"/>
      <name val="Calibri"/>
      <family val="2"/>
    </font>
    <font>
      <b/>
      <sz val="8"/>
      <color theme="0"/>
      <name val="Calibri"/>
      <family val="2"/>
    </font>
    <font>
      <i/>
      <sz val="10"/>
      <color rgb="FF757070"/>
      <name val="Calibri"/>
      <family val="2"/>
    </font>
    <font>
      <sz val="10"/>
      <color rgb="FF0C0C0C"/>
      <name val="Calibri"/>
      <family val="2"/>
    </font>
    <font>
      <b/>
      <sz val="8"/>
      <color theme="1"/>
      <name val="Calibri"/>
      <family val="2"/>
    </font>
    <font>
      <sz val="10"/>
      <color rgb="FFBFBFBF"/>
      <name val="Calibri"/>
      <family val="2"/>
    </font>
    <font>
      <sz val="8"/>
      <color rgb="FFFF0000"/>
      <name val="Calibri"/>
      <family val="2"/>
    </font>
    <font>
      <sz val="10"/>
      <color rgb="FF757070"/>
      <name val="Calibri"/>
      <family val="2"/>
    </font>
    <font>
      <b/>
      <u/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color rgb="FF7F7F7F"/>
      <name val="Calibri"/>
      <family val="2"/>
    </font>
    <font>
      <sz val="8"/>
      <color rgb="FFA5A5A5"/>
      <name val="Calibri"/>
      <family val="2"/>
    </font>
    <font>
      <sz val="10"/>
      <color rgb="FFA5A5A5"/>
      <name val="Calibri"/>
      <family val="2"/>
    </font>
    <font>
      <sz val="10"/>
      <color theme="6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Calibri"/>
      <family val="2"/>
    </font>
    <font>
      <sz val="10"/>
      <color theme="2" tint="-0.499984740745262"/>
      <name val="Calibri"/>
      <family val="2"/>
    </font>
    <font>
      <sz val="11"/>
      <color theme="2" tint="-0.49998474074526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7B7B7B"/>
        <bgColor rgb="FF7B7B7B"/>
      </patternFill>
    </fill>
    <fill>
      <patternFill patternType="solid">
        <fgColor rgb="FFFFD966"/>
        <bgColor rgb="FFFFD966"/>
      </patternFill>
    </fill>
    <fill>
      <patternFill patternType="solid">
        <fgColor rgb="FF00B050"/>
        <bgColor rgb="FF00B050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C8C8C8"/>
        <bgColor rgb="FFC8C8C8"/>
      </patternFill>
    </fill>
    <fill>
      <patternFill patternType="solid">
        <fgColor rgb="FFBFBFBF"/>
        <bgColor rgb="FFBFBFBF"/>
      </patternFill>
    </fill>
    <fill>
      <patternFill patternType="solid">
        <fgColor theme="9"/>
        <bgColor theme="9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DADADA"/>
        <bgColor rgb="FFDADADA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rgb="FFD0CE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7CAAC"/>
      </patternFill>
    </fill>
    <fill>
      <patternFill patternType="solid">
        <fgColor theme="5"/>
        <bgColor indexed="64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rgb="FFBFBFBF"/>
      </patternFill>
    </fill>
    <fill>
      <patternFill patternType="solid">
        <fgColor theme="9" tint="0.39997558519241921"/>
        <bgColor rgb="FFC5E0B3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00B050"/>
      </patternFill>
    </fill>
    <fill>
      <patternFill patternType="solid">
        <fgColor rgb="FFFFFF00"/>
        <bgColor rgb="FFE2EFD9"/>
      </patternFill>
    </fill>
    <fill>
      <patternFill patternType="solid">
        <fgColor theme="2"/>
        <bgColor rgb="FFFFFF00"/>
      </patternFill>
    </fill>
    <fill>
      <patternFill patternType="solid">
        <fgColor rgb="FF00B050"/>
        <bgColor rgb="FFE2EFD9"/>
      </patternFill>
    </fill>
    <fill>
      <patternFill patternType="solid">
        <fgColor theme="9"/>
        <bgColor rgb="FFF7CAAC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rgb="FFF7CAA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rgb="FFF7CAAC"/>
      </patternFill>
    </fill>
    <fill>
      <patternFill patternType="solid">
        <fgColor rgb="FF00B050"/>
        <bgColor theme="9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rgb="FFFEF2CB"/>
      </patternFill>
    </fill>
    <fill>
      <patternFill patternType="solid">
        <fgColor theme="9" tint="0.39997558519241921"/>
        <bgColor rgb="FF00B050"/>
      </patternFill>
    </fill>
    <fill>
      <patternFill patternType="solid">
        <fgColor theme="9" tint="0.39997558519241921"/>
        <bgColor rgb="FFE2EFD9"/>
      </patternFill>
    </fill>
    <fill>
      <patternFill patternType="solid">
        <fgColor theme="9"/>
        <bgColor rgb="FF00B050"/>
      </patternFill>
    </fill>
    <fill>
      <patternFill patternType="solid">
        <fgColor rgb="FFFFFF00"/>
        <bgColor theme="9"/>
      </patternFill>
    </fill>
  </fills>
  <borders count="31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9" fontId="31" fillId="0" borderId="0" applyFont="0" applyFill="0" applyBorder="0" applyAlignment="0" applyProtection="0"/>
    <xf numFmtId="44" fontId="34" fillId="0" borderId="0" applyFont="0" applyFill="0" applyBorder="0" applyAlignment="0" applyProtection="0"/>
  </cellStyleXfs>
  <cellXfs count="49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6" fontId="2" fillId="0" borderId="3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" fontId="2" fillId="0" borderId="0" xfId="0" applyNumberFormat="1" applyFont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7" fontId="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/>
    </xf>
    <xf numFmtId="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wrapText="1"/>
    </xf>
    <xf numFmtId="0" fontId="6" fillId="8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9" borderId="6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left"/>
    </xf>
    <xf numFmtId="0" fontId="2" fillId="9" borderId="13" xfId="0" applyFont="1" applyFill="1" applyBorder="1" applyAlignment="1">
      <alignment horizontal="left"/>
    </xf>
    <xf numFmtId="0" fontId="9" fillId="0" borderId="0" xfId="0" applyFont="1"/>
    <xf numFmtId="0" fontId="6" fillId="0" borderId="1" xfId="0" applyFont="1" applyBorder="1" applyAlignment="1">
      <alignment horizontal="left"/>
    </xf>
    <xf numFmtId="0" fontId="6" fillId="9" borderId="13" xfId="0" applyFont="1" applyFill="1" applyBorder="1" applyAlignment="1">
      <alignment horizontal="left"/>
    </xf>
    <xf numFmtId="166" fontId="2" fillId="2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164" fontId="2" fillId="8" borderId="1" xfId="0" applyNumberFormat="1" applyFont="1" applyFill="1" applyBorder="1" applyAlignment="1">
      <alignment vertical="center"/>
    </xf>
    <xf numFmtId="9" fontId="2" fillId="8" borderId="1" xfId="0" applyNumberFormat="1" applyFont="1" applyFill="1" applyBorder="1" applyAlignment="1">
      <alignment vertical="center"/>
    </xf>
    <xf numFmtId="0" fontId="8" fillId="9" borderId="13" xfId="0" applyFont="1" applyFill="1" applyBorder="1" applyAlignment="1">
      <alignment horizontal="left"/>
    </xf>
    <xf numFmtId="164" fontId="2" fillId="8" borderId="14" xfId="0" applyNumberFormat="1" applyFont="1" applyFill="1" applyBorder="1" applyAlignment="1">
      <alignment vertical="center"/>
    </xf>
    <xf numFmtId="164" fontId="2" fillId="8" borderId="15" xfId="0" applyNumberFormat="1" applyFont="1" applyFill="1" applyBorder="1" applyAlignment="1">
      <alignment vertical="center"/>
    </xf>
    <xf numFmtId="9" fontId="2" fillId="8" borderId="15" xfId="0" applyNumberFormat="1" applyFont="1" applyFill="1" applyBorder="1" applyAlignment="1">
      <alignment vertical="center"/>
    </xf>
    <xf numFmtId="164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/>
    <xf numFmtId="9" fontId="10" fillId="0" borderId="4" xfId="0" applyNumberFormat="1" applyFont="1" applyBorder="1"/>
    <xf numFmtId="164" fontId="2" fillId="2" borderId="14" xfId="0" applyNumberFormat="1" applyFont="1" applyFill="1" applyBorder="1"/>
    <xf numFmtId="164" fontId="11" fillId="2" borderId="14" xfId="0" applyNumberFormat="1" applyFont="1" applyFill="1" applyBorder="1"/>
    <xf numFmtId="164" fontId="11" fillId="0" borderId="3" xfId="0" applyNumberFormat="1" applyFont="1" applyBorder="1"/>
    <xf numFmtId="164" fontId="2" fillId="0" borderId="4" xfId="0" applyNumberFormat="1" applyFont="1" applyBorder="1" applyAlignment="1">
      <alignment horizontal="center"/>
    </xf>
    <xf numFmtId="164" fontId="2" fillId="12" borderId="14" xfId="0" applyNumberFormat="1" applyFont="1" applyFill="1" applyBorder="1"/>
    <xf numFmtId="165" fontId="2" fillId="0" borderId="3" xfId="0" applyNumberFormat="1" applyFont="1" applyBorder="1"/>
    <xf numFmtId="165" fontId="2" fillId="2" borderId="14" xfId="0" applyNumberFormat="1" applyFont="1" applyFill="1" applyBorder="1"/>
    <xf numFmtId="164" fontId="2" fillId="9" borderId="14" xfId="0" applyNumberFormat="1" applyFont="1" applyFill="1" applyBorder="1" applyAlignment="1">
      <alignment horizontal="center"/>
    </xf>
    <xf numFmtId="164" fontId="2" fillId="9" borderId="15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 vertical="center"/>
    </xf>
    <xf numFmtId="166" fontId="2" fillId="2" borderId="5" xfId="0" applyNumberFormat="1" applyFont="1" applyFill="1" applyBorder="1" applyAlignment="1">
      <alignment horizontal="center" vertical="center"/>
    </xf>
    <xf numFmtId="0" fontId="12" fillId="0" borderId="0" xfId="0" applyFont="1"/>
    <xf numFmtId="167" fontId="2" fillId="0" borderId="0" xfId="0" applyNumberFormat="1" applyFont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2" fillId="1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9" fontId="2" fillId="0" borderId="0" xfId="0" applyNumberFormat="1" applyFont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7" fontId="2" fillId="0" borderId="3" xfId="0" applyNumberFormat="1" applyFont="1" applyBorder="1" applyAlignment="1">
      <alignment vertical="center"/>
    </xf>
    <xf numFmtId="10" fontId="2" fillId="0" borderId="3" xfId="0" applyNumberFormat="1" applyFont="1" applyBorder="1" applyAlignment="1">
      <alignment vertical="center"/>
    </xf>
    <xf numFmtId="0" fontId="2" fillId="15" borderId="1" xfId="0" applyFont="1" applyFill="1" applyBorder="1" applyAlignment="1">
      <alignment horizontal="left"/>
    </xf>
    <xf numFmtId="166" fontId="2" fillId="15" borderId="1" xfId="0" applyNumberFormat="1" applyFont="1" applyFill="1" applyBorder="1" applyAlignment="1">
      <alignment horizontal="center" vertical="center"/>
    </xf>
    <xf numFmtId="167" fontId="2" fillId="15" borderId="1" xfId="0" applyNumberFormat="1" applyFont="1" applyFill="1" applyBorder="1" applyAlignment="1">
      <alignment horizontal="center" vertical="center"/>
    </xf>
    <xf numFmtId="166" fontId="2" fillId="16" borderId="1" xfId="0" applyNumberFormat="1" applyFont="1" applyFill="1" applyBorder="1" applyAlignment="1">
      <alignment horizontal="center" vertical="center"/>
    </xf>
    <xf numFmtId="167" fontId="2" fillId="16" borderId="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0" fontId="14" fillId="0" borderId="0" xfId="0" applyFont="1"/>
    <xf numFmtId="166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/>
    </xf>
    <xf numFmtId="166" fontId="2" fillId="13" borderId="1" xfId="0" applyNumberFormat="1" applyFont="1" applyFill="1" applyBorder="1" applyAlignment="1">
      <alignment vertical="center"/>
    </xf>
    <xf numFmtId="166" fontId="2" fillId="13" borderId="5" xfId="0" applyNumberFormat="1" applyFont="1" applyFill="1" applyBorder="1" applyAlignment="1">
      <alignment horizontal="center" vertical="center"/>
    </xf>
    <xf numFmtId="169" fontId="2" fillId="0" borderId="1" xfId="0" applyNumberFormat="1" applyFont="1" applyBorder="1" applyAlignment="1">
      <alignment vertical="center"/>
    </xf>
    <xf numFmtId="169" fontId="2" fillId="6" borderId="14" xfId="0" applyNumberFormat="1" applyFont="1" applyFill="1" applyBorder="1" applyAlignment="1">
      <alignment vertical="center"/>
    </xf>
    <xf numFmtId="169" fontId="2" fillId="7" borderId="1" xfId="0" applyNumberFormat="1" applyFont="1" applyFill="1" applyBorder="1" applyAlignment="1">
      <alignment vertical="center"/>
    </xf>
    <xf numFmtId="169" fontId="2" fillId="14" borderId="15" xfId="0" applyNumberFormat="1" applyFont="1" applyFill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9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66" fontId="2" fillId="1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5" borderId="5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14" borderId="1" xfId="0" applyNumberFormat="1" applyFont="1" applyFill="1" applyBorder="1" applyAlignment="1">
      <alignment vertical="center"/>
    </xf>
    <xf numFmtId="166" fontId="2" fillId="14" borderId="1" xfId="0" applyNumberFormat="1" applyFont="1" applyFill="1" applyBorder="1" applyAlignment="1">
      <alignment vertical="center"/>
    </xf>
    <xf numFmtId="166" fontId="16" fillId="14" borderId="1" xfId="0" applyNumberFormat="1" applyFont="1" applyFill="1" applyBorder="1" applyAlignment="1">
      <alignment vertical="center"/>
    </xf>
    <xf numFmtId="0" fontId="2" fillId="9" borderId="5" xfId="0" applyFont="1" applyFill="1" applyBorder="1" applyAlignment="1">
      <alignment horizontal="center"/>
    </xf>
    <xf numFmtId="166" fontId="1" fillId="0" borderId="0" xfId="0" applyNumberFormat="1" applyFont="1"/>
    <xf numFmtId="166" fontId="6" fillId="8" borderId="1" xfId="0" applyNumberFormat="1" applyFont="1" applyFill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0" fontId="2" fillId="18" borderId="1" xfId="0" applyFont="1" applyFill="1" applyBorder="1" applyAlignment="1">
      <alignment horizontal="left"/>
    </xf>
    <xf numFmtId="164" fontId="1" fillId="0" borderId="0" xfId="0" applyNumberFormat="1" applyFont="1"/>
    <xf numFmtId="164" fontId="17" fillId="0" borderId="1" xfId="0" applyNumberFormat="1" applyFont="1" applyBorder="1" applyAlignment="1">
      <alignment horizontal="center"/>
    </xf>
    <xf numFmtId="0" fontId="2" fillId="13" borderId="1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/>
    </xf>
    <xf numFmtId="164" fontId="2" fillId="5" borderId="5" xfId="0" applyNumberFormat="1" applyFont="1" applyFill="1" applyBorder="1" applyAlignment="1">
      <alignment horizontal="center" wrapText="1"/>
    </xf>
    <xf numFmtId="164" fontId="2" fillId="5" borderId="5" xfId="0" applyNumberFormat="1" applyFont="1" applyFill="1" applyBorder="1" applyAlignment="1">
      <alignment horizontal="center"/>
    </xf>
    <xf numFmtId="164" fontId="2" fillId="9" borderId="5" xfId="0" applyNumberFormat="1" applyFont="1" applyFill="1" applyBorder="1" applyAlignment="1">
      <alignment horizontal="center" vertical="center" wrapText="1"/>
    </xf>
    <xf numFmtId="164" fontId="2" fillId="12" borderId="5" xfId="0" applyNumberFormat="1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/>
    </xf>
    <xf numFmtId="172" fontId="2" fillId="5" borderId="6" xfId="0" applyNumberFormat="1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/>
    </xf>
    <xf numFmtId="170" fontId="2" fillId="0" borderId="1" xfId="0" applyNumberFormat="1" applyFont="1" applyBorder="1" applyAlignment="1">
      <alignment horizontal="center" vertical="center"/>
    </xf>
    <xf numFmtId="170" fontId="2" fillId="12" borderId="1" xfId="0" applyNumberFormat="1" applyFont="1" applyFill="1" applyBorder="1" applyAlignment="1">
      <alignment horizontal="center" vertical="center"/>
    </xf>
    <xf numFmtId="167" fontId="2" fillId="12" borderId="1" xfId="0" applyNumberFormat="1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 wrapText="1"/>
    </xf>
    <xf numFmtId="166" fontId="2" fillId="5" borderId="6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/>
    </xf>
    <xf numFmtId="166" fontId="2" fillId="5" borderId="13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6" fontId="2" fillId="5" borderId="13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1" fillId="20" borderId="5" xfId="0" applyFont="1" applyFill="1" applyBorder="1"/>
    <xf numFmtId="0" fontId="6" fillId="20" borderId="1" xfId="0" applyFont="1" applyFill="1" applyBorder="1" applyAlignment="1">
      <alignment horizontal="left"/>
    </xf>
    <xf numFmtId="0" fontId="2" fillId="2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166" fontId="2" fillId="5" borderId="23" xfId="0" applyNumberFormat="1" applyFont="1" applyFill="1" applyBorder="1" applyAlignment="1">
      <alignment horizontal="center" vertical="center"/>
    </xf>
    <xf numFmtId="170" fontId="2" fillId="17" borderId="5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/>
    </xf>
    <xf numFmtId="170" fontId="2" fillId="7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6" fontId="2" fillId="0" borderId="3" xfId="0" applyNumberFormat="1" applyFont="1" applyBorder="1" applyAlignment="1">
      <alignment vertical="center"/>
    </xf>
    <xf numFmtId="166" fontId="2" fillId="0" borderId="4" xfId="0" applyNumberFormat="1" applyFont="1" applyBorder="1" applyAlignment="1">
      <alignment vertical="center"/>
    </xf>
    <xf numFmtId="166" fontId="2" fillId="13" borderId="15" xfId="0" applyNumberFormat="1" applyFont="1" applyFill="1" applyBorder="1" applyAlignment="1">
      <alignment vertical="center"/>
    </xf>
    <xf numFmtId="166" fontId="2" fillId="2" borderId="1" xfId="0" applyNumberFormat="1" applyFont="1" applyFill="1" applyBorder="1" applyAlignment="1">
      <alignment vertical="center"/>
    </xf>
    <xf numFmtId="9" fontId="2" fillId="0" borderId="0" xfId="0" applyNumberFormat="1" applyFont="1" applyAlignment="1">
      <alignment horizontal="left" vertical="center"/>
    </xf>
    <xf numFmtId="172" fontId="2" fillId="0" borderId="1" xfId="0" applyNumberFormat="1" applyFont="1" applyBorder="1" applyAlignment="1">
      <alignment vertical="center"/>
    </xf>
    <xf numFmtId="166" fontId="2" fillId="1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6" fontId="8" fillId="0" borderId="1" xfId="0" applyNumberFormat="1" applyFont="1" applyBorder="1"/>
    <xf numFmtId="167" fontId="8" fillId="0" borderId="1" xfId="0" applyNumberFormat="1" applyFont="1" applyBorder="1"/>
    <xf numFmtId="9" fontId="8" fillId="0" borderId="1" xfId="0" applyNumberFormat="1" applyFont="1" applyBorder="1"/>
    <xf numFmtId="166" fontId="8" fillId="2" borderId="1" xfId="0" applyNumberFormat="1" applyFont="1" applyFill="1" applyBorder="1"/>
    <xf numFmtId="9" fontId="8" fillId="2" borderId="1" xfId="0" applyNumberFormat="1" applyFont="1" applyFill="1" applyBorder="1" applyAlignment="1">
      <alignment horizontal="center" vertical="center"/>
    </xf>
    <xf numFmtId="0" fontId="22" fillId="0" borderId="0" xfId="0" applyFont="1"/>
    <xf numFmtId="0" fontId="22" fillId="21" borderId="0" xfId="0" applyFont="1" applyFill="1"/>
    <xf numFmtId="0" fontId="23" fillId="0" borderId="0" xfId="0" applyFont="1"/>
    <xf numFmtId="173" fontId="22" fillId="0" borderId="0" xfId="0" applyNumberFormat="1" applyFont="1"/>
    <xf numFmtId="174" fontId="22" fillId="0" borderId="0" xfId="0" applyNumberFormat="1" applyFont="1"/>
    <xf numFmtId="174" fontId="22" fillId="0" borderId="0" xfId="0" applyNumberFormat="1" applyFont="1" applyAlignment="1">
      <alignment horizontal="right"/>
    </xf>
    <xf numFmtId="0" fontId="24" fillId="0" borderId="0" xfId="0" applyFont="1"/>
    <xf numFmtId="1" fontId="22" fillId="0" borderId="0" xfId="0" applyNumberFormat="1" applyFont="1"/>
    <xf numFmtId="165" fontId="28" fillId="25" borderId="14" xfId="0" applyNumberFormat="1" applyFont="1" applyFill="1" applyBorder="1"/>
    <xf numFmtId="165" fontId="28" fillId="2" borderId="14" xfId="0" applyNumberFormat="1" applyFont="1" applyFill="1" applyBorder="1"/>
    <xf numFmtId="164" fontId="11" fillId="25" borderId="14" xfId="0" applyNumberFormat="1" applyFont="1" applyFill="1" applyBorder="1"/>
    <xf numFmtId="164" fontId="2" fillId="25" borderId="14" xfId="0" applyNumberFormat="1" applyFont="1" applyFill="1" applyBorder="1"/>
    <xf numFmtId="166" fontId="2" fillId="25" borderId="1" xfId="0" applyNumberFormat="1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/>
    </xf>
    <xf numFmtId="9" fontId="10" fillId="23" borderId="4" xfId="0" applyNumberFormat="1" applyFont="1" applyFill="1" applyBorder="1"/>
    <xf numFmtId="0" fontId="2" fillId="28" borderId="1" xfId="0" applyFont="1" applyFill="1" applyBorder="1" applyAlignment="1">
      <alignment horizontal="left"/>
    </xf>
    <xf numFmtId="0" fontId="3" fillId="0" borderId="5" xfId="0" applyFont="1" applyBorder="1"/>
    <xf numFmtId="0" fontId="2" fillId="0" borderId="5" xfId="0" applyFont="1" applyBorder="1" applyAlignment="1">
      <alignment horizontal="left" vertical="center" wrapText="1"/>
    </xf>
    <xf numFmtId="166" fontId="2" fillId="0" borderId="5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0" fontId="2" fillId="23" borderId="0" xfId="0" applyFont="1" applyFill="1" applyAlignment="1">
      <alignment horizontal="center" vertical="center" wrapText="1"/>
    </xf>
    <xf numFmtId="0" fontId="1" fillId="29" borderId="5" xfId="0" applyFont="1" applyFill="1" applyBorder="1"/>
    <xf numFmtId="0" fontId="2" fillId="23" borderId="1" xfId="0" applyFont="1" applyFill="1" applyBorder="1" applyAlignment="1">
      <alignment horizontal="left"/>
    </xf>
    <xf numFmtId="164" fontId="2" fillId="31" borderId="1" xfId="0" applyNumberFormat="1" applyFont="1" applyFill="1" applyBorder="1" applyAlignment="1">
      <alignment vertical="center"/>
    </xf>
    <xf numFmtId="9" fontId="2" fillId="16" borderId="1" xfId="1" applyFont="1" applyFill="1" applyBorder="1" applyAlignment="1">
      <alignment horizontal="center" vertical="center"/>
    </xf>
    <xf numFmtId="164" fontId="2" fillId="23" borderId="1" xfId="0" applyNumberFormat="1" applyFont="1" applyFill="1" applyBorder="1" applyAlignment="1">
      <alignment horizontal="center" vertical="center"/>
    </xf>
    <xf numFmtId="166" fontId="2" fillId="23" borderId="1" xfId="0" applyNumberFormat="1" applyFont="1" applyFill="1" applyBorder="1" applyAlignment="1">
      <alignment horizontal="center" vertical="center"/>
    </xf>
    <xf numFmtId="164" fontId="2" fillId="23" borderId="0" xfId="0" applyNumberFormat="1" applyFont="1" applyFill="1" applyAlignment="1">
      <alignment horizontal="center" vertical="center"/>
    </xf>
    <xf numFmtId="166" fontId="2" fillId="23" borderId="0" xfId="0" applyNumberFormat="1" applyFont="1" applyFill="1" applyAlignment="1">
      <alignment horizontal="center" vertical="center"/>
    </xf>
    <xf numFmtId="164" fontId="11" fillId="12" borderId="14" xfId="0" applyNumberFormat="1" applyFont="1" applyFill="1" applyBorder="1"/>
    <xf numFmtId="175" fontId="2" fillId="0" borderId="1" xfId="0" applyNumberFormat="1" applyFont="1" applyBorder="1" applyAlignment="1">
      <alignment vertical="center"/>
    </xf>
    <xf numFmtId="0" fontId="2" fillId="5" borderId="24" xfId="0" applyFont="1" applyFill="1" applyBorder="1" applyAlignment="1">
      <alignment horizontal="center" vertical="center" wrapText="1"/>
    </xf>
    <xf numFmtId="0" fontId="3" fillId="0" borderId="4" xfId="0" applyFont="1" applyBorder="1"/>
    <xf numFmtId="170" fontId="2" fillId="0" borderId="3" xfId="0" applyNumberFormat="1" applyFont="1" applyBorder="1" applyAlignment="1">
      <alignment horizontal="center" vertical="center"/>
    </xf>
    <xf numFmtId="0" fontId="3" fillId="0" borderId="15" xfId="0" applyFont="1" applyBorder="1"/>
    <xf numFmtId="0" fontId="2" fillId="23" borderId="5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 vertical="center"/>
    </xf>
    <xf numFmtId="164" fontId="2" fillId="23" borderId="5" xfId="0" applyNumberFormat="1" applyFont="1" applyFill="1" applyBorder="1" applyAlignment="1">
      <alignment horizontal="center" vertical="center"/>
    </xf>
    <xf numFmtId="166" fontId="2" fillId="23" borderId="5" xfId="0" applyNumberFormat="1" applyFont="1" applyFill="1" applyBorder="1" applyAlignment="1">
      <alignment horizontal="center" vertical="center"/>
    </xf>
    <xf numFmtId="167" fontId="2" fillId="2" borderId="3" xfId="0" applyNumberFormat="1" applyFont="1" applyFill="1" applyBorder="1" applyAlignment="1">
      <alignment vertical="center"/>
    </xf>
    <xf numFmtId="170" fontId="2" fillId="0" borderId="14" xfId="0" applyNumberFormat="1" applyFont="1" applyBorder="1" applyAlignment="1">
      <alignment horizontal="center" vertical="center"/>
    </xf>
    <xf numFmtId="0" fontId="8" fillId="34" borderId="0" xfId="0" applyFont="1" applyFill="1" applyAlignment="1">
      <alignment horizontal="left"/>
    </xf>
    <xf numFmtId="0" fontId="2" fillId="34" borderId="0" xfId="0" applyFont="1" applyFill="1" applyAlignment="1">
      <alignment horizontal="center"/>
    </xf>
    <xf numFmtId="0" fontId="3" fillId="23" borderId="15" xfId="0" applyFont="1" applyFill="1" applyBorder="1"/>
    <xf numFmtId="170" fontId="2" fillId="35" borderId="5" xfId="0" applyNumberFormat="1" applyFont="1" applyFill="1" applyBorder="1" applyAlignment="1">
      <alignment horizontal="center" vertical="center" wrapText="1"/>
    </xf>
    <xf numFmtId="0" fontId="0" fillId="23" borderId="0" xfId="0" applyFill="1"/>
    <xf numFmtId="0" fontId="1" fillId="23" borderId="0" xfId="0" applyFont="1" applyFill="1"/>
    <xf numFmtId="164" fontId="2" fillId="36" borderId="14" xfId="0" applyNumberFormat="1" applyFont="1" applyFill="1" applyBorder="1"/>
    <xf numFmtId="166" fontId="2" fillId="37" borderId="1" xfId="0" applyNumberFormat="1" applyFont="1" applyFill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14" xfId="0" applyNumberFormat="1" applyFont="1" applyBorder="1"/>
    <xf numFmtId="9" fontId="10" fillId="0" borderId="15" xfId="0" applyNumberFormat="1" applyFont="1" applyBorder="1"/>
    <xf numFmtId="0" fontId="2" fillId="9" borderId="24" xfId="0" applyFont="1" applyFill="1" applyBorder="1" applyAlignment="1">
      <alignment horizontal="left"/>
    </xf>
    <xf numFmtId="0" fontId="2" fillId="41" borderId="6" xfId="0" applyFont="1" applyFill="1" applyBorder="1" applyAlignment="1">
      <alignment horizontal="left"/>
    </xf>
    <xf numFmtId="0" fontId="2" fillId="41" borderId="5" xfId="0" applyFont="1" applyFill="1" applyBorder="1" applyAlignment="1">
      <alignment horizontal="left"/>
    </xf>
    <xf numFmtId="0" fontId="2" fillId="41" borderId="13" xfId="0" applyFont="1" applyFill="1" applyBorder="1" applyAlignment="1">
      <alignment horizontal="left"/>
    </xf>
    <xf numFmtId="0" fontId="6" fillId="41" borderId="13" xfId="0" applyFont="1" applyFill="1" applyBorder="1" applyAlignment="1">
      <alignment horizontal="left"/>
    </xf>
    <xf numFmtId="0" fontId="8" fillId="41" borderId="13" xfId="0" applyFont="1" applyFill="1" applyBorder="1" applyAlignment="1">
      <alignment horizontal="left"/>
    </xf>
    <xf numFmtId="0" fontId="2" fillId="41" borderId="13" xfId="0" applyFont="1" applyFill="1" applyBorder="1" applyAlignment="1">
      <alignment horizontal="center"/>
    </xf>
    <xf numFmtId="0" fontId="2" fillId="41" borderId="24" xfId="0" applyFont="1" applyFill="1" applyBorder="1" applyAlignment="1">
      <alignment horizontal="left"/>
    </xf>
    <xf numFmtId="0" fontId="2" fillId="28" borderId="0" xfId="0" applyFont="1" applyFill="1" applyAlignment="1">
      <alignment horizontal="left"/>
    </xf>
    <xf numFmtId="0" fontId="2" fillId="41" borderId="5" xfId="0" applyFont="1" applyFill="1" applyBorder="1" applyAlignment="1">
      <alignment horizontal="center"/>
    </xf>
    <xf numFmtId="0" fontId="2" fillId="41" borderId="5" xfId="0" applyFont="1" applyFill="1" applyBorder="1" applyAlignment="1">
      <alignment horizontal="center" vertical="center" wrapText="1"/>
    </xf>
    <xf numFmtId="164" fontId="2" fillId="40" borderId="5" xfId="0" applyNumberFormat="1" applyFont="1" applyFill="1" applyBorder="1" applyAlignment="1">
      <alignment horizontal="center" wrapText="1"/>
    </xf>
    <xf numFmtId="164" fontId="2" fillId="40" borderId="5" xfId="0" applyNumberFormat="1" applyFont="1" applyFill="1" applyBorder="1" applyAlignment="1">
      <alignment horizontal="center"/>
    </xf>
    <xf numFmtId="0" fontId="2" fillId="23" borderId="0" xfId="0" applyFont="1" applyFill="1" applyAlignment="1">
      <alignment horizontal="left"/>
    </xf>
    <xf numFmtId="0" fontId="2" fillId="43" borderId="6" xfId="0" applyFont="1" applyFill="1" applyBorder="1" applyAlignment="1">
      <alignment horizontal="left"/>
    </xf>
    <xf numFmtId="0" fontId="2" fillId="43" borderId="5" xfId="0" applyFont="1" applyFill="1" applyBorder="1" applyAlignment="1">
      <alignment horizontal="left"/>
    </xf>
    <xf numFmtId="0" fontId="2" fillId="43" borderId="13" xfId="0" applyFont="1" applyFill="1" applyBorder="1" applyAlignment="1">
      <alignment horizontal="left"/>
    </xf>
    <xf numFmtId="0" fontId="6" fillId="43" borderId="13" xfId="0" applyFont="1" applyFill="1" applyBorder="1" applyAlignment="1">
      <alignment horizontal="left"/>
    </xf>
    <xf numFmtId="0" fontId="8" fillId="43" borderId="13" xfId="0" applyFont="1" applyFill="1" applyBorder="1" applyAlignment="1">
      <alignment horizontal="left"/>
    </xf>
    <xf numFmtId="0" fontId="2" fillId="43" borderId="13" xfId="0" applyFont="1" applyFill="1" applyBorder="1" applyAlignment="1">
      <alignment horizontal="center"/>
    </xf>
    <xf numFmtId="0" fontId="2" fillId="43" borderId="2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2" fillId="9" borderId="5" xfId="0" applyNumberFormat="1" applyFont="1" applyFill="1" applyBorder="1" applyAlignment="1">
      <alignment horizontal="center"/>
    </xf>
    <xf numFmtId="164" fontId="2" fillId="0" borderId="5" xfId="0" applyNumberFormat="1" applyFont="1" applyBorder="1"/>
    <xf numFmtId="9" fontId="10" fillId="0" borderId="5" xfId="0" applyNumberFormat="1" applyFont="1" applyBorder="1"/>
    <xf numFmtId="164" fontId="2" fillId="2" borderId="5" xfId="0" applyNumberFormat="1" applyFont="1" applyFill="1" applyBorder="1"/>
    <xf numFmtId="164" fontId="11" fillId="2" borderId="5" xfId="0" applyNumberFormat="1" applyFont="1" applyFill="1" applyBorder="1"/>
    <xf numFmtId="164" fontId="2" fillId="25" borderId="5" xfId="0" applyNumberFormat="1" applyFont="1" applyFill="1" applyBorder="1"/>
    <xf numFmtId="164" fontId="2" fillId="42" borderId="5" xfId="0" applyNumberFormat="1" applyFont="1" applyFill="1" applyBorder="1"/>
    <xf numFmtId="0" fontId="3" fillId="0" borderId="28" xfId="0" applyFont="1" applyBorder="1"/>
    <xf numFmtId="0" fontId="1" fillId="0" borderId="29" xfId="0" applyFont="1" applyBorder="1"/>
    <xf numFmtId="170" fontId="2" fillId="49" borderId="5" xfId="0" applyNumberFormat="1" applyFont="1" applyFill="1" applyBorder="1" applyAlignment="1">
      <alignment horizontal="center" vertical="center" wrapText="1"/>
    </xf>
    <xf numFmtId="10" fontId="3" fillId="0" borderId="4" xfId="0" applyNumberFormat="1" applyFont="1" applyBorder="1"/>
    <xf numFmtId="164" fontId="2" fillId="50" borderId="5" xfId="0" applyNumberFormat="1" applyFont="1" applyFill="1" applyBorder="1" applyAlignment="1">
      <alignment horizontal="center" vertical="center" wrapText="1"/>
    </xf>
    <xf numFmtId="10" fontId="2" fillId="2" borderId="3" xfId="0" applyNumberFormat="1" applyFont="1" applyFill="1" applyBorder="1" applyAlignment="1">
      <alignment vertical="center"/>
    </xf>
    <xf numFmtId="0" fontId="2" fillId="53" borderId="6" xfId="0" applyFont="1" applyFill="1" applyBorder="1" applyAlignment="1">
      <alignment horizontal="left"/>
    </xf>
    <xf numFmtId="0" fontId="2" fillId="53" borderId="5" xfId="0" applyFont="1" applyFill="1" applyBorder="1" applyAlignment="1">
      <alignment horizontal="left"/>
    </xf>
    <xf numFmtId="0" fontId="2" fillId="53" borderId="13" xfId="0" applyFont="1" applyFill="1" applyBorder="1" applyAlignment="1">
      <alignment horizontal="left"/>
    </xf>
    <xf numFmtId="0" fontId="6" fillId="53" borderId="13" xfId="0" applyFont="1" applyFill="1" applyBorder="1" applyAlignment="1">
      <alignment horizontal="left"/>
    </xf>
    <xf numFmtId="0" fontId="2" fillId="53" borderId="13" xfId="0" applyFont="1" applyFill="1" applyBorder="1" applyAlignment="1">
      <alignment horizontal="center"/>
    </xf>
    <xf numFmtId="0" fontId="2" fillId="53" borderId="24" xfId="0" applyFont="1" applyFill="1" applyBorder="1" applyAlignment="1">
      <alignment horizontal="left"/>
    </xf>
    <xf numFmtId="0" fontId="8" fillId="53" borderId="13" xfId="0" applyFont="1" applyFill="1" applyBorder="1" applyAlignment="1">
      <alignment horizontal="left"/>
    </xf>
    <xf numFmtId="0" fontId="2" fillId="53" borderId="5" xfId="0" applyFont="1" applyFill="1" applyBorder="1" applyAlignment="1">
      <alignment horizontal="center" vertical="center" wrapText="1"/>
    </xf>
    <xf numFmtId="0" fontId="2" fillId="53" borderId="5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6" fontId="2" fillId="40" borderId="6" xfId="0" applyNumberFormat="1" applyFont="1" applyFill="1" applyBorder="1" applyAlignment="1">
      <alignment horizontal="center" vertical="center" wrapText="1"/>
    </xf>
    <xf numFmtId="0" fontId="2" fillId="40" borderId="13" xfId="0" applyFont="1" applyFill="1" applyBorder="1" applyAlignment="1">
      <alignment horizontal="center" vertical="center" wrapText="1"/>
    </xf>
    <xf numFmtId="166" fontId="2" fillId="40" borderId="13" xfId="0" applyNumberFormat="1" applyFont="1" applyFill="1" applyBorder="1" applyAlignment="1">
      <alignment horizontal="center" vertical="center" wrapText="1"/>
    </xf>
    <xf numFmtId="0" fontId="2" fillId="40" borderId="24" xfId="0" applyFont="1" applyFill="1" applyBorder="1" applyAlignment="1">
      <alignment horizontal="center" vertical="center" wrapText="1"/>
    </xf>
    <xf numFmtId="166" fontId="2" fillId="40" borderId="13" xfId="0" applyNumberFormat="1" applyFont="1" applyFill="1" applyBorder="1" applyAlignment="1">
      <alignment horizontal="center" vertical="center"/>
    </xf>
    <xf numFmtId="166" fontId="2" fillId="40" borderId="23" xfId="0" applyNumberFormat="1" applyFont="1" applyFill="1" applyBorder="1" applyAlignment="1">
      <alignment horizontal="center" vertical="center"/>
    </xf>
    <xf numFmtId="0" fontId="8" fillId="45" borderId="0" xfId="0" applyFont="1" applyFill="1" applyAlignment="1">
      <alignment horizontal="left"/>
    </xf>
    <xf numFmtId="0" fontId="2" fillId="45" borderId="0" xfId="0" applyFont="1" applyFill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/>
    <xf numFmtId="167" fontId="2" fillId="7" borderId="3" xfId="0" applyNumberFormat="1" applyFont="1" applyFill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0" fontId="2" fillId="40" borderId="10" xfId="0" applyFont="1" applyFill="1" applyBorder="1" applyAlignment="1">
      <alignment horizontal="center" vertical="center" wrapText="1"/>
    </xf>
    <xf numFmtId="0" fontId="3" fillId="28" borderId="7" xfId="0" applyFont="1" applyFill="1" applyBorder="1"/>
    <xf numFmtId="0" fontId="3" fillId="28" borderId="11" xfId="0" applyFont="1" applyFill="1" applyBorder="1"/>
    <xf numFmtId="0" fontId="2" fillId="54" borderId="10" xfId="0" applyFont="1" applyFill="1" applyBorder="1" applyAlignment="1">
      <alignment horizontal="center" vertical="center"/>
    </xf>
    <xf numFmtId="0" fontId="3" fillId="45" borderId="7" xfId="0" applyFont="1" applyFill="1" applyBorder="1"/>
    <xf numFmtId="0" fontId="3" fillId="45" borderId="11" xfId="0" applyFont="1" applyFill="1" applyBorder="1"/>
    <xf numFmtId="0" fontId="2" fillId="54" borderId="10" xfId="0" applyFont="1" applyFill="1" applyBorder="1" applyAlignment="1">
      <alignment horizontal="center" vertical="center" wrapText="1"/>
    </xf>
    <xf numFmtId="0" fontId="3" fillId="45" borderId="24" xfId="0" applyFont="1" applyFill="1" applyBorder="1"/>
    <xf numFmtId="0" fontId="3" fillId="28" borderId="24" xfId="0" applyFont="1" applyFill="1" applyBorder="1"/>
    <xf numFmtId="0" fontId="2" fillId="52" borderId="10" xfId="0" applyFont="1" applyFill="1" applyBorder="1" applyAlignment="1">
      <alignment horizontal="center" vertical="center" wrapText="1"/>
    </xf>
    <xf numFmtId="0" fontId="3" fillId="39" borderId="7" xfId="0" applyFont="1" applyFill="1" applyBorder="1"/>
    <xf numFmtId="0" fontId="3" fillId="39" borderId="11" xfId="0" applyFont="1" applyFill="1" applyBorder="1"/>
    <xf numFmtId="1" fontId="2" fillId="5" borderId="10" xfId="0" applyNumberFormat="1" applyFont="1" applyFill="1" applyBorder="1" applyAlignment="1">
      <alignment horizontal="center" vertical="center" wrapText="1"/>
    </xf>
    <xf numFmtId="0" fontId="3" fillId="34" borderId="7" xfId="0" applyFont="1" applyFill="1" applyBorder="1" applyAlignment="1">
      <alignment horizontal="center"/>
    </xf>
    <xf numFmtId="0" fontId="3" fillId="34" borderId="11" xfId="0" applyFont="1" applyFill="1" applyBorder="1" applyAlignment="1">
      <alignment horizontal="center"/>
    </xf>
    <xf numFmtId="9" fontId="2" fillId="10" borderId="10" xfId="0" applyNumberFormat="1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11" xfId="0" applyFont="1" applyBorder="1"/>
    <xf numFmtId="9" fontId="2" fillId="5" borderId="10" xfId="0" applyNumberFormat="1" applyFont="1" applyFill="1" applyBorder="1" applyAlignment="1">
      <alignment horizontal="center" vertical="center" wrapText="1"/>
    </xf>
    <xf numFmtId="0" fontId="3" fillId="34" borderId="7" xfId="0" applyFont="1" applyFill="1" applyBorder="1"/>
    <xf numFmtId="0" fontId="3" fillId="34" borderId="11" xfId="0" applyFont="1" applyFill="1" applyBorder="1"/>
    <xf numFmtId="9" fontId="2" fillId="5" borderId="24" xfId="0" applyNumberFormat="1" applyFont="1" applyFill="1" applyBorder="1" applyAlignment="1">
      <alignment horizontal="center" vertical="center" wrapText="1"/>
    </xf>
    <xf numFmtId="9" fontId="2" fillId="5" borderId="23" xfId="0" applyNumberFormat="1" applyFont="1" applyFill="1" applyBorder="1" applyAlignment="1">
      <alignment horizontal="center" vertical="center" wrapText="1"/>
    </xf>
    <xf numFmtId="169" fontId="2" fillId="17" borderId="10" xfId="0" applyNumberFormat="1" applyFont="1" applyFill="1" applyBorder="1" applyAlignment="1">
      <alignment horizontal="center" vertical="center" wrapText="1"/>
    </xf>
    <xf numFmtId="169" fontId="2" fillId="17" borderId="24" xfId="0" applyNumberFormat="1" applyFont="1" applyFill="1" applyBorder="1" applyAlignment="1">
      <alignment horizontal="center" vertical="center" wrapText="1"/>
    </xf>
    <xf numFmtId="169" fontId="2" fillId="17" borderId="23" xfId="0" applyNumberFormat="1" applyFont="1" applyFill="1" applyBorder="1" applyAlignment="1">
      <alignment horizontal="center" vertical="center" wrapText="1"/>
    </xf>
    <xf numFmtId="1" fontId="2" fillId="17" borderId="10" xfId="0" applyNumberFormat="1" applyFont="1" applyFill="1" applyBorder="1" applyAlignment="1">
      <alignment horizontal="center" vertical="center"/>
    </xf>
    <xf numFmtId="169" fontId="2" fillId="49" borderId="1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166" fontId="2" fillId="51" borderId="10" xfId="0" applyNumberFormat="1" applyFont="1" applyFill="1" applyBorder="1" applyAlignment="1">
      <alignment horizontal="center" vertical="center" wrapText="1"/>
    </xf>
    <xf numFmtId="166" fontId="2" fillId="51" borderId="24" xfId="0" applyNumberFormat="1" applyFont="1" applyFill="1" applyBorder="1" applyAlignment="1">
      <alignment horizontal="center" vertical="center" wrapText="1"/>
    </xf>
    <xf numFmtId="166" fontId="2" fillId="51" borderId="23" xfId="0" applyNumberFormat="1" applyFont="1" applyFill="1" applyBorder="1" applyAlignment="1">
      <alignment horizontal="center" vertical="center" wrapText="1"/>
    </xf>
    <xf numFmtId="9" fontId="2" fillId="17" borderId="10" xfId="0" applyNumberFormat="1" applyFont="1" applyFill="1" applyBorder="1" applyAlignment="1">
      <alignment horizontal="center" vertical="center" wrapText="1"/>
    </xf>
    <xf numFmtId="9" fontId="2" fillId="17" borderId="24" xfId="0" applyNumberFormat="1" applyFont="1" applyFill="1" applyBorder="1" applyAlignment="1">
      <alignment horizontal="center" vertical="center" wrapText="1"/>
    </xf>
    <xf numFmtId="9" fontId="2" fillId="17" borderId="23" xfId="0" applyNumberFormat="1" applyFont="1" applyFill="1" applyBorder="1" applyAlignment="1">
      <alignment horizontal="center" vertical="center" wrapText="1"/>
    </xf>
    <xf numFmtId="0" fontId="3" fillId="0" borderId="24" xfId="0" applyFont="1" applyBorder="1"/>
    <xf numFmtId="169" fontId="2" fillId="17" borderId="20" xfId="0" applyNumberFormat="1" applyFont="1" applyFill="1" applyBorder="1" applyAlignment="1">
      <alignment horizontal="center" vertical="center" wrapText="1"/>
    </xf>
    <xf numFmtId="169" fontId="2" fillId="17" borderId="5" xfId="0" applyNumberFormat="1" applyFont="1" applyFill="1" applyBorder="1" applyAlignment="1">
      <alignment horizontal="center" vertical="center" wrapText="1"/>
    </xf>
    <xf numFmtId="1" fontId="2" fillId="17" borderId="20" xfId="0" applyNumberFormat="1" applyFont="1" applyFill="1" applyBorder="1" applyAlignment="1">
      <alignment horizontal="center" vertical="center"/>
    </xf>
    <xf numFmtId="1" fontId="2" fillId="17" borderId="5" xfId="0" applyNumberFormat="1" applyFont="1" applyFill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166" fontId="2" fillId="6" borderId="3" xfId="0" applyNumberFormat="1" applyFont="1" applyFill="1" applyBorder="1" applyAlignment="1">
      <alignment horizontal="center" vertical="center"/>
    </xf>
    <xf numFmtId="9" fontId="3" fillId="0" borderId="4" xfId="0" applyNumberFormat="1" applyFont="1" applyBorder="1"/>
    <xf numFmtId="9" fontId="2" fillId="0" borderId="14" xfId="0" applyNumberFormat="1" applyFont="1" applyBorder="1" applyAlignment="1">
      <alignment horizontal="center" vertical="center"/>
    </xf>
    <xf numFmtId="9" fontId="2" fillId="0" borderId="15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9" fontId="2" fillId="2" borderId="3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0" fontId="6" fillId="8" borderId="3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7" fontId="2" fillId="2" borderId="3" xfId="0" applyNumberFormat="1" applyFont="1" applyFill="1" applyBorder="1" applyAlignment="1">
      <alignment horizontal="center" vertical="center"/>
    </xf>
    <xf numFmtId="0" fontId="3" fillId="23" borderId="4" xfId="0" applyFont="1" applyFill="1" applyBorder="1"/>
    <xf numFmtId="170" fontId="2" fillId="0" borderId="3" xfId="0" applyNumberFormat="1" applyFont="1" applyBorder="1" applyAlignment="1">
      <alignment horizontal="center" vertical="center"/>
    </xf>
    <xf numFmtId="170" fontId="6" fillId="0" borderId="3" xfId="0" applyNumberFormat="1" applyFont="1" applyBorder="1" applyAlignment="1">
      <alignment horizontal="center" vertical="center"/>
    </xf>
    <xf numFmtId="167" fontId="2" fillId="12" borderId="3" xfId="0" applyNumberFormat="1" applyFont="1" applyFill="1" applyBorder="1" applyAlignment="1">
      <alignment horizontal="center" vertical="center"/>
    </xf>
    <xf numFmtId="166" fontId="20" fillId="0" borderId="3" xfId="0" applyNumberFormat="1" applyFont="1" applyBorder="1" applyAlignment="1">
      <alignment horizontal="center" vertical="center"/>
    </xf>
    <xf numFmtId="9" fontId="2" fillId="20" borderId="3" xfId="0" applyNumberFormat="1" applyFont="1" applyFill="1" applyBorder="1" applyAlignment="1">
      <alignment horizontal="center" vertical="center"/>
    </xf>
    <xf numFmtId="9" fontId="29" fillId="0" borderId="3" xfId="0" applyNumberFormat="1" applyFont="1" applyBorder="1" applyAlignment="1">
      <alignment horizontal="center" vertical="center"/>
    </xf>
    <xf numFmtId="0" fontId="30" fillId="0" borderId="4" xfId="0" applyFont="1" applyBorder="1"/>
    <xf numFmtId="0" fontId="2" fillId="6" borderId="3" xfId="0" applyFont="1" applyFill="1" applyBorder="1" applyAlignment="1">
      <alignment horizontal="center" vertical="center"/>
    </xf>
    <xf numFmtId="166" fontId="2" fillId="12" borderId="3" xfId="0" applyNumberFormat="1" applyFont="1" applyFill="1" applyBorder="1" applyAlignment="1">
      <alignment horizontal="center" vertical="center"/>
    </xf>
    <xf numFmtId="0" fontId="3" fillId="28" borderId="4" xfId="0" applyFont="1" applyFill="1" applyBorder="1"/>
    <xf numFmtId="0" fontId="2" fillId="7" borderId="3" xfId="0" applyFont="1" applyFill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44" fontId="8" fillId="2" borderId="3" xfId="2" applyFont="1" applyFill="1" applyBorder="1" applyAlignment="1">
      <alignment horizontal="center" vertical="center"/>
    </xf>
    <xf numFmtId="44" fontId="3" fillId="23" borderId="4" xfId="2" applyFont="1" applyFill="1" applyBorder="1"/>
    <xf numFmtId="164" fontId="6" fillId="8" borderId="3" xfId="0" applyNumberFormat="1" applyFont="1" applyFill="1" applyBorder="1" applyAlignment="1">
      <alignment horizontal="center" vertical="center"/>
    </xf>
    <xf numFmtId="164" fontId="2" fillId="28" borderId="3" xfId="0" applyNumberFormat="1" applyFont="1" applyFill="1" applyBorder="1" applyAlignment="1">
      <alignment horizontal="center" vertical="center"/>
    </xf>
    <xf numFmtId="16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46" borderId="3" xfId="0" applyFont="1" applyFill="1" applyBorder="1" applyAlignment="1">
      <alignment horizontal="center" vertical="center"/>
    </xf>
    <xf numFmtId="0" fontId="3" fillId="47" borderId="4" xfId="0" applyFont="1" applyFill="1" applyBorder="1"/>
    <xf numFmtId="0" fontId="2" fillId="48" borderId="3" xfId="0" applyFont="1" applyFill="1" applyBorder="1" applyAlignment="1">
      <alignment horizontal="center" vertical="center"/>
    </xf>
    <xf numFmtId="0" fontId="3" fillId="39" borderId="4" xfId="0" applyFont="1" applyFill="1" applyBorder="1"/>
    <xf numFmtId="166" fontId="2" fillId="26" borderId="3" xfId="0" applyNumberFormat="1" applyFont="1" applyFill="1" applyBorder="1" applyAlignment="1">
      <alignment horizontal="center" vertical="center"/>
    </xf>
    <xf numFmtId="0" fontId="3" fillId="27" borderId="4" xfId="0" applyFont="1" applyFill="1" applyBorder="1"/>
    <xf numFmtId="170" fontId="2" fillId="23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67" fontId="2" fillId="22" borderId="3" xfId="0" applyNumberFormat="1" applyFont="1" applyFill="1" applyBorder="1" applyAlignment="1">
      <alignment horizontal="center" vertical="center"/>
    </xf>
    <xf numFmtId="167" fontId="3" fillId="23" borderId="4" xfId="0" applyNumberFormat="1" applyFont="1" applyFill="1" applyBorder="1" applyAlignment="1">
      <alignment horizontal="center"/>
    </xf>
    <xf numFmtId="166" fontId="2" fillId="22" borderId="3" xfId="0" applyNumberFormat="1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horizontal="center"/>
    </xf>
    <xf numFmtId="166" fontId="2" fillId="7" borderId="3" xfId="0" applyNumberFormat="1" applyFont="1" applyFill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0" fontId="3" fillId="0" borderId="17" xfId="0" applyFont="1" applyBorder="1"/>
    <xf numFmtId="9" fontId="8" fillId="0" borderId="3" xfId="0" applyNumberFormat="1" applyFont="1" applyBorder="1" applyAlignment="1">
      <alignment horizontal="center" vertical="center"/>
    </xf>
    <xf numFmtId="166" fontId="2" fillId="32" borderId="3" xfId="0" applyNumberFormat="1" applyFont="1" applyFill="1" applyBorder="1" applyAlignment="1">
      <alignment horizontal="center" vertical="center"/>
    </xf>
    <xf numFmtId="0" fontId="3" fillId="32" borderId="4" xfId="0" applyFont="1" applyFill="1" applyBorder="1"/>
    <xf numFmtId="165" fontId="2" fillId="2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7" fontId="6" fillId="4" borderId="8" xfId="0" applyNumberFormat="1" applyFont="1" applyFill="1" applyBorder="1" applyAlignment="1">
      <alignment horizontal="center" vertical="center"/>
    </xf>
    <xf numFmtId="0" fontId="3" fillId="0" borderId="9" xfId="0" applyFont="1" applyBorder="1"/>
    <xf numFmtId="10" fontId="2" fillId="23" borderId="3" xfId="0" applyNumberFormat="1" applyFont="1" applyFill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5" fontId="2" fillId="23" borderId="3" xfId="0" applyNumberFormat="1" applyFont="1" applyFill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166" fontId="2" fillId="11" borderId="3" xfId="0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9" fontId="2" fillId="6" borderId="3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" fontId="2" fillId="17" borderId="24" xfId="0" applyNumberFormat="1" applyFont="1" applyFill="1" applyBorder="1" applyAlignment="1">
      <alignment horizontal="center" vertical="center"/>
    </xf>
    <xf numFmtId="1" fontId="2" fillId="17" borderId="23" xfId="0" applyNumberFormat="1" applyFont="1" applyFill="1" applyBorder="1" applyAlignment="1">
      <alignment horizontal="center" vertical="center"/>
    </xf>
    <xf numFmtId="166" fontId="2" fillId="13" borderId="10" xfId="0" applyNumberFormat="1" applyFont="1" applyFill="1" applyBorder="1" applyAlignment="1">
      <alignment horizontal="center" vertical="center" wrapText="1"/>
    </xf>
    <xf numFmtId="166" fontId="2" fillId="13" borderId="24" xfId="0" applyNumberFormat="1" applyFont="1" applyFill="1" applyBorder="1" applyAlignment="1">
      <alignment horizontal="center" vertical="center" wrapText="1"/>
    </xf>
    <xf numFmtId="166" fontId="2" fillId="13" borderId="23" xfId="0" applyNumberFormat="1" applyFont="1" applyFill="1" applyBorder="1" applyAlignment="1">
      <alignment horizontal="center" vertical="center" wrapText="1"/>
    </xf>
    <xf numFmtId="9" fontId="2" fillId="17" borderId="10" xfId="0" applyNumberFormat="1" applyFont="1" applyFill="1" applyBorder="1" applyAlignment="1">
      <alignment horizontal="center" vertical="center"/>
    </xf>
    <xf numFmtId="166" fontId="8" fillId="0" borderId="14" xfId="0" applyNumberFormat="1" applyFont="1" applyBorder="1" applyAlignment="1">
      <alignment horizontal="center" vertical="center"/>
    </xf>
    <xf numFmtId="166" fontId="8" fillId="0" borderId="15" xfId="0" applyNumberFormat="1" applyFont="1" applyBorder="1" applyAlignment="1">
      <alignment horizontal="center" vertical="center"/>
    </xf>
    <xf numFmtId="166" fontId="2" fillId="38" borderId="3" xfId="0" applyNumberFormat="1" applyFont="1" applyFill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166" fontId="2" fillId="2" borderId="14" xfId="0" applyNumberFormat="1" applyFont="1" applyFill="1" applyBorder="1" applyAlignment="1">
      <alignment horizontal="center" vertical="center"/>
    </xf>
    <xf numFmtId="166" fontId="2" fillId="2" borderId="15" xfId="0" applyNumberFormat="1" applyFont="1" applyFill="1" applyBorder="1" applyAlignment="1">
      <alignment horizontal="center" vertical="center"/>
    </xf>
    <xf numFmtId="0" fontId="3" fillId="0" borderId="15" xfId="0" applyFont="1" applyBorder="1"/>
    <xf numFmtId="165" fontId="8" fillId="2" borderId="3" xfId="0" applyNumberFormat="1" applyFont="1" applyFill="1" applyBorder="1" applyAlignment="1">
      <alignment horizontal="center" vertical="center"/>
    </xf>
    <xf numFmtId="166" fontId="2" fillId="7" borderId="14" xfId="0" applyNumberFormat="1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 wrapText="1"/>
    </xf>
    <xf numFmtId="166" fontId="2" fillId="24" borderId="14" xfId="0" applyNumberFormat="1" applyFont="1" applyFill="1" applyBorder="1" applyAlignment="1">
      <alignment horizontal="center" vertical="center"/>
    </xf>
    <xf numFmtId="0" fontId="3" fillId="23" borderId="15" xfId="0" applyFont="1" applyFill="1" applyBorder="1"/>
    <xf numFmtId="166" fontId="2" fillId="25" borderId="14" xfId="0" applyNumberFormat="1" applyFont="1" applyFill="1" applyBorder="1" applyAlignment="1">
      <alignment horizontal="center" vertical="center"/>
    </xf>
    <xf numFmtId="0" fontId="2" fillId="12" borderId="24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3" fillId="0" borderId="26" xfId="0" applyFont="1" applyBorder="1"/>
    <xf numFmtId="0" fontId="3" fillId="0" borderId="27" xfId="0" applyFont="1" applyBorder="1"/>
    <xf numFmtId="0" fontId="2" fillId="0" borderId="9" xfId="0" applyFont="1" applyBorder="1" applyAlignment="1">
      <alignment horizontal="center" vertical="center" wrapText="1"/>
    </xf>
    <xf numFmtId="0" fontId="3" fillId="0" borderId="12" xfId="0" applyFont="1" applyBorder="1"/>
    <xf numFmtId="0" fontId="3" fillId="0" borderId="19" xfId="0" applyFont="1" applyBorder="1"/>
    <xf numFmtId="10" fontId="2" fillId="2" borderId="3" xfId="0" applyNumberFormat="1" applyFont="1" applyFill="1" applyBorder="1" applyAlignment="1">
      <alignment horizontal="center" vertical="center"/>
    </xf>
    <xf numFmtId="10" fontId="3" fillId="0" borderId="4" xfId="0" applyNumberFormat="1" applyFont="1" applyBorder="1"/>
    <xf numFmtId="169" fontId="2" fillId="7" borderId="3" xfId="0" applyNumberFormat="1" applyFont="1" applyFill="1" applyBorder="1" applyAlignment="1">
      <alignment horizontal="center" vertical="center"/>
    </xf>
    <xf numFmtId="167" fontId="2" fillId="6" borderId="3" xfId="0" applyNumberFormat="1" applyFont="1" applyFill="1" applyBorder="1" applyAlignment="1">
      <alignment horizontal="center" vertical="center"/>
    </xf>
    <xf numFmtId="165" fontId="8" fillId="33" borderId="3" xfId="0" applyNumberFormat="1" applyFont="1" applyFill="1" applyBorder="1" applyAlignment="1">
      <alignment horizontal="center" vertical="center"/>
    </xf>
    <xf numFmtId="166" fontId="2" fillId="23" borderId="3" xfId="0" applyNumberFormat="1" applyFont="1" applyFill="1" applyBorder="1" applyAlignment="1">
      <alignment horizontal="center" vertical="center"/>
    </xf>
    <xf numFmtId="0" fontId="6" fillId="30" borderId="5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9" fontId="2" fillId="13" borderId="3" xfId="0" applyNumberFormat="1" applyFont="1" applyFill="1" applyBorder="1" applyAlignment="1">
      <alignment horizontal="center" vertical="center"/>
    </xf>
    <xf numFmtId="166" fontId="2" fillId="13" borderId="3" xfId="0" applyNumberFormat="1" applyFont="1" applyFill="1" applyBorder="1" applyAlignment="1">
      <alignment horizontal="center" vertical="center"/>
    </xf>
    <xf numFmtId="167" fontId="2" fillId="13" borderId="3" xfId="0" applyNumberFormat="1" applyFont="1" applyFill="1" applyBorder="1" applyAlignment="1">
      <alignment horizontal="center" vertical="center"/>
    </xf>
    <xf numFmtId="0" fontId="2" fillId="25" borderId="10" xfId="0" applyFont="1" applyFill="1" applyBorder="1" applyAlignment="1">
      <alignment horizontal="center" vertical="center" wrapText="1"/>
    </xf>
    <xf numFmtId="0" fontId="3" fillId="23" borderId="7" xfId="0" applyFont="1" applyFill="1" applyBorder="1"/>
    <xf numFmtId="0" fontId="3" fillId="23" borderId="11" xfId="0" applyFont="1" applyFill="1" applyBorder="1"/>
    <xf numFmtId="9" fontId="13" fillId="0" borderId="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 wrapText="1"/>
    </xf>
    <xf numFmtId="166" fontId="2" fillId="19" borderId="3" xfId="0" applyNumberFormat="1" applyFont="1" applyFill="1" applyBorder="1" applyAlignment="1">
      <alignment horizontal="center" vertical="center"/>
    </xf>
    <xf numFmtId="0" fontId="2" fillId="28" borderId="10" xfId="0" applyFont="1" applyFill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/>
    </xf>
    <xf numFmtId="170" fontId="2" fillId="12" borderId="3" xfId="0" applyNumberFormat="1" applyFont="1" applyFill="1" applyBorder="1" applyAlignment="1">
      <alignment horizontal="center" vertical="center"/>
    </xf>
    <xf numFmtId="170" fontId="2" fillId="2" borderId="3" xfId="0" applyNumberFormat="1" applyFont="1" applyFill="1" applyBorder="1" applyAlignment="1">
      <alignment horizontal="center" vertical="center"/>
    </xf>
    <xf numFmtId="9" fontId="21" fillId="0" borderId="3" xfId="0" applyNumberFormat="1" applyFont="1" applyBorder="1" applyAlignment="1">
      <alignment horizontal="center" vertical="center"/>
    </xf>
    <xf numFmtId="0" fontId="2" fillId="25" borderId="25" xfId="0" applyFont="1" applyFill="1" applyBorder="1" applyAlignment="1">
      <alignment horizontal="center" vertical="center" wrapText="1"/>
    </xf>
    <xf numFmtId="0" fontId="3" fillId="23" borderId="26" xfId="0" applyFont="1" applyFill="1" applyBorder="1"/>
    <xf numFmtId="0" fontId="3" fillId="23" borderId="27" xfId="0" applyFont="1" applyFill="1" applyBorder="1"/>
    <xf numFmtId="0" fontId="18" fillId="0" borderId="10" xfId="0" applyFont="1" applyBorder="1" applyAlignment="1">
      <alignment horizontal="center" vertical="center" wrapText="1"/>
    </xf>
    <xf numFmtId="9" fontId="2" fillId="0" borderId="10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0" xfId="0"/>
    <xf numFmtId="0" fontId="2" fillId="0" borderId="3" xfId="0" applyFont="1" applyBorder="1" applyAlignment="1">
      <alignment horizontal="center"/>
    </xf>
    <xf numFmtId="0" fontId="3" fillId="0" borderId="21" xfId="0" applyFont="1" applyBorder="1"/>
    <xf numFmtId="0" fontId="2" fillId="0" borderId="21" xfId="0" applyFont="1" applyBorder="1" applyAlignment="1">
      <alignment horizontal="center"/>
    </xf>
    <xf numFmtId="1" fontId="2" fillId="2" borderId="3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171" fontId="2" fillId="2" borderId="3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1" fontId="2" fillId="13" borderId="3" xfId="0" applyNumberFormat="1" applyFont="1" applyFill="1" applyBorder="1" applyAlignment="1">
      <alignment horizontal="center" vertical="center"/>
    </xf>
    <xf numFmtId="170" fontId="2" fillId="13" borderId="3" xfId="0" applyNumberFormat="1" applyFont="1" applyFill="1" applyBorder="1" applyAlignment="1">
      <alignment horizontal="center" vertical="center"/>
    </xf>
    <xf numFmtId="166" fontId="2" fillId="10" borderId="3" xfId="0" applyNumberFormat="1" applyFont="1" applyFill="1" applyBorder="1" applyAlignment="1">
      <alignment horizontal="center" vertical="center"/>
    </xf>
    <xf numFmtId="169" fontId="2" fillId="13" borderId="3" xfId="0" applyNumberFormat="1" applyFont="1" applyFill="1" applyBorder="1" applyAlignment="1">
      <alignment horizontal="center" vertical="center"/>
    </xf>
    <xf numFmtId="9" fontId="2" fillId="13" borderId="3" xfId="0" quotePrefix="1" applyNumberFormat="1" applyFont="1" applyFill="1" applyBorder="1" applyAlignment="1">
      <alignment horizontal="center" vertical="center"/>
    </xf>
    <xf numFmtId="167" fontId="2" fillId="5" borderId="3" xfId="0" applyNumberFormat="1" applyFont="1" applyFill="1" applyBorder="1" applyAlignment="1">
      <alignment horizontal="center" vertical="center"/>
    </xf>
    <xf numFmtId="167" fontId="2" fillId="7" borderId="14" xfId="0" applyNumberFormat="1" applyFont="1" applyFill="1" applyBorder="1" applyAlignment="1">
      <alignment horizontal="center" vertical="center"/>
    </xf>
    <xf numFmtId="167" fontId="2" fillId="7" borderId="15" xfId="0" applyNumberFormat="1" applyFont="1" applyFill="1" applyBorder="1" applyAlignment="1">
      <alignment horizontal="center" vertical="center"/>
    </xf>
    <xf numFmtId="167" fontId="2" fillId="14" borderId="3" xfId="0" applyNumberFormat="1" applyFont="1" applyFill="1" applyBorder="1" applyAlignment="1">
      <alignment horizontal="center" vertical="center"/>
    </xf>
    <xf numFmtId="167" fontId="2" fillId="14" borderId="18" xfId="0" applyNumberFormat="1" applyFont="1" applyFill="1" applyBorder="1" applyAlignment="1">
      <alignment horizontal="center" vertical="center"/>
    </xf>
    <xf numFmtId="9" fontId="2" fillId="13" borderId="10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/>
    </xf>
    <xf numFmtId="164" fontId="2" fillId="9" borderId="3" xfId="0" applyNumberFormat="1" applyFont="1" applyFill="1" applyBorder="1" applyAlignment="1">
      <alignment horizontal="center"/>
    </xf>
    <xf numFmtId="0" fontId="3" fillId="23" borderId="7" xfId="0" applyFont="1" applyFill="1" applyBorder="1" applyAlignment="1">
      <alignment horizontal="center"/>
    </xf>
    <xf numFmtId="0" fontId="3" fillId="23" borderId="11" xfId="0" applyFont="1" applyFill="1" applyBorder="1" applyAlignment="1">
      <alignment horizontal="center"/>
    </xf>
    <xf numFmtId="0" fontId="32" fillId="0" borderId="7" xfId="0" applyFont="1" applyBorder="1"/>
    <xf numFmtId="0" fontId="32" fillId="0" borderId="11" xfId="0" applyFont="1" applyBorder="1"/>
    <xf numFmtId="167" fontId="2" fillId="2" borderId="14" xfId="0" applyNumberFormat="1" applyFont="1" applyFill="1" applyBorder="1" applyAlignment="1">
      <alignment horizontal="center" vertical="center"/>
    </xf>
    <xf numFmtId="167" fontId="3" fillId="0" borderId="15" xfId="0" applyNumberFormat="1" applyFont="1" applyBorder="1" applyAlignment="1">
      <alignment horizontal="center"/>
    </xf>
    <xf numFmtId="10" fontId="2" fillId="22" borderId="14" xfId="0" applyNumberFormat="1" applyFont="1" applyFill="1" applyBorder="1" applyAlignment="1">
      <alignment horizontal="center" vertical="center"/>
    </xf>
    <xf numFmtId="0" fontId="3" fillId="23" borderId="15" xfId="0" applyFont="1" applyFill="1" applyBorder="1" applyAlignment="1">
      <alignment horizontal="center"/>
    </xf>
    <xf numFmtId="167" fontId="2" fillId="22" borderId="14" xfId="0" applyNumberFormat="1" applyFont="1" applyFill="1" applyBorder="1" applyAlignment="1">
      <alignment horizontal="center" vertical="center"/>
    </xf>
    <xf numFmtId="167" fontId="3" fillId="23" borderId="15" xfId="0" applyNumberFormat="1" applyFont="1" applyFill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6" fontId="2" fillId="22" borderId="14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164" fontId="2" fillId="8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64" fontId="8" fillId="2" borderId="3" xfId="0" applyNumberFormat="1" applyFont="1" applyFill="1" applyBorder="1" applyAlignment="1">
      <alignment horizontal="center" vertical="center"/>
    </xf>
    <xf numFmtId="0" fontId="2" fillId="44" borderId="3" xfId="0" applyFont="1" applyFill="1" applyBorder="1" applyAlignment="1">
      <alignment horizontal="center" vertical="center"/>
    </xf>
    <xf numFmtId="0" fontId="3" fillId="45" borderId="4" xfId="0" applyFont="1" applyFill="1" applyBorder="1"/>
    <xf numFmtId="9" fontId="2" fillId="0" borderId="3" xfId="1" applyFont="1" applyBorder="1" applyAlignment="1">
      <alignment horizontal="center" vertical="center"/>
    </xf>
    <xf numFmtId="9" fontId="3" fillId="0" borderId="4" xfId="1" applyFont="1" applyBorder="1"/>
    <xf numFmtId="9" fontId="2" fillId="17" borderId="20" xfId="0" applyNumberFormat="1" applyFont="1" applyFill="1" applyBorder="1" applyAlignment="1">
      <alignment horizontal="center" vertical="center"/>
    </xf>
    <xf numFmtId="9" fontId="2" fillId="17" borderId="5" xfId="0" applyNumberFormat="1" applyFont="1" applyFill="1" applyBorder="1" applyAlignment="1">
      <alignment horizontal="center" vertical="center"/>
    </xf>
    <xf numFmtId="9" fontId="2" fillId="55" borderId="10" xfId="0" applyNumberFormat="1" applyFont="1" applyFill="1" applyBorder="1" applyAlignment="1">
      <alignment horizontal="center" vertical="center" wrapText="1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amara Cristina Silva Santos" id="{42E88BCB-41A8-480C-AB67-73AEC607E76C}" userId="8713f118f2564e16" providerId="Windows Live"/>
  <person displayName="Alex Cordeiro" id="{76EC4E55-91A7-4240-B667-E2A5206DA6AB}" userId="S-1-5-21-494841159-1245613894-2504561625-562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O64" dT="2023-12-06T14:20:32.61" personId="{76EC4E55-91A7-4240-B667-E2A5206DA6AB}" id="{E57DA039-6816-4AA5-971B-210FA24B388C}">
    <text>MÉDIA FOPA</text>
  </threadedComment>
  <threadedComment ref="ER80" dT="2024-01-22T11:02:53.63" personId="{42E88BCB-41A8-480C-AB67-73AEC607E76C}" id="{42B0CCF3-947E-43E2-9A9C-4E728F24F8AE}">
    <text>Pago em atraso.</text>
  </threadedComment>
  <threadedComment ref="CY88" dT="2023-02-15T19:39:08.04" personId="{42E88BCB-41A8-480C-AB67-73AEC607E76C}" id="{31183347-57E9-415B-8105-D63477CB8797}">
    <text>Houve um pagamento excedente de redes sociais.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tf.com/" TargetMode="External"/><Relationship Id="rId1" Type="http://schemas.openxmlformats.org/officeDocument/2006/relationships/hyperlink" Target="http://t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GG409"/>
  <sheetViews>
    <sheetView showGridLines="0" tabSelected="1" zoomScale="85" zoomScaleNormal="85" workbookViewId="0">
      <pane xSplit="8" ySplit="8" topLeftCell="FJ173" activePane="bottomRight" state="frozen"/>
      <selection pane="topRight" activeCell="I1" sqref="I1"/>
      <selection pane="bottomLeft" activeCell="A9" sqref="A9"/>
      <selection pane="bottomRight" activeCell="FP90" sqref="FP90"/>
    </sheetView>
  </sheetViews>
  <sheetFormatPr defaultColWidth="14.44140625" defaultRowHeight="15" customHeight="1" outlineLevelRow="3" outlineLevelCol="2" x14ac:dyDescent="0.3"/>
  <cols>
    <col min="1" max="1" width="0.6640625" customWidth="1"/>
    <col min="2" max="2" width="19.6640625" customWidth="1"/>
    <col min="3" max="3" width="16.6640625" hidden="1" customWidth="1" outlineLevel="1"/>
    <col min="4" max="4" width="13" hidden="1" customWidth="1" outlineLevel="1"/>
    <col min="5" max="5" width="84.109375" hidden="1" customWidth="1" outlineLevel="1"/>
    <col min="6" max="6" width="3.33203125" hidden="1" customWidth="1" outlineLevel="1"/>
    <col min="7" max="7" width="46.88671875" bestFit="1" customWidth="1" collapsed="1"/>
    <col min="8" max="8" width="0.44140625" customWidth="1"/>
    <col min="9" max="9" width="16.44140625" hidden="1" customWidth="1" outlineLevel="1"/>
    <col min="10" max="10" width="10.109375" hidden="1" customWidth="1" outlineLevel="1"/>
    <col min="11" max="11" width="15.33203125" hidden="1" customWidth="1" outlineLevel="2"/>
    <col min="12" max="12" width="7.109375" hidden="1" customWidth="1" outlineLevel="2"/>
    <col min="13" max="13" width="14.88671875" hidden="1" customWidth="1" outlineLevel="2"/>
    <col min="14" max="14" width="7.109375" hidden="1" customWidth="1" outlineLevel="2"/>
    <col min="15" max="15" width="14.33203125" hidden="1" customWidth="1" outlineLevel="2"/>
    <col min="16" max="16" width="6.6640625" hidden="1" customWidth="1" outlineLevel="2"/>
    <col min="17" max="17" width="14.33203125" hidden="1" customWidth="1" outlineLevel="2"/>
    <col min="18" max="18" width="7.109375" hidden="1" customWidth="1" outlineLevel="2"/>
    <col min="19" max="19" width="14.33203125" hidden="1" customWidth="1" outlineLevel="2"/>
    <col min="20" max="20" width="9.5546875" hidden="1" customWidth="1" outlineLevel="2"/>
    <col min="21" max="21" width="14.33203125" hidden="1" customWidth="1" outlineLevel="2"/>
    <col min="22" max="22" width="9.5546875" hidden="1" customWidth="1" outlineLevel="2"/>
    <col min="23" max="23" width="14.88671875" hidden="1" customWidth="1" outlineLevel="1" collapsed="1"/>
    <col min="24" max="24" width="9.5546875" hidden="1" customWidth="1" outlineLevel="1"/>
    <col min="25" max="25" width="14.33203125" hidden="1" customWidth="1" outlineLevel="1"/>
    <col min="26" max="26" width="9.5546875" hidden="1" customWidth="1" outlineLevel="1"/>
    <col min="27" max="27" width="15.33203125" hidden="1" customWidth="1" outlineLevel="1"/>
    <col min="28" max="28" width="9.109375" hidden="1" customWidth="1" outlineLevel="1"/>
    <col min="29" max="29" width="14.5546875" hidden="1" customWidth="1" outlineLevel="1"/>
    <col min="30" max="30" width="8.88671875" hidden="1" customWidth="1" outlineLevel="1"/>
    <col min="31" max="31" width="14.33203125" hidden="1" customWidth="1" outlineLevel="1"/>
    <col min="32" max="32" width="8.5546875" hidden="1" customWidth="1" outlineLevel="1"/>
    <col min="33" max="33" width="14.33203125" hidden="1" customWidth="1" outlineLevel="1"/>
    <col min="34" max="34" width="8.5546875" hidden="1" customWidth="1" outlineLevel="1"/>
    <col min="35" max="35" width="13.109375" hidden="1" customWidth="1" outlineLevel="1"/>
    <col min="36" max="36" width="7.88671875" hidden="1" customWidth="1" outlineLevel="1"/>
    <col min="37" max="37" width="13.109375" hidden="1" customWidth="1" outlineLevel="1"/>
    <col min="38" max="38" width="7.88671875" hidden="1" customWidth="1" outlineLevel="1"/>
    <col min="39" max="39" width="13.109375" hidden="1" customWidth="1" outlineLevel="1"/>
    <col min="40" max="40" width="7.88671875" hidden="1" customWidth="1" outlineLevel="1"/>
    <col min="41" max="41" width="13.109375" hidden="1" customWidth="1" outlineLevel="1"/>
    <col min="42" max="52" width="7.88671875" hidden="1" customWidth="1" outlineLevel="1"/>
    <col min="53" max="53" width="14.5546875" hidden="1" customWidth="1" outlineLevel="1"/>
    <col min="54" max="54" width="11.109375" hidden="1" customWidth="1" outlineLevel="1"/>
    <col min="55" max="55" width="14.5546875" hidden="1" customWidth="1" outlineLevel="1"/>
    <col min="56" max="56" width="7.88671875" hidden="1" customWidth="1" outlineLevel="1"/>
    <col min="57" max="57" width="14.5546875" hidden="1" customWidth="1" outlineLevel="1"/>
    <col min="58" max="58" width="11.109375" hidden="1" customWidth="1" outlineLevel="1"/>
    <col min="59" max="59" width="14.5546875" hidden="1" customWidth="1" collapsed="1"/>
    <col min="60" max="60" width="11.109375" hidden="1" customWidth="1"/>
    <col min="61" max="61" width="14.5546875" hidden="1" customWidth="1" outlineLevel="1"/>
    <col min="62" max="62" width="12" hidden="1" customWidth="1" outlineLevel="1"/>
    <col min="63" max="63" width="14.5546875" hidden="1" customWidth="1" outlineLevel="1"/>
    <col min="64" max="64" width="12" hidden="1" customWidth="1" outlineLevel="1"/>
    <col min="65" max="65" width="14.5546875" hidden="1" customWidth="1" outlineLevel="1"/>
    <col min="66" max="66" width="12" hidden="1" customWidth="1" outlineLevel="1"/>
    <col min="67" max="67" width="14.5546875" hidden="1" customWidth="1" outlineLevel="1"/>
    <col min="68" max="68" width="12" hidden="1" customWidth="1" outlineLevel="1"/>
    <col min="69" max="69" width="15.88671875" hidden="1" customWidth="1" outlineLevel="1"/>
    <col min="70" max="70" width="12" hidden="1" customWidth="1" outlineLevel="1"/>
    <col min="71" max="71" width="14.5546875" hidden="1" customWidth="1" outlineLevel="1"/>
    <col min="72" max="72" width="12" hidden="1" customWidth="1" outlineLevel="1"/>
    <col min="73" max="73" width="15.88671875" hidden="1" customWidth="1" outlineLevel="1"/>
    <col min="74" max="74" width="12" hidden="1" customWidth="1" outlineLevel="1"/>
    <col min="75" max="75" width="17.44140625" hidden="1" customWidth="1" outlineLevel="1"/>
    <col min="76" max="76" width="12" hidden="1" customWidth="1" outlineLevel="1"/>
    <col min="77" max="77" width="17.44140625" hidden="1" customWidth="1" outlineLevel="1"/>
    <col min="78" max="78" width="12" hidden="1" customWidth="1" outlineLevel="1"/>
    <col min="79" max="79" width="17.44140625" hidden="1" customWidth="1" outlineLevel="1"/>
    <col min="80" max="80" width="12" hidden="1" customWidth="1" outlineLevel="1"/>
    <col min="81" max="81" width="17.44140625" hidden="1" customWidth="1" outlineLevel="1"/>
    <col min="82" max="82" width="17.88671875" hidden="1" customWidth="1" outlineLevel="1"/>
    <col min="83" max="83" width="17.44140625" hidden="1" customWidth="1" outlineLevel="1" collapsed="1"/>
    <col min="84" max="84" width="12" hidden="1" customWidth="1" outlineLevel="1"/>
    <col min="85" max="85" width="17.44140625" hidden="1" customWidth="1" outlineLevel="1"/>
    <col min="86" max="86" width="12" hidden="1" customWidth="1" outlineLevel="1"/>
    <col min="87" max="87" width="17.44140625" hidden="1" customWidth="1" outlineLevel="1"/>
    <col min="88" max="88" width="12" hidden="1" customWidth="1" outlineLevel="1"/>
    <col min="89" max="89" width="17.44140625" hidden="1" customWidth="1" outlineLevel="1"/>
    <col min="90" max="90" width="12" hidden="1" customWidth="1" outlineLevel="1"/>
    <col min="91" max="91" width="17.44140625" hidden="1" customWidth="1" outlineLevel="1"/>
    <col min="92" max="92" width="12" hidden="1" customWidth="1" outlineLevel="1"/>
    <col min="93" max="93" width="17.44140625" hidden="1" customWidth="1" outlineLevel="1"/>
    <col min="94" max="94" width="12" hidden="1" customWidth="1" outlineLevel="1"/>
    <col min="95" max="95" width="17.44140625" hidden="1" customWidth="1" outlineLevel="1"/>
    <col min="96" max="96" width="12" hidden="1" customWidth="1" outlineLevel="1"/>
    <col min="97" max="97" width="17.44140625" hidden="1" customWidth="1" outlineLevel="1"/>
    <col min="98" max="98" width="12" hidden="1" customWidth="1" outlineLevel="1"/>
    <col min="99" max="99" width="17.44140625" hidden="1" customWidth="1" outlineLevel="1"/>
    <col min="100" max="100" width="12" hidden="1" customWidth="1" outlineLevel="1"/>
    <col min="101" max="101" width="17.44140625" hidden="1" customWidth="1" outlineLevel="1"/>
    <col min="102" max="102" width="12" hidden="1" customWidth="1" outlineLevel="1"/>
    <col min="103" max="103" width="17.44140625" hidden="1" customWidth="1" outlineLevel="1"/>
    <col min="104" max="104" width="12" hidden="1" customWidth="1" outlineLevel="1"/>
    <col min="105" max="105" width="17.44140625" hidden="1" customWidth="1" outlineLevel="1"/>
    <col min="106" max="106" width="12" hidden="1" customWidth="1" outlineLevel="1"/>
    <col min="107" max="107" width="16.5546875" hidden="1" customWidth="1" outlineLevel="1" collapsed="1"/>
    <col min="108" max="108" width="11.33203125" hidden="1" customWidth="1" outlineLevel="1"/>
    <col min="109" max="109" width="16.5546875" hidden="1" customWidth="1" outlineLevel="1"/>
    <col min="110" max="110" width="11" hidden="1" customWidth="1" outlineLevel="1"/>
    <col min="111" max="111" width="16.5546875" hidden="1" customWidth="1" outlineLevel="1"/>
    <col min="112" max="112" width="11" hidden="1" customWidth="1" outlineLevel="1"/>
    <col min="113" max="113" width="16.5546875" hidden="1" customWidth="1" outlineLevel="1"/>
    <col min="114" max="114" width="11.33203125" hidden="1" customWidth="1" outlineLevel="1"/>
    <col min="115" max="115" width="16.5546875" hidden="1" customWidth="1" outlineLevel="1"/>
    <col min="116" max="116" width="11.33203125" hidden="1" customWidth="1" outlineLevel="1"/>
    <col min="117" max="117" width="16.5546875" hidden="1" customWidth="1" outlineLevel="1"/>
    <col min="118" max="118" width="11.33203125" hidden="1" customWidth="1" outlineLevel="1"/>
    <col min="119" max="119" width="16.5546875" hidden="1" customWidth="1" outlineLevel="1"/>
    <col min="120" max="120" width="11.33203125" hidden="1" customWidth="1" outlineLevel="1"/>
    <col min="121" max="121" width="16.5546875" hidden="1" customWidth="1" outlineLevel="1"/>
    <col min="122" max="122" width="11.33203125" hidden="1" customWidth="1" outlineLevel="1"/>
    <col min="123" max="123" width="16.5546875" hidden="1" customWidth="1" outlineLevel="1"/>
    <col min="124" max="124" width="11.33203125" hidden="1" customWidth="1" outlineLevel="1"/>
    <col min="125" max="125" width="21" hidden="1" customWidth="1" outlineLevel="1"/>
    <col min="126" max="126" width="17.88671875" hidden="1" customWidth="1" outlineLevel="1"/>
    <col min="127" max="143" width="21" hidden="1" customWidth="1" outlineLevel="1"/>
    <col min="144" max="144" width="16.5546875" hidden="1" customWidth="1" outlineLevel="1"/>
    <col min="145" max="145" width="11.33203125" hidden="1" customWidth="1" outlineLevel="1"/>
    <col min="146" max="146" width="16.5546875" hidden="1" customWidth="1" outlineLevel="1"/>
    <col min="147" max="147" width="11.33203125" hidden="1" customWidth="1" outlineLevel="1"/>
    <col min="148" max="148" width="16.5546875" hidden="1" customWidth="1" outlineLevel="1"/>
    <col min="149" max="149" width="11.33203125" hidden="1" customWidth="1" outlineLevel="1"/>
    <col min="150" max="150" width="16.5546875" customWidth="1" collapsed="1"/>
    <col min="151" max="151" width="11" bestFit="1" customWidth="1"/>
    <col min="152" max="152" width="16.5546875" customWidth="1"/>
    <col min="153" max="153" width="11" bestFit="1" customWidth="1"/>
    <col min="154" max="154" width="16.5546875" customWidth="1"/>
    <col min="155" max="155" width="11" bestFit="1" customWidth="1"/>
    <col min="156" max="156" width="16.5546875" customWidth="1"/>
    <col min="157" max="157" width="11" bestFit="1" customWidth="1"/>
    <col min="158" max="158" width="16.5546875" customWidth="1"/>
    <col min="159" max="159" width="11" bestFit="1" customWidth="1"/>
    <col min="160" max="160" width="16.5546875" customWidth="1"/>
    <col min="161" max="161" width="11" bestFit="1" customWidth="1"/>
    <col min="162" max="162" width="16.5546875" customWidth="1"/>
    <col min="163" max="163" width="11" bestFit="1" customWidth="1"/>
    <col min="164" max="164" width="16.5546875" customWidth="1"/>
    <col min="165" max="165" width="11" bestFit="1" customWidth="1"/>
    <col min="166" max="166" width="16.5546875" customWidth="1"/>
    <col min="167" max="167" width="11.33203125" bestFit="1" customWidth="1"/>
    <col min="168" max="168" width="16.5546875" customWidth="1"/>
    <col min="169" max="169" width="11" bestFit="1" customWidth="1"/>
    <col min="170" max="170" width="16.5546875" customWidth="1"/>
    <col min="171" max="171" width="11" bestFit="1" customWidth="1"/>
    <col min="172" max="172" width="16.5546875" customWidth="1"/>
    <col min="173" max="173" width="11" bestFit="1" customWidth="1"/>
    <col min="174" max="175" width="21" hidden="1" customWidth="1"/>
    <col min="176" max="176" width="22.6640625" hidden="1" customWidth="1"/>
    <col min="177" max="178" width="22.44140625" hidden="1" customWidth="1"/>
    <col min="179" max="179" width="21.88671875" hidden="1" customWidth="1"/>
    <col min="180" max="180" width="19.21875" hidden="1" customWidth="1"/>
    <col min="181" max="181" width="17.88671875" hidden="1" customWidth="1"/>
    <col min="182" max="182" width="18.21875" hidden="1" customWidth="1"/>
    <col min="183" max="183" width="18.88671875" hidden="1" customWidth="1"/>
    <col min="184" max="184" width="18.33203125" hidden="1" customWidth="1"/>
    <col min="185" max="185" width="19.6640625" hidden="1" customWidth="1"/>
    <col min="186" max="186" width="22.109375" hidden="1" customWidth="1"/>
    <col min="187" max="187" width="20.88671875" hidden="1" customWidth="1"/>
    <col min="188" max="189" width="22.44140625" bestFit="1" customWidth="1"/>
  </cols>
  <sheetData>
    <row r="1" spans="1:189" ht="12.75" customHeight="1" x14ac:dyDescent="0.3">
      <c r="A1" s="1"/>
      <c r="B1" s="2"/>
      <c r="C1" s="2"/>
      <c r="D1" s="2"/>
      <c r="E1" s="2"/>
      <c r="F1" s="2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 t="s">
        <v>0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3"/>
      <c r="DV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</row>
    <row r="2" spans="1:189" ht="12.75" customHeight="1" outlineLevel="1" x14ac:dyDescent="0.3">
      <c r="A2" s="1"/>
      <c r="B2" s="425" t="s">
        <v>388</v>
      </c>
      <c r="C2" s="2"/>
      <c r="D2" s="2"/>
      <c r="E2" s="2"/>
      <c r="F2" s="2"/>
      <c r="G2" s="5" t="s">
        <v>1</v>
      </c>
      <c r="H2" s="6"/>
      <c r="I2" s="338">
        <f t="shared" ref="I2:I5" si="0">SUM(K2:AH2)</f>
        <v>263669092.52000001</v>
      </c>
      <c r="J2" s="281"/>
      <c r="K2" s="338">
        <v>18802001.770000003</v>
      </c>
      <c r="L2" s="281"/>
      <c r="M2" s="338">
        <v>15710086.75</v>
      </c>
      <c r="N2" s="281"/>
      <c r="O2" s="338">
        <v>18054962</v>
      </c>
      <c r="P2" s="281"/>
      <c r="Q2" s="338">
        <v>18830202</v>
      </c>
      <c r="R2" s="281"/>
      <c r="S2" s="338">
        <v>19743638</v>
      </c>
      <c r="T2" s="281"/>
      <c r="U2" s="338">
        <v>23957082</v>
      </c>
      <c r="V2" s="281"/>
      <c r="W2" s="338">
        <v>23150856</v>
      </c>
      <c r="X2" s="281"/>
      <c r="Y2" s="338">
        <v>25028848</v>
      </c>
      <c r="Z2" s="281"/>
      <c r="AA2" s="338">
        <v>26826685</v>
      </c>
      <c r="AB2" s="281"/>
      <c r="AC2" s="338">
        <v>24965737</v>
      </c>
      <c r="AD2" s="281"/>
      <c r="AE2" s="338">
        <v>28966648</v>
      </c>
      <c r="AF2" s="281"/>
      <c r="AG2" s="338">
        <v>19632346</v>
      </c>
      <c r="AH2" s="281"/>
      <c r="AI2" s="456">
        <v>20015544</v>
      </c>
      <c r="AJ2" s="281"/>
      <c r="AK2" s="456">
        <v>19405440</v>
      </c>
      <c r="AL2" s="281"/>
      <c r="AM2" s="456">
        <v>17118009</v>
      </c>
      <c r="AN2" s="281"/>
      <c r="AO2" s="456">
        <v>18092639</v>
      </c>
      <c r="AP2" s="281"/>
      <c r="AQ2" s="456">
        <v>18244907</v>
      </c>
      <c r="AR2" s="281"/>
      <c r="AS2" s="456">
        <v>16315736</v>
      </c>
      <c r="AT2" s="281"/>
      <c r="AU2" s="456">
        <v>20056243</v>
      </c>
      <c r="AV2" s="281"/>
      <c r="AW2" s="456">
        <v>21544032</v>
      </c>
      <c r="AX2" s="281"/>
      <c r="AY2" s="456">
        <v>22660531</v>
      </c>
      <c r="AZ2" s="281"/>
      <c r="BA2" s="456">
        <v>23253171</v>
      </c>
      <c r="BB2" s="281"/>
      <c r="BC2" s="456">
        <v>31427578</v>
      </c>
      <c r="BD2" s="281"/>
      <c r="BE2" s="456">
        <v>26480189</v>
      </c>
      <c r="BF2" s="281"/>
      <c r="BG2" s="456">
        <v>20368247</v>
      </c>
      <c r="BH2" s="281"/>
      <c r="BI2" s="456">
        <v>21100583</v>
      </c>
      <c r="BJ2" s="281"/>
      <c r="BK2" s="456">
        <v>23732629</v>
      </c>
      <c r="BL2" s="281"/>
      <c r="BM2" s="456">
        <v>22372928</v>
      </c>
      <c r="BN2" s="281"/>
      <c r="BO2" s="456">
        <v>23082549</v>
      </c>
      <c r="BP2" s="281"/>
      <c r="BQ2" s="377">
        <v>21623082</v>
      </c>
      <c r="BR2" s="281"/>
      <c r="BS2" s="377">
        <v>22869795</v>
      </c>
      <c r="BT2" s="281"/>
      <c r="BU2" s="377">
        <v>25884982</v>
      </c>
      <c r="BV2" s="281"/>
      <c r="BW2" s="377">
        <v>24267067</v>
      </c>
      <c r="BX2" s="281"/>
      <c r="BY2" s="377">
        <v>23540838</v>
      </c>
      <c r="BZ2" s="281"/>
      <c r="CA2" s="377">
        <v>27673973</v>
      </c>
      <c r="CB2" s="281"/>
      <c r="CC2" s="377">
        <v>30508290</v>
      </c>
      <c r="CD2" s="281"/>
      <c r="CE2" s="377">
        <v>26710896</v>
      </c>
      <c r="CF2" s="281"/>
      <c r="CG2" s="377">
        <v>28170874</v>
      </c>
      <c r="CH2" s="281"/>
      <c r="CI2" s="377">
        <v>34500228</v>
      </c>
      <c r="CJ2" s="281"/>
      <c r="CK2" s="377">
        <v>30974503</v>
      </c>
      <c r="CL2" s="281"/>
      <c r="CM2" s="377">
        <v>30656067</v>
      </c>
      <c r="CN2" s="281"/>
      <c r="CO2" s="377">
        <v>25881044</v>
      </c>
      <c r="CP2" s="281"/>
      <c r="CQ2" s="377">
        <v>24453913</v>
      </c>
      <c r="CR2" s="281"/>
      <c r="CS2" s="377">
        <v>32920654</v>
      </c>
      <c r="CT2" s="281"/>
      <c r="CU2" s="377">
        <v>31235601</v>
      </c>
      <c r="CV2" s="281"/>
      <c r="CW2" s="377">
        <v>30681801</v>
      </c>
      <c r="CX2" s="281"/>
      <c r="CY2" s="377">
        <v>37068868</v>
      </c>
      <c r="CZ2" s="281"/>
      <c r="DA2" s="377">
        <v>34996549</v>
      </c>
      <c r="DB2" s="281"/>
      <c r="DC2" s="377">
        <v>30952975</v>
      </c>
      <c r="DD2" s="281"/>
      <c r="DE2" s="377">
        <v>27007804</v>
      </c>
      <c r="DF2" s="281"/>
      <c r="DG2" s="377">
        <v>34545187</v>
      </c>
      <c r="DH2" s="281"/>
      <c r="DI2" s="377">
        <v>31721011</v>
      </c>
      <c r="DJ2" s="281"/>
      <c r="DK2" s="377">
        <v>35126078</v>
      </c>
      <c r="DL2" s="281"/>
      <c r="DM2" s="377">
        <v>33822762</v>
      </c>
      <c r="DN2" s="281"/>
      <c r="DO2" s="377">
        <v>34703336</v>
      </c>
      <c r="DP2" s="281"/>
      <c r="DQ2" s="377">
        <v>35378438</v>
      </c>
      <c r="DR2" s="281"/>
      <c r="DS2" s="377">
        <v>30336334</v>
      </c>
      <c r="DT2" s="281"/>
      <c r="DU2" s="3"/>
      <c r="DV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77">
        <v>32551109</v>
      </c>
      <c r="EO2" s="281"/>
      <c r="EP2" s="377">
        <v>39076348.270000003</v>
      </c>
      <c r="EQ2" s="281"/>
      <c r="ER2" s="377">
        <v>34747301</v>
      </c>
      <c r="ES2" s="281"/>
      <c r="ET2" s="377">
        <v>20800000</v>
      </c>
      <c r="EU2" s="281"/>
      <c r="EV2" s="377">
        <v>26900000</v>
      </c>
      <c r="EW2" s="281"/>
      <c r="EX2" s="377">
        <v>40200000</v>
      </c>
      <c r="EY2" s="281"/>
      <c r="EZ2" s="377">
        <v>38005833</v>
      </c>
      <c r="FA2" s="281"/>
      <c r="FB2" s="377">
        <v>38139436</v>
      </c>
      <c r="FC2" s="281"/>
      <c r="FD2" s="377">
        <v>38520080</v>
      </c>
      <c r="FE2" s="281"/>
      <c r="FF2" s="377">
        <v>35622636</v>
      </c>
      <c r="FG2" s="281"/>
      <c r="FH2" s="377">
        <v>30331459</v>
      </c>
      <c r="FI2" s="281"/>
      <c r="FJ2" s="377">
        <v>26254073</v>
      </c>
      <c r="FK2" s="281"/>
      <c r="FL2" s="377">
        <v>24000000</v>
      </c>
      <c r="FM2" s="281"/>
      <c r="FN2" s="377">
        <v>18805201.23</v>
      </c>
      <c r="FO2" s="281"/>
      <c r="FP2" s="377">
        <v>17168428.759999987</v>
      </c>
      <c r="FQ2" s="281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</row>
    <row r="3" spans="1:189" ht="12.75" customHeight="1" outlineLevel="1" x14ac:dyDescent="0.3">
      <c r="A3" s="1"/>
      <c r="B3" s="425"/>
      <c r="C3" s="2"/>
      <c r="D3" s="2"/>
      <c r="E3" s="2"/>
      <c r="F3" s="2"/>
      <c r="G3" s="5" t="s">
        <v>2</v>
      </c>
      <c r="H3" s="6"/>
      <c r="I3" s="284">
        <f t="shared" si="0"/>
        <v>245470</v>
      </c>
      <c r="J3" s="281"/>
      <c r="K3" s="284">
        <v>14645</v>
      </c>
      <c r="L3" s="281"/>
      <c r="M3" s="284">
        <v>12456</v>
      </c>
      <c r="N3" s="281"/>
      <c r="O3" s="284">
        <v>14917</v>
      </c>
      <c r="P3" s="281"/>
      <c r="Q3" s="284">
        <v>15169</v>
      </c>
      <c r="R3" s="281"/>
      <c r="S3" s="284">
        <v>14062</v>
      </c>
      <c r="T3" s="281"/>
      <c r="U3" s="284">
        <v>19410</v>
      </c>
      <c r="V3" s="281"/>
      <c r="W3" s="284">
        <v>21834</v>
      </c>
      <c r="X3" s="281"/>
      <c r="Y3" s="284">
        <v>27611</v>
      </c>
      <c r="Z3" s="281"/>
      <c r="AA3" s="284">
        <v>29579</v>
      </c>
      <c r="AB3" s="281"/>
      <c r="AC3" s="284">
        <v>25435</v>
      </c>
      <c r="AD3" s="281"/>
      <c r="AE3" s="284">
        <v>30527</v>
      </c>
      <c r="AF3" s="281"/>
      <c r="AG3" s="284">
        <v>19825</v>
      </c>
      <c r="AH3" s="281"/>
      <c r="AI3" s="284">
        <v>18245</v>
      </c>
      <c r="AJ3" s="281"/>
      <c r="AK3" s="284">
        <v>19927</v>
      </c>
      <c r="AL3" s="281"/>
      <c r="AM3" s="284">
        <v>16542</v>
      </c>
      <c r="AN3" s="281"/>
      <c r="AO3" s="284">
        <v>18452</v>
      </c>
      <c r="AP3" s="281"/>
      <c r="AQ3" s="284">
        <v>17026</v>
      </c>
      <c r="AR3" s="281"/>
      <c r="AS3" s="284">
        <v>13961</v>
      </c>
      <c r="AT3" s="281"/>
      <c r="AU3" s="284">
        <v>16216</v>
      </c>
      <c r="AV3" s="281"/>
      <c r="AW3" s="284">
        <v>16333</v>
      </c>
      <c r="AX3" s="281"/>
      <c r="AY3" s="284">
        <v>16492</v>
      </c>
      <c r="AZ3" s="281"/>
      <c r="BA3" s="284">
        <v>16620</v>
      </c>
      <c r="BB3" s="281"/>
      <c r="BC3" s="284">
        <v>21584</v>
      </c>
      <c r="BD3" s="281"/>
      <c r="BE3" s="284">
        <v>17655</v>
      </c>
      <c r="BF3" s="281"/>
      <c r="BG3" s="284">
        <v>12596</v>
      </c>
      <c r="BH3" s="281"/>
      <c r="BI3" s="284">
        <v>13126</v>
      </c>
      <c r="BJ3" s="281"/>
      <c r="BK3" s="284">
        <v>14512</v>
      </c>
      <c r="BL3" s="281"/>
      <c r="BM3" s="284">
        <v>13271</v>
      </c>
      <c r="BN3" s="281"/>
      <c r="BO3" s="284">
        <v>14156</v>
      </c>
      <c r="BP3" s="281"/>
      <c r="BQ3" s="335">
        <v>13220</v>
      </c>
      <c r="BR3" s="281"/>
      <c r="BS3" s="335">
        <v>14603</v>
      </c>
      <c r="BT3" s="281"/>
      <c r="BU3" s="335">
        <v>17285</v>
      </c>
      <c r="BV3" s="281"/>
      <c r="BW3" s="335">
        <v>21808</v>
      </c>
      <c r="BX3" s="281"/>
      <c r="BY3" s="335">
        <v>16476</v>
      </c>
      <c r="BZ3" s="281"/>
      <c r="CA3" s="335">
        <v>18109</v>
      </c>
      <c r="CB3" s="281"/>
      <c r="CC3" s="335">
        <v>19080</v>
      </c>
      <c r="CD3" s="281"/>
      <c r="CE3" s="335">
        <v>15282</v>
      </c>
      <c r="CF3" s="281"/>
      <c r="CG3" s="335">
        <v>17620</v>
      </c>
      <c r="CH3" s="281"/>
      <c r="CI3" s="335">
        <v>24293</v>
      </c>
      <c r="CJ3" s="281"/>
      <c r="CK3" s="335">
        <v>24506</v>
      </c>
      <c r="CL3" s="281"/>
      <c r="CM3" s="335">
        <v>24258</v>
      </c>
      <c r="CN3" s="281"/>
      <c r="CO3" s="335">
        <v>17163</v>
      </c>
      <c r="CP3" s="281"/>
      <c r="CQ3" s="335">
        <v>16614</v>
      </c>
      <c r="CR3" s="281"/>
      <c r="CS3" s="335">
        <v>22292</v>
      </c>
      <c r="CT3" s="281"/>
      <c r="CU3" s="335">
        <v>22763</v>
      </c>
      <c r="CV3" s="281"/>
      <c r="CW3" s="335">
        <v>23264</v>
      </c>
      <c r="CX3" s="281"/>
      <c r="CY3" s="335">
        <v>27793</v>
      </c>
      <c r="CZ3" s="281"/>
      <c r="DA3" s="335">
        <v>25924</v>
      </c>
      <c r="DB3" s="281"/>
      <c r="DC3" s="335">
        <v>21982</v>
      </c>
      <c r="DD3" s="281"/>
      <c r="DE3" s="335">
        <v>19781</v>
      </c>
      <c r="DF3" s="281"/>
      <c r="DG3" s="335">
        <v>23879</v>
      </c>
      <c r="DH3" s="281"/>
      <c r="DI3" s="335">
        <v>20811</v>
      </c>
      <c r="DJ3" s="281"/>
      <c r="DK3" s="335">
        <v>24455</v>
      </c>
      <c r="DL3" s="281"/>
      <c r="DM3" s="335">
        <v>25013</v>
      </c>
      <c r="DN3" s="281"/>
      <c r="DO3" s="335">
        <v>24770</v>
      </c>
      <c r="DP3" s="281"/>
      <c r="DQ3" s="335">
        <v>25076</v>
      </c>
      <c r="DR3" s="281"/>
      <c r="DS3" s="335">
        <v>21074</v>
      </c>
      <c r="DT3" s="281"/>
      <c r="DU3" s="3"/>
      <c r="DV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35">
        <v>21268</v>
      </c>
      <c r="EO3" s="281"/>
      <c r="EP3" s="335">
        <v>28440</v>
      </c>
      <c r="EQ3" s="281"/>
      <c r="ER3" s="335">
        <v>25350</v>
      </c>
      <c r="ES3" s="281"/>
      <c r="ET3" s="335">
        <v>14000</v>
      </c>
      <c r="EU3" s="281"/>
      <c r="EV3" s="335">
        <v>16000</v>
      </c>
      <c r="EW3" s="281"/>
      <c r="EX3" s="335">
        <v>23000</v>
      </c>
      <c r="EY3" s="281"/>
      <c r="EZ3" s="335">
        <v>31395</v>
      </c>
      <c r="FA3" s="281"/>
      <c r="FB3" s="335">
        <v>25564</v>
      </c>
      <c r="FC3" s="281"/>
      <c r="FD3" s="335">
        <v>22840</v>
      </c>
      <c r="FE3" s="281"/>
      <c r="FF3" s="335">
        <v>21987</v>
      </c>
      <c r="FG3" s="281"/>
      <c r="FH3" s="335">
        <v>19799</v>
      </c>
      <c r="FI3" s="281"/>
      <c r="FJ3" s="335">
        <v>23035</v>
      </c>
      <c r="FK3" s="281"/>
      <c r="FL3" s="335">
        <v>22626</v>
      </c>
      <c r="FM3" s="281"/>
      <c r="FN3" s="335">
        <v>11602</v>
      </c>
      <c r="FO3" s="281"/>
      <c r="FP3" s="335">
        <v>11864</v>
      </c>
      <c r="FQ3" s="281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</row>
    <row r="4" spans="1:189" ht="15" customHeight="1" outlineLevel="2" x14ac:dyDescent="0.3">
      <c r="A4" s="1"/>
      <c r="B4" s="425"/>
      <c r="C4" s="2"/>
      <c r="D4" s="2"/>
      <c r="E4" s="2"/>
      <c r="F4" s="2"/>
      <c r="G4" s="5" t="s">
        <v>3</v>
      </c>
      <c r="H4" s="6"/>
      <c r="I4" s="284">
        <f t="shared" si="0"/>
        <v>199962</v>
      </c>
      <c r="J4" s="281"/>
      <c r="K4" s="284">
        <v>12380</v>
      </c>
      <c r="L4" s="281"/>
      <c r="M4" s="284">
        <v>10258</v>
      </c>
      <c r="N4" s="281"/>
      <c r="O4" s="284">
        <v>11942</v>
      </c>
      <c r="P4" s="281"/>
      <c r="Q4" s="284">
        <v>12396</v>
      </c>
      <c r="R4" s="281"/>
      <c r="S4" s="284">
        <v>11396</v>
      </c>
      <c r="T4" s="281"/>
      <c r="U4" s="284">
        <v>16023</v>
      </c>
      <c r="V4" s="281"/>
      <c r="W4" s="284">
        <v>21392</v>
      </c>
      <c r="X4" s="281"/>
      <c r="Y4" s="284">
        <v>23252</v>
      </c>
      <c r="Z4" s="281"/>
      <c r="AA4" s="284">
        <v>24768</v>
      </c>
      <c r="AB4" s="281"/>
      <c r="AC4" s="284">
        <v>19563</v>
      </c>
      <c r="AD4" s="281"/>
      <c r="AE4" s="284">
        <v>23093</v>
      </c>
      <c r="AF4" s="281"/>
      <c r="AG4" s="284">
        <v>13499</v>
      </c>
      <c r="AH4" s="281"/>
      <c r="AI4" s="284">
        <v>13506</v>
      </c>
      <c r="AJ4" s="281"/>
      <c r="AK4" s="284">
        <v>14423</v>
      </c>
      <c r="AL4" s="281"/>
      <c r="AM4" s="284">
        <v>13394</v>
      </c>
      <c r="AN4" s="281"/>
      <c r="AO4" s="284">
        <v>18439</v>
      </c>
      <c r="AP4" s="281"/>
      <c r="AQ4" s="284">
        <v>17011</v>
      </c>
      <c r="AR4" s="281"/>
      <c r="AS4" s="284">
        <v>13860</v>
      </c>
      <c r="AT4" s="281"/>
      <c r="AU4" s="284">
        <v>14664</v>
      </c>
      <c r="AV4" s="281"/>
      <c r="AW4" s="284">
        <v>12712</v>
      </c>
      <c r="AX4" s="281"/>
      <c r="AY4" s="284">
        <v>11919</v>
      </c>
      <c r="AZ4" s="281"/>
      <c r="BA4" s="284">
        <v>11977</v>
      </c>
      <c r="BB4" s="281"/>
      <c r="BC4" s="284">
        <v>16518</v>
      </c>
      <c r="BD4" s="281"/>
      <c r="BE4" s="284">
        <v>12690</v>
      </c>
      <c r="BF4" s="281"/>
      <c r="BG4" s="284">
        <v>9229</v>
      </c>
      <c r="BH4" s="281"/>
      <c r="BI4" s="284">
        <v>9843</v>
      </c>
      <c r="BJ4" s="281"/>
      <c r="BK4" s="284">
        <v>13287</v>
      </c>
      <c r="BL4" s="281"/>
      <c r="BM4" s="284">
        <v>11548</v>
      </c>
      <c r="BN4" s="281"/>
      <c r="BO4" s="284">
        <v>10991</v>
      </c>
      <c r="BP4" s="281"/>
      <c r="BQ4" s="335">
        <v>10201</v>
      </c>
      <c r="BR4" s="281"/>
      <c r="BS4" s="335">
        <v>10831</v>
      </c>
      <c r="BT4" s="281"/>
      <c r="BU4" s="335">
        <v>13165</v>
      </c>
      <c r="BV4" s="281"/>
      <c r="BW4" s="335">
        <v>17080</v>
      </c>
      <c r="BX4" s="281"/>
      <c r="BY4" s="335">
        <v>12823</v>
      </c>
      <c r="BZ4" s="281"/>
      <c r="CA4" s="335">
        <v>14068</v>
      </c>
      <c r="CB4" s="281"/>
      <c r="CC4" s="335">
        <v>13846</v>
      </c>
      <c r="CD4" s="281"/>
      <c r="CE4" s="335">
        <v>11595</v>
      </c>
      <c r="CF4" s="281"/>
      <c r="CG4" s="335">
        <v>14136</v>
      </c>
      <c r="CH4" s="281"/>
      <c r="CI4" s="335">
        <v>19895</v>
      </c>
      <c r="CJ4" s="281"/>
      <c r="CK4" s="335">
        <v>19709</v>
      </c>
      <c r="CL4" s="281"/>
      <c r="CM4" s="335">
        <v>19205</v>
      </c>
      <c r="CN4" s="281"/>
      <c r="CO4" s="335">
        <v>13201</v>
      </c>
      <c r="CP4" s="281"/>
      <c r="CQ4" s="335">
        <v>12682</v>
      </c>
      <c r="CR4" s="281"/>
      <c r="CS4" s="335">
        <f>8615+892+7997</f>
        <v>17504</v>
      </c>
      <c r="CT4" s="281"/>
      <c r="CU4" s="335">
        <f>7563+9601+967</f>
        <v>18131</v>
      </c>
      <c r="CV4" s="281"/>
      <c r="CW4" s="335">
        <f>8029+964+9346</f>
        <v>18339</v>
      </c>
      <c r="CX4" s="281"/>
      <c r="CY4" s="335">
        <f>9557+1042+12389</f>
        <v>22988</v>
      </c>
      <c r="CZ4" s="281"/>
      <c r="DA4" s="335">
        <f>7538+908+11254</f>
        <v>19700</v>
      </c>
      <c r="DB4" s="281"/>
      <c r="DC4" s="335">
        <v>18115</v>
      </c>
      <c r="DD4" s="281"/>
      <c r="DE4" s="335">
        <v>18646</v>
      </c>
      <c r="DF4" s="281"/>
      <c r="DG4" s="335">
        <v>21076</v>
      </c>
      <c r="DH4" s="281"/>
      <c r="DI4" s="335">
        <v>21087</v>
      </c>
      <c r="DJ4" s="281"/>
      <c r="DK4" s="335">
        <f>8484+603+10816</f>
        <v>19903</v>
      </c>
      <c r="DL4" s="281"/>
      <c r="DM4" s="335">
        <f>8616+11687+496</f>
        <v>20799</v>
      </c>
      <c r="DN4" s="281"/>
      <c r="DO4" s="335">
        <f>8218+499+11077</f>
        <v>19794</v>
      </c>
      <c r="DP4" s="281"/>
      <c r="DQ4" s="335">
        <f>8874+495+10332</f>
        <v>19701</v>
      </c>
      <c r="DR4" s="281"/>
      <c r="DS4" s="335">
        <f>7700+427+7885</f>
        <v>16012</v>
      </c>
      <c r="DT4" s="281"/>
      <c r="DU4" s="3"/>
      <c r="DV4" s="8"/>
      <c r="DY4" s="9"/>
      <c r="DZ4" s="9"/>
      <c r="EA4" s="9"/>
      <c r="EB4" s="3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335">
        <f>6491+462+8844</f>
        <v>15797</v>
      </c>
      <c r="EO4" s="281"/>
      <c r="EP4" s="335">
        <v>24743</v>
      </c>
      <c r="EQ4" s="281"/>
      <c r="ER4" s="335">
        <v>19247</v>
      </c>
      <c r="ES4" s="281"/>
      <c r="ET4" s="335">
        <v>11774</v>
      </c>
      <c r="EU4" s="281"/>
      <c r="EV4" s="335">
        <f>6597+6392+784</f>
        <v>13773</v>
      </c>
      <c r="EW4" s="281"/>
      <c r="EX4" s="335">
        <f>9232+9616+815</f>
        <v>19663</v>
      </c>
      <c r="EY4" s="281"/>
      <c r="EZ4" s="335">
        <f>10959+10778+973</f>
        <v>22710</v>
      </c>
      <c r="FA4" s="281"/>
      <c r="FB4" s="335">
        <f>8290+10778+1012</f>
        <v>20080</v>
      </c>
      <c r="FC4" s="281"/>
      <c r="FD4" s="335">
        <f>7650+10778+938</f>
        <v>19366</v>
      </c>
      <c r="FE4" s="281"/>
      <c r="FF4" s="335">
        <f>7676+10178+650</f>
        <v>18504</v>
      </c>
      <c r="FG4" s="281"/>
      <c r="FH4" s="335">
        <f>6073+8158+854</f>
        <v>15085</v>
      </c>
      <c r="FI4" s="281"/>
      <c r="FJ4" s="335">
        <v>14000</v>
      </c>
      <c r="FK4" s="281"/>
      <c r="FL4" s="335">
        <v>13754</v>
      </c>
      <c r="FM4" s="281"/>
      <c r="FN4" s="335">
        <v>7743</v>
      </c>
      <c r="FO4" s="281"/>
      <c r="FP4" s="335">
        <v>8355</v>
      </c>
      <c r="FQ4" s="281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</row>
    <row r="5" spans="1:189" ht="12.75" customHeight="1" outlineLevel="1" x14ac:dyDescent="0.3">
      <c r="A5" s="1"/>
      <c r="B5" s="425"/>
      <c r="C5" s="2"/>
      <c r="D5" s="2"/>
      <c r="E5" s="2"/>
      <c r="F5" s="2"/>
      <c r="G5" s="5" t="s">
        <v>4</v>
      </c>
      <c r="H5" s="6"/>
      <c r="I5" s="338">
        <f t="shared" si="0"/>
        <v>12212.33</v>
      </c>
      <c r="J5" s="281"/>
      <c r="K5" s="338">
        <v>1154</v>
      </c>
      <c r="L5" s="281"/>
      <c r="M5" s="338">
        <v>1103.33</v>
      </c>
      <c r="N5" s="281"/>
      <c r="O5" s="338">
        <v>1121</v>
      </c>
      <c r="P5" s="281"/>
      <c r="Q5" s="338">
        <v>1104</v>
      </c>
      <c r="R5" s="281"/>
      <c r="S5" s="338">
        <v>1289</v>
      </c>
      <c r="T5" s="281"/>
      <c r="U5" s="338">
        <v>1135</v>
      </c>
      <c r="V5" s="281"/>
      <c r="W5" s="338">
        <v>974</v>
      </c>
      <c r="X5" s="281"/>
      <c r="Y5" s="338">
        <v>823</v>
      </c>
      <c r="Z5" s="281"/>
      <c r="AA5" s="338">
        <v>834</v>
      </c>
      <c r="AB5" s="281"/>
      <c r="AC5" s="338">
        <v>894</v>
      </c>
      <c r="AD5" s="281"/>
      <c r="AE5" s="338">
        <v>885</v>
      </c>
      <c r="AF5" s="281"/>
      <c r="AG5" s="338">
        <v>896</v>
      </c>
      <c r="AH5" s="281"/>
      <c r="AI5" s="338">
        <v>1028</v>
      </c>
      <c r="AJ5" s="281"/>
      <c r="AK5" s="338">
        <v>927</v>
      </c>
      <c r="AL5" s="281"/>
      <c r="AM5" s="338">
        <v>953</v>
      </c>
      <c r="AN5" s="281"/>
      <c r="AO5" s="338">
        <v>900</v>
      </c>
      <c r="AP5" s="281"/>
      <c r="AQ5" s="338">
        <v>989</v>
      </c>
      <c r="AR5" s="281"/>
      <c r="AS5" s="338">
        <v>1081</v>
      </c>
      <c r="AT5" s="281"/>
      <c r="AU5" s="338">
        <v>1131</v>
      </c>
      <c r="AV5" s="281"/>
      <c r="AW5" s="338">
        <v>1220</v>
      </c>
      <c r="AX5" s="281"/>
      <c r="AY5" s="338">
        <v>1253</v>
      </c>
      <c r="AZ5" s="281"/>
      <c r="BA5" s="338">
        <v>1290</v>
      </c>
      <c r="BB5" s="281"/>
      <c r="BC5" s="338">
        <v>1373</v>
      </c>
      <c r="BD5" s="281"/>
      <c r="BE5" s="338">
        <v>1419</v>
      </c>
      <c r="BF5" s="281"/>
      <c r="BG5" s="338">
        <v>1532</v>
      </c>
      <c r="BH5" s="281"/>
      <c r="BI5" s="338">
        <v>1514</v>
      </c>
      <c r="BJ5" s="281"/>
      <c r="BK5" s="338">
        <v>1543</v>
      </c>
      <c r="BL5" s="281"/>
      <c r="BM5" s="338">
        <v>1601</v>
      </c>
      <c r="BN5" s="281"/>
      <c r="BO5" s="338">
        <v>1590</v>
      </c>
      <c r="BP5" s="281"/>
      <c r="BQ5" s="378">
        <v>1518</v>
      </c>
      <c r="BR5" s="281"/>
      <c r="BS5" s="378">
        <v>1444</v>
      </c>
      <c r="BT5" s="281"/>
      <c r="BU5" s="378">
        <v>1387</v>
      </c>
      <c r="BV5" s="281"/>
      <c r="BW5" s="378">
        <v>1049</v>
      </c>
      <c r="BX5" s="281"/>
      <c r="BY5" s="378">
        <v>1366</v>
      </c>
      <c r="BZ5" s="281"/>
      <c r="CA5" s="378">
        <v>1489</v>
      </c>
      <c r="CB5" s="281"/>
      <c r="CC5" s="378">
        <v>1546</v>
      </c>
      <c r="CD5" s="281"/>
      <c r="CE5" s="378">
        <v>1624</v>
      </c>
      <c r="CF5" s="281"/>
      <c r="CG5" s="378">
        <v>1581</v>
      </c>
      <c r="CH5" s="281"/>
      <c r="CI5" s="378">
        <v>1422</v>
      </c>
      <c r="CJ5" s="281"/>
      <c r="CK5" s="378">
        <v>1273</v>
      </c>
      <c r="CL5" s="281"/>
      <c r="CM5" s="378">
        <v>1225</v>
      </c>
      <c r="CN5" s="281"/>
      <c r="CO5" s="378">
        <v>1452</v>
      </c>
      <c r="CP5" s="281"/>
      <c r="CQ5" s="378">
        <v>1427</v>
      </c>
      <c r="CR5" s="281"/>
      <c r="CS5" s="378">
        <v>1436</v>
      </c>
      <c r="CT5" s="281"/>
      <c r="CU5" s="378">
        <v>1328</v>
      </c>
      <c r="CV5" s="281"/>
      <c r="CW5" s="378">
        <v>1293</v>
      </c>
      <c r="CX5" s="281"/>
      <c r="CY5" s="378">
        <v>1301</v>
      </c>
      <c r="CZ5" s="281"/>
      <c r="DA5" s="378">
        <v>1305</v>
      </c>
      <c r="DB5" s="281"/>
      <c r="DC5" s="378">
        <v>1340</v>
      </c>
      <c r="DD5" s="281"/>
      <c r="DE5" s="378">
        <v>1312</v>
      </c>
      <c r="DF5" s="281"/>
      <c r="DG5" s="378">
        <v>1396</v>
      </c>
      <c r="DH5" s="281"/>
      <c r="DI5" s="378">
        <v>1470</v>
      </c>
      <c r="DJ5" s="281"/>
      <c r="DK5" s="378">
        <v>1373</v>
      </c>
      <c r="DL5" s="281"/>
      <c r="DM5" s="378">
        <v>1300</v>
      </c>
      <c r="DN5" s="281"/>
      <c r="DO5" s="378">
        <v>1328</v>
      </c>
      <c r="DP5" s="281"/>
      <c r="DQ5" s="378">
        <v>1351</v>
      </c>
      <c r="DR5" s="281"/>
      <c r="DS5" s="378">
        <v>1354</v>
      </c>
      <c r="DT5" s="281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78">
        <v>1422</v>
      </c>
      <c r="EO5" s="281"/>
      <c r="EP5" s="378">
        <v>1374</v>
      </c>
      <c r="EQ5" s="281"/>
      <c r="ER5" s="378">
        <v>1370.7</v>
      </c>
      <c r="ES5" s="281"/>
      <c r="ET5" s="378">
        <v>1481</v>
      </c>
      <c r="EU5" s="281"/>
      <c r="EV5" s="378">
        <v>1632</v>
      </c>
      <c r="EW5" s="281"/>
      <c r="EX5" s="378">
        <v>1748</v>
      </c>
      <c r="EY5" s="281"/>
      <c r="EZ5" s="378">
        <v>1073.52</v>
      </c>
      <c r="FA5" s="281"/>
      <c r="FB5" s="378">
        <v>1584</v>
      </c>
      <c r="FC5" s="281"/>
      <c r="FD5" s="378">
        <v>1608</v>
      </c>
      <c r="FE5" s="281"/>
      <c r="FF5" s="378">
        <v>1438</v>
      </c>
      <c r="FG5" s="281"/>
      <c r="FH5" s="378">
        <v>1580</v>
      </c>
      <c r="FI5" s="281"/>
      <c r="FJ5" s="378">
        <v>1496</v>
      </c>
      <c r="FK5" s="281"/>
      <c r="FL5" s="378">
        <v>1592</v>
      </c>
      <c r="FM5" s="281"/>
      <c r="FN5" s="378">
        <v>1567</v>
      </c>
      <c r="FO5" s="281"/>
      <c r="FP5" s="378">
        <v>1308</v>
      </c>
      <c r="FQ5" s="281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</row>
    <row r="6" spans="1:189" ht="5.25" customHeight="1" x14ac:dyDescent="0.3">
      <c r="A6" s="1"/>
      <c r="B6" s="11"/>
      <c r="C6" s="3"/>
      <c r="D6" s="3"/>
      <c r="E6" s="2"/>
      <c r="F6" s="2"/>
      <c r="G6" s="12"/>
      <c r="H6" s="12"/>
      <c r="I6" s="13"/>
      <c r="J6" s="13"/>
      <c r="K6" s="13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</row>
    <row r="7" spans="1:189" ht="12.75" customHeight="1" x14ac:dyDescent="0.3">
      <c r="A7" s="1"/>
      <c r="B7" s="15" t="s">
        <v>5</v>
      </c>
      <c r="C7" s="15" t="s">
        <v>6</v>
      </c>
      <c r="D7" s="15" t="s">
        <v>7</v>
      </c>
      <c r="E7" s="15" t="s">
        <v>8</v>
      </c>
      <c r="F7" s="15" t="s">
        <v>9</v>
      </c>
      <c r="G7" s="15" t="s">
        <v>10</v>
      </c>
      <c r="H7" s="16"/>
      <c r="I7" s="379" t="s">
        <v>11</v>
      </c>
      <c r="J7" s="380"/>
      <c r="K7" s="379">
        <v>43466</v>
      </c>
      <c r="L7" s="380"/>
      <c r="M7" s="379">
        <v>43497</v>
      </c>
      <c r="N7" s="380"/>
      <c r="O7" s="379">
        <v>43525</v>
      </c>
      <c r="P7" s="380"/>
      <c r="Q7" s="379">
        <v>43556</v>
      </c>
      <c r="R7" s="380"/>
      <c r="S7" s="379">
        <v>43586</v>
      </c>
      <c r="T7" s="380"/>
      <c r="U7" s="379">
        <v>43617</v>
      </c>
      <c r="V7" s="380"/>
      <c r="W7" s="379">
        <v>43647</v>
      </c>
      <c r="X7" s="380"/>
      <c r="Y7" s="379">
        <v>43678</v>
      </c>
      <c r="Z7" s="380"/>
      <c r="AA7" s="379">
        <v>43709</v>
      </c>
      <c r="AB7" s="380"/>
      <c r="AC7" s="379">
        <v>43739</v>
      </c>
      <c r="AD7" s="380"/>
      <c r="AE7" s="379">
        <v>43770</v>
      </c>
      <c r="AF7" s="380"/>
      <c r="AG7" s="379">
        <v>43800</v>
      </c>
      <c r="AH7" s="380"/>
      <c r="AI7" s="379">
        <v>43831</v>
      </c>
      <c r="AJ7" s="380"/>
      <c r="AK7" s="379">
        <v>43862</v>
      </c>
      <c r="AL7" s="380"/>
      <c r="AM7" s="379">
        <v>43891</v>
      </c>
      <c r="AN7" s="380"/>
      <c r="AO7" s="379">
        <v>43922</v>
      </c>
      <c r="AP7" s="380"/>
      <c r="AQ7" s="379">
        <v>43952</v>
      </c>
      <c r="AR7" s="380"/>
      <c r="AS7" s="379">
        <v>43983</v>
      </c>
      <c r="AT7" s="380"/>
      <c r="AU7" s="379">
        <v>44013</v>
      </c>
      <c r="AV7" s="380"/>
      <c r="AW7" s="379">
        <v>44044</v>
      </c>
      <c r="AX7" s="380"/>
      <c r="AY7" s="379">
        <v>44075</v>
      </c>
      <c r="AZ7" s="380"/>
      <c r="BA7" s="379">
        <v>44105</v>
      </c>
      <c r="BB7" s="380"/>
      <c r="BC7" s="379">
        <v>44136</v>
      </c>
      <c r="BD7" s="380"/>
      <c r="BE7" s="379">
        <v>44166</v>
      </c>
      <c r="BF7" s="380"/>
      <c r="BG7" s="379">
        <v>44197</v>
      </c>
      <c r="BH7" s="380"/>
      <c r="BI7" s="379">
        <v>44228</v>
      </c>
      <c r="BJ7" s="380"/>
      <c r="BK7" s="379">
        <v>44256</v>
      </c>
      <c r="BL7" s="380"/>
      <c r="BM7" s="379">
        <v>44287</v>
      </c>
      <c r="BN7" s="380"/>
      <c r="BO7" s="379">
        <v>44317</v>
      </c>
      <c r="BP7" s="380"/>
      <c r="BQ7" s="379">
        <v>44348</v>
      </c>
      <c r="BR7" s="380"/>
      <c r="BS7" s="379">
        <v>44378</v>
      </c>
      <c r="BT7" s="380"/>
      <c r="BU7" s="379">
        <v>44409</v>
      </c>
      <c r="BV7" s="380"/>
      <c r="BW7" s="379">
        <v>44440</v>
      </c>
      <c r="BX7" s="380"/>
      <c r="BY7" s="379">
        <v>44470</v>
      </c>
      <c r="BZ7" s="380"/>
      <c r="CA7" s="379">
        <v>44501</v>
      </c>
      <c r="CB7" s="380"/>
      <c r="CC7" s="379">
        <v>44531</v>
      </c>
      <c r="CD7" s="380"/>
      <c r="CE7" s="379">
        <v>44562</v>
      </c>
      <c r="CF7" s="380"/>
      <c r="CG7" s="379">
        <v>44593</v>
      </c>
      <c r="CH7" s="380"/>
      <c r="CI7" s="379">
        <v>44621</v>
      </c>
      <c r="CJ7" s="380"/>
      <c r="CK7" s="379">
        <v>44652</v>
      </c>
      <c r="CL7" s="380"/>
      <c r="CM7" s="379">
        <v>44682</v>
      </c>
      <c r="CN7" s="380"/>
      <c r="CO7" s="379">
        <v>44713</v>
      </c>
      <c r="CP7" s="380"/>
      <c r="CQ7" s="379">
        <v>44743</v>
      </c>
      <c r="CR7" s="380"/>
      <c r="CS7" s="379">
        <v>44774</v>
      </c>
      <c r="CT7" s="380"/>
      <c r="CU7" s="379">
        <v>44805</v>
      </c>
      <c r="CV7" s="380"/>
      <c r="CW7" s="379">
        <v>44835</v>
      </c>
      <c r="CX7" s="380"/>
      <c r="CY7" s="379">
        <v>44866</v>
      </c>
      <c r="CZ7" s="380"/>
      <c r="DA7" s="379">
        <v>44896</v>
      </c>
      <c r="DB7" s="380"/>
      <c r="DC7" s="379">
        <v>44927</v>
      </c>
      <c r="DD7" s="380"/>
      <c r="DE7" s="379">
        <v>44958</v>
      </c>
      <c r="DF7" s="380"/>
      <c r="DG7" s="379">
        <v>44986</v>
      </c>
      <c r="DH7" s="380"/>
      <c r="DI7" s="379">
        <v>45017</v>
      </c>
      <c r="DJ7" s="380"/>
      <c r="DK7" s="379">
        <v>45047</v>
      </c>
      <c r="DL7" s="380"/>
      <c r="DM7" s="379">
        <v>45078</v>
      </c>
      <c r="DN7" s="380"/>
      <c r="DO7" s="379">
        <v>45108</v>
      </c>
      <c r="DP7" s="380"/>
      <c r="DQ7" s="379">
        <v>45139</v>
      </c>
      <c r="DR7" s="380"/>
      <c r="DS7" s="379">
        <v>45170</v>
      </c>
      <c r="DT7" s="380"/>
      <c r="DU7" s="17" t="s">
        <v>12</v>
      </c>
      <c r="DV7" s="17" t="s">
        <v>13</v>
      </c>
      <c r="DW7" s="17" t="s">
        <v>14</v>
      </c>
      <c r="DX7" s="17" t="s">
        <v>15</v>
      </c>
      <c r="DY7" s="17" t="s">
        <v>16</v>
      </c>
      <c r="DZ7" s="17" t="s">
        <v>17</v>
      </c>
      <c r="EA7" s="17" t="s">
        <v>18</v>
      </c>
      <c r="EB7" s="17" t="s">
        <v>19</v>
      </c>
      <c r="EC7" s="17" t="s">
        <v>20</v>
      </c>
      <c r="ED7" s="17" t="s">
        <v>21</v>
      </c>
      <c r="EE7" s="17" t="s">
        <v>22</v>
      </c>
      <c r="EF7" s="17" t="s">
        <v>380</v>
      </c>
      <c r="EG7" s="17" t="s">
        <v>382</v>
      </c>
      <c r="EH7" s="17" t="s">
        <v>390</v>
      </c>
      <c r="EI7" s="17" t="s">
        <v>391</v>
      </c>
      <c r="EJ7" s="17" t="s">
        <v>394</v>
      </c>
      <c r="EK7" s="17" t="s">
        <v>398</v>
      </c>
      <c r="EL7" s="17" t="s">
        <v>399</v>
      </c>
      <c r="EM7" s="17" t="s">
        <v>402</v>
      </c>
      <c r="EN7" s="379">
        <v>45200</v>
      </c>
      <c r="EO7" s="380"/>
      <c r="EP7" s="379">
        <v>45231</v>
      </c>
      <c r="EQ7" s="380"/>
      <c r="ER7" s="379">
        <v>45261</v>
      </c>
      <c r="ES7" s="380"/>
      <c r="ET7" s="379">
        <v>45292</v>
      </c>
      <c r="EU7" s="380"/>
      <c r="EV7" s="379">
        <v>45323</v>
      </c>
      <c r="EW7" s="380"/>
      <c r="EX7" s="379">
        <v>45352</v>
      </c>
      <c r="EY7" s="380"/>
      <c r="EZ7" s="379">
        <v>45383</v>
      </c>
      <c r="FA7" s="380"/>
      <c r="FB7" s="379">
        <v>45413</v>
      </c>
      <c r="FC7" s="380"/>
      <c r="FD7" s="379">
        <v>45444</v>
      </c>
      <c r="FE7" s="380"/>
      <c r="FF7" s="379">
        <v>45474</v>
      </c>
      <c r="FG7" s="380"/>
      <c r="FH7" s="379">
        <v>45505</v>
      </c>
      <c r="FI7" s="380"/>
      <c r="FJ7" s="379">
        <v>45536</v>
      </c>
      <c r="FK7" s="380"/>
      <c r="FL7" s="379">
        <v>45566</v>
      </c>
      <c r="FM7" s="380"/>
      <c r="FN7" s="379">
        <v>45597</v>
      </c>
      <c r="FO7" s="380"/>
      <c r="FP7" s="379">
        <v>45627</v>
      </c>
      <c r="FQ7" s="380"/>
      <c r="FR7" s="17" t="s">
        <v>408</v>
      </c>
      <c r="FS7" s="17" t="s">
        <v>424</v>
      </c>
      <c r="FT7" s="17" t="s">
        <v>425</v>
      </c>
      <c r="FU7" s="17" t="s">
        <v>426</v>
      </c>
      <c r="FV7" s="17" t="s">
        <v>427</v>
      </c>
      <c r="FW7" s="17" t="s">
        <v>428</v>
      </c>
      <c r="FX7" s="17" t="s">
        <v>430</v>
      </c>
      <c r="FY7" s="17" t="s">
        <v>432</v>
      </c>
      <c r="FZ7" s="17" t="s">
        <v>434</v>
      </c>
      <c r="GA7" s="17" t="s">
        <v>435</v>
      </c>
      <c r="GB7" s="17" t="s">
        <v>436</v>
      </c>
      <c r="GC7" s="17" t="s">
        <v>438</v>
      </c>
      <c r="GD7" s="17" t="s">
        <v>439</v>
      </c>
      <c r="GE7" s="17" t="s">
        <v>441</v>
      </c>
      <c r="GF7" s="17" t="s">
        <v>442</v>
      </c>
      <c r="GG7" s="17" t="s">
        <v>446</v>
      </c>
    </row>
    <row r="8" spans="1:189" ht="2.25" customHeight="1" x14ac:dyDescent="0.3">
      <c r="A8" s="1"/>
      <c r="B8" s="18"/>
      <c r="C8" s="18"/>
      <c r="D8" s="18"/>
      <c r="E8" s="18"/>
      <c r="F8" s="18"/>
      <c r="G8" s="3"/>
      <c r="H8" s="3"/>
      <c r="I8" s="19"/>
      <c r="J8" s="20"/>
      <c r="K8" s="19"/>
      <c r="L8" s="20"/>
      <c r="M8" s="19"/>
      <c r="N8" s="20"/>
      <c r="O8" s="19"/>
      <c r="P8" s="20"/>
      <c r="Q8" s="19"/>
      <c r="R8" s="20"/>
      <c r="S8" s="19"/>
      <c r="T8" s="20"/>
      <c r="U8" s="19"/>
      <c r="V8" s="20"/>
      <c r="W8" s="19"/>
      <c r="X8" s="20"/>
      <c r="Y8" s="19"/>
      <c r="Z8" s="20"/>
      <c r="AA8" s="19"/>
      <c r="AB8" s="20"/>
      <c r="AC8" s="19"/>
      <c r="AD8" s="20"/>
      <c r="AE8" s="19"/>
      <c r="AF8" s="20"/>
      <c r="AG8" s="19"/>
      <c r="AH8" s="20"/>
      <c r="AI8" s="19"/>
      <c r="AJ8" s="20"/>
      <c r="AK8" s="19"/>
      <c r="AL8" s="20"/>
      <c r="AM8" s="19"/>
      <c r="AN8" s="20"/>
      <c r="AO8" s="19"/>
      <c r="AP8" s="20"/>
      <c r="AQ8" s="19"/>
      <c r="AR8" s="20"/>
      <c r="AS8" s="19"/>
      <c r="AT8" s="20"/>
      <c r="AU8" s="19"/>
      <c r="AV8" s="20"/>
      <c r="AW8" s="19"/>
      <c r="AX8" s="20"/>
      <c r="AY8" s="19"/>
      <c r="AZ8" s="20"/>
      <c r="BA8" s="19"/>
      <c r="BB8" s="20"/>
      <c r="BC8" s="19"/>
      <c r="BD8" s="20"/>
      <c r="BE8" s="19"/>
      <c r="BF8" s="20"/>
      <c r="BG8" s="19"/>
      <c r="BH8" s="20"/>
      <c r="BI8" s="19"/>
      <c r="BJ8" s="20"/>
      <c r="BK8" s="19"/>
      <c r="BL8" s="20"/>
      <c r="BM8" s="19"/>
      <c r="BN8" s="20"/>
      <c r="BO8" s="19"/>
      <c r="BP8" s="20"/>
      <c r="BQ8" s="19"/>
      <c r="BR8" s="20"/>
      <c r="BS8" s="19"/>
      <c r="BT8" s="20"/>
      <c r="BU8" s="19"/>
      <c r="BV8" s="20"/>
      <c r="BW8" s="19"/>
      <c r="BX8" s="20"/>
      <c r="BY8" s="19"/>
      <c r="BZ8" s="20"/>
      <c r="CA8" s="19"/>
      <c r="CB8" s="20"/>
      <c r="CC8" s="19"/>
      <c r="CD8" s="20"/>
      <c r="CE8" s="19"/>
      <c r="CF8" s="20"/>
      <c r="CG8" s="19"/>
      <c r="CH8" s="20"/>
      <c r="CI8" s="19"/>
      <c r="CJ8" s="20"/>
      <c r="CK8" s="19"/>
      <c r="CL8" s="20"/>
      <c r="CM8" s="19"/>
      <c r="CN8" s="20"/>
      <c r="CO8" s="19"/>
      <c r="CP8" s="20"/>
      <c r="CQ8" s="19"/>
      <c r="CR8" s="20"/>
      <c r="CS8" s="19"/>
      <c r="CT8" s="20"/>
      <c r="CU8" s="19"/>
      <c r="CV8" s="20"/>
      <c r="CW8" s="19"/>
      <c r="CX8" s="20"/>
      <c r="CY8" s="19"/>
      <c r="CZ8" s="20"/>
      <c r="DA8" s="19"/>
      <c r="DB8" s="20"/>
      <c r="DC8" s="19"/>
      <c r="DD8" s="20"/>
      <c r="DE8" s="19"/>
      <c r="DF8" s="20"/>
      <c r="DG8" s="19"/>
      <c r="DH8" s="20"/>
      <c r="DI8" s="19"/>
      <c r="DJ8" s="20"/>
      <c r="DK8" s="19"/>
      <c r="DL8" s="20"/>
      <c r="DM8" s="19"/>
      <c r="DN8" s="20"/>
      <c r="DO8" s="19"/>
      <c r="DP8" s="20"/>
      <c r="DQ8" s="19"/>
      <c r="DR8" s="20"/>
      <c r="DS8" s="19"/>
      <c r="DT8" s="20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19"/>
      <c r="EO8" s="20"/>
      <c r="EP8" s="19"/>
      <c r="EQ8" s="20"/>
      <c r="ER8" s="19"/>
      <c r="ES8" s="20"/>
      <c r="ET8" s="19"/>
      <c r="EU8" s="20"/>
      <c r="EV8" s="19"/>
      <c r="EW8" s="20"/>
      <c r="EX8" s="19"/>
      <c r="EY8" s="20"/>
      <c r="EZ8" s="19"/>
      <c r="FA8" s="20"/>
      <c r="FB8" s="19"/>
      <c r="FC8" s="20"/>
      <c r="FD8" s="19"/>
      <c r="FE8" s="20"/>
      <c r="FF8" s="19"/>
      <c r="FG8" s="20"/>
      <c r="FH8" s="19"/>
      <c r="FI8" s="20"/>
      <c r="FJ8" s="19"/>
      <c r="FK8" s="20"/>
      <c r="FL8" s="19"/>
      <c r="FM8" s="20"/>
      <c r="FN8" s="19"/>
      <c r="FO8" s="20"/>
      <c r="FP8" s="19"/>
      <c r="FQ8" s="20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</row>
    <row r="9" spans="1:189" ht="15" customHeight="1" x14ac:dyDescent="0.3">
      <c r="A9" s="1"/>
      <c r="B9" s="313" t="s">
        <v>23</v>
      </c>
      <c r="C9" s="313" t="s">
        <v>24</v>
      </c>
      <c r="D9" s="313" t="s">
        <v>25</v>
      </c>
      <c r="E9" s="313" t="s">
        <v>26</v>
      </c>
      <c r="F9" s="313" t="s">
        <v>27</v>
      </c>
      <c r="G9" s="5" t="s">
        <v>28</v>
      </c>
      <c r="H9" s="5"/>
      <c r="I9" s="283">
        <v>4.1000000000000002E-2</v>
      </c>
      <c r="J9" s="281"/>
      <c r="K9" s="283">
        <v>4.1000000000000002E-2</v>
      </c>
      <c r="L9" s="281"/>
      <c r="M9" s="283">
        <v>4.1000000000000002E-2</v>
      </c>
      <c r="N9" s="281"/>
      <c r="O9" s="283">
        <v>4.1000000000000002E-2</v>
      </c>
      <c r="P9" s="281"/>
      <c r="Q9" s="283">
        <v>4.1000000000000002E-2</v>
      </c>
      <c r="R9" s="281"/>
      <c r="S9" s="283">
        <v>4.1000000000000002E-2</v>
      </c>
      <c r="T9" s="281"/>
      <c r="U9" s="283">
        <v>4.1000000000000002E-2</v>
      </c>
      <c r="V9" s="281"/>
      <c r="W9" s="283">
        <v>4.1000000000000002E-2</v>
      </c>
      <c r="X9" s="281"/>
      <c r="Y9" s="283">
        <v>4.1000000000000002E-2</v>
      </c>
      <c r="Z9" s="281"/>
      <c r="AA9" s="283">
        <v>4.1000000000000002E-2</v>
      </c>
      <c r="AB9" s="281"/>
      <c r="AC9" s="283">
        <v>4.1000000000000002E-2</v>
      </c>
      <c r="AD9" s="281"/>
      <c r="AE9" s="283">
        <v>4.1000000000000002E-2</v>
      </c>
      <c r="AF9" s="281"/>
      <c r="AG9" s="283">
        <v>4.1000000000000002E-2</v>
      </c>
      <c r="AH9" s="281"/>
      <c r="AI9" s="283">
        <v>2.4E-2</v>
      </c>
      <c r="AJ9" s="281"/>
      <c r="AK9" s="283">
        <v>2.4E-2</v>
      </c>
      <c r="AL9" s="281"/>
      <c r="AM9" s="283">
        <v>2.4E-2</v>
      </c>
      <c r="AN9" s="281"/>
      <c r="AO9" s="283">
        <v>2.4E-2</v>
      </c>
      <c r="AP9" s="281"/>
      <c r="AQ9" s="283">
        <v>2.4E-2</v>
      </c>
      <c r="AR9" s="281"/>
      <c r="AS9" s="283">
        <v>2.4E-2</v>
      </c>
      <c r="AT9" s="281"/>
      <c r="AU9" s="283">
        <v>2.4E-2</v>
      </c>
      <c r="AV9" s="281"/>
      <c r="AW9" s="283">
        <v>2.4E-2</v>
      </c>
      <c r="AX9" s="281"/>
      <c r="AY9" s="283">
        <v>2.4E-2</v>
      </c>
      <c r="AZ9" s="281"/>
      <c r="BA9" s="283">
        <v>2.4E-2</v>
      </c>
      <c r="BB9" s="281"/>
      <c r="BC9" s="283">
        <v>2.4E-2</v>
      </c>
      <c r="BD9" s="281"/>
      <c r="BE9" s="283">
        <v>2.4E-2</v>
      </c>
      <c r="BF9" s="281"/>
      <c r="BG9" s="283">
        <v>2.4E-2</v>
      </c>
      <c r="BH9" s="281"/>
      <c r="BI9" s="283">
        <v>2.4E-2</v>
      </c>
      <c r="BJ9" s="281"/>
      <c r="BK9" s="283">
        <v>2.4E-2</v>
      </c>
      <c r="BL9" s="281"/>
      <c r="BM9" s="283">
        <v>2.4E-2</v>
      </c>
      <c r="BN9" s="281"/>
      <c r="BO9" s="283">
        <v>2.4E-2</v>
      </c>
      <c r="BP9" s="281"/>
      <c r="BQ9" s="283">
        <v>2.4E-2</v>
      </c>
      <c r="BR9" s="281"/>
      <c r="BS9" s="283">
        <v>2.4E-2</v>
      </c>
      <c r="BT9" s="281"/>
      <c r="BU9" s="283">
        <v>2.4E-2</v>
      </c>
      <c r="BV9" s="281"/>
      <c r="BW9" s="283">
        <v>2.4E-2</v>
      </c>
      <c r="BX9" s="281"/>
      <c r="BY9" s="283">
        <v>2.4E-2</v>
      </c>
      <c r="BZ9" s="281"/>
      <c r="CA9" s="283">
        <v>2.4E-2</v>
      </c>
      <c r="CB9" s="281"/>
      <c r="CC9" s="283">
        <v>2.4E-2</v>
      </c>
      <c r="CD9" s="281"/>
      <c r="CE9" s="283">
        <v>2.4E-2</v>
      </c>
      <c r="CF9" s="281"/>
      <c r="CG9" s="283">
        <v>2.4E-2</v>
      </c>
      <c r="CH9" s="281"/>
      <c r="CI9" s="283">
        <v>2.4E-2</v>
      </c>
      <c r="CJ9" s="281"/>
      <c r="CK9" s="283">
        <v>2.4E-2</v>
      </c>
      <c r="CL9" s="281"/>
      <c r="CM9" s="283">
        <v>2.4E-2</v>
      </c>
      <c r="CN9" s="281"/>
      <c r="CO9" s="283">
        <v>2.4E-2</v>
      </c>
      <c r="CP9" s="281"/>
      <c r="CQ9" s="283">
        <v>2.4E-2</v>
      </c>
      <c r="CR9" s="281"/>
      <c r="CS9" s="283">
        <v>2.4E-2</v>
      </c>
      <c r="CT9" s="281"/>
      <c r="CU9" s="283">
        <v>2.4E-2</v>
      </c>
      <c r="CV9" s="281"/>
      <c r="CW9" s="283">
        <v>2.4E-2</v>
      </c>
      <c r="CX9" s="281"/>
      <c r="CY9" s="283">
        <v>2.4E-2</v>
      </c>
      <c r="CZ9" s="281"/>
      <c r="DA9" s="283">
        <v>2.4E-2</v>
      </c>
      <c r="DB9" s="281"/>
      <c r="DC9" s="283">
        <v>2.4E-2</v>
      </c>
      <c r="DD9" s="281"/>
      <c r="DE9" s="283">
        <v>2.4E-2</v>
      </c>
      <c r="DF9" s="281"/>
      <c r="DG9" s="283">
        <v>2.4E-2</v>
      </c>
      <c r="DH9" s="281"/>
      <c r="DI9" s="283">
        <v>2.4E-2</v>
      </c>
      <c r="DJ9" s="281"/>
      <c r="DK9" s="283">
        <v>2.4E-2</v>
      </c>
      <c r="DL9" s="281"/>
      <c r="DM9" s="283">
        <v>2.4E-2</v>
      </c>
      <c r="DN9" s="281"/>
      <c r="DO9" s="283">
        <v>2.4E-2</v>
      </c>
      <c r="DP9" s="281"/>
      <c r="DQ9" s="283">
        <v>2.4E-2</v>
      </c>
      <c r="DR9" s="281"/>
      <c r="DS9" s="283">
        <v>2.4E-2</v>
      </c>
      <c r="DT9" s="281"/>
      <c r="DU9" s="388" t="s">
        <v>29</v>
      </c>
      <c r="DV9" s="388" t="s">
        <v>29</v>
      </c>
      <c r="DW9" s="388" t="s">
        <v>29</v>
      </c>
      <c r="DX9" s="388" t="s">
        <v>29</v>
      </c>
      <c r="DY9" s="388" t="s">
        <v>29</v>
      </c>
      <c r="DZ9" s="388" t="s">
        <v>29</v>
      </c>
      <c r="EA9" s="388" t="s">
        <v>29</v>
      </c>
      <c r="EB9" s="388" t="s">
        <v>29</v>
      </c>
      <c r="EC9" s="388" t="s">
        <v>29</v>
      </c>
      <c r="ED9" s="388" t="s">
        <v>29</v>
      </c>
      <c r="EE9" s="388" t="s">
        <v>29</v>
      </c>
      <c r="EF9" s="388" t="s">
        <v>29</v>
      </c>
      <c r="EG9" s="388" t="s">
        <v>29</v>
      </c>
      <c r="EH9" s="388" t="s">
        <v>29</v>
      </c>
      <c r="EI9" s="388" t="s">
        <v>29</v>
      </c>
      <c r="EJ9" s="388" t="s">
        <v>29</v>
      </c>
      <c r="EK9" s="388" t="s">
        <v>29</v>
      </c>
      <c r="EL9" s="388" t="s">
        <v>29</v>
      </c>
      <c r="EM9" s="388" t="s">
        <v>29</v>
      </c>
      <c r="EN9" s="283">
        <v>2.4E-2</v>
      </c>
      <c r="EO9" s="281"/>
      <c r="EP9" s="283">
        <v>2.4E-2</v>
      </c>
      <c r="EQ9" s="281"/>
      <c r="ER9" s="283">
        <v>2.4E-2</v>
      </c>
      <c r="ES9" s="281"/>
      <c r="ET9" s="283">
        <v>2.4E-2</v>
      </c>
      <c r="EU9" s="281"/>
      <c r="EV9" s="283">
        <v>2.4E-2</v>
      </c>
      <c r="EW9" s="281"/>
      <c r="EX9" s="283">
        <v>2.4E-2</v>
      </c>
      <c r="EY9" s="281"/>
      <c r="EZ9" s="283">
        <v>2.4E-2</v>
      </c>
      <c r="FA9" s="281"/>
      <c r="FB9" s="283">
        <v>2.4E-2</v>
      </c>
      <c r="FC9" s="281"/>
      <c r="FD9" s="283">
        <v>2.4E-2</v>
      </c>
      <c r="FE9" s="281"/>
      <c r="FF9" s="283">
        <v>2.4E-2</v>
      </c>
      <c r="FG9" s="281"/>
      <c r="FH9" s="283">
        <v>2.4E-2</v>
      </c>
      <c r="FI9" s="281"/>
      <c r="FJ9" s="283">
        <v>2.4E-2</v>
      </c>
      <c r="FK9" s="281"/>
      <c r="FL9" s="283">
        <v>2.4E-2</v>
      </c>
      <c r="FM9" s="281"/>
      <c r="FN9" s="283">
        <v>2.4E-2</v>
      </c>
      <c r="FO9" s="281"/>
      <c r="FP9" s="283">
        <v>2.4E-2</v>
      </c>
      <c r="FQ9" s="281"/>
      <c r="FR9" s="388" t="s">
        <v>29</v>
      </c>
      <c r="FS9" s="388" t="s">
        <v>29</v>
      </c>
      <c r="FT9" s="388" t="s">
        <v>29</v>
      </c>
      <c r="FU9" s="388" t="s">
        <v>29</v>
      </c>
      <c r="FV9" s="388"/>
      <c r="FW9" s="388"/>
      <c r="FX9" s="388"/>
      <c r="FY9" s="388" t="s">
        <v>29</v>
      </c>
      <c r="FZ9" s="388" t="s">
        <v>29</v>
      </c>
      <c r="GA9" s="388" t="s">
        <v>29</v>
      </c>
      <c r="GB9" s="388" t="s">
        <v>29</v>
      </c>
      <c r="GC9" s="388" t="s">
        <v>29</v>
      </c>
      <c r="GD9" s="388"/>
      <c r="GE9" s="388"/>
      <c r="GF9" s="285"/>
      <c r="GG9" s="285"/>
    </row>
    <row r="10" spans="1:189" ht="4.5" customHeight="1" x14ac:dyDescent="0.3">
      <c r="A10" s="1"/>
      <c r="B10" s="301"/>
      <c r="C10" s="301"/>
      <c r="D10" s="301"/>
      <c r="E10" s="301"/>
      <c r="F10" s="301"/>
      <c r="G10" s="5"/>
      <c r="H10" s="5"/>
      <c r="I10" s="348"/>
      <c r="J10" s="281"/>
      <c r="K10" s="282"/>
      <c r="L10" s="281"/>
      <c r="M10" s="282"/>
      <c r="N10" s="281"/>
      <c r="O10" s="282"/>
      <c r="P10" s="281"/>
      <c r="Q10" s="348"/>
      <c r="R10" s="281"/>
      <c r="S10" s="282"/>
      <c r="T10" s="281"/>
      <c r="U10" s="348"/>
      <c r="V10" s="281"/>
      <c r="W10" s="282"/>
      <c r="X10" s="281"/>
      <c r="Y10" s="348"/>
      <c r="Z10" s="281"/>
      <c r="AA10" s="348"/>
      <c r="AB10" s="281"/>
      <c r="AC10" s="282"/>
      <c r="AD10" s="281"/>
      <c r="AE10" s="348"/>
      <c r="AF10" s="281"/>
      <c r="AG10" s="348"/>
      <c r="AH10" s="281"/>
      <c r="AI10" s="348"/>
      <c r="AJ10" s="281"/>
      <c r="AK10" s="348"/>
      <c r="AL10" s="281"/>
      <c r="AM10" s="348"/>
      <c r="AN10" s="281"/>
      <c r="AO10" s="282"/>
      <c r="AP10" s="281"/>
      <c r="AQ10" s="348"/>
      <c r="AR10" s="281"/>
      <c r="AS10" s="348"/>
      <c r="AT10" s="281"/>
      <c r="AU10" s="348"/>
      <c r="AV10" s="281"/>
      <c r="AW10" s="282"/>
      <c r="AX10" s="281"/>
      <c r="AY10" s="348"/>
      <c r="AZ10" s="281"/>
      <c r="BA10" s="348"/>
      <c r="BB10" s="281"/>
      <c r="BC10" s="348"/>
      <c r="BD10" s="281"/>
      <c r="BE10" s="351"/>
      <c r="BF10" s="281"/>
      <c r="BG10" s="351"/>
      <c r="BH10" s="281"/>
      <c r="BI10" s="351"/>
      <c r="BJ10" s="281"/>
      <c r="BK10" s="351"/>
      <c r="BL10" s="281"/>
      <c r="BM10" s="351"/>
      <c r="BN10" s="281"/>
      <c r="BO10" s="351"/>
      <c r="BP10" s="281"/>
      <c r="BQ10" s="351"/>
      <c r="BR10" s="281"/>
      <c r="BS10" s="351"/>
      <c r="BT10" s="281"/>
      <c r="BU10" s="351"/>
      <c r="BV10" s="281"/>
      <c r="BW10" s="351"/>
      <c r="BX10" s="281"/>
      <c r="BY10" s="351"/>
      <c r="BZ10" s="281"/>
      <c r="CA10" s="351"/>
      <c r="CB10" s="281"/>
      <c r="CC10" s="351"/>
      <c r="CD10" s="281"/>
      <c r="CE10" s="351"/>
      <c r="CF10" s="281"/>
      <c r="CG10" s="351"/>
      <c r="CH10" s="281"/>
      <c r="CI10" s="351"/>
      <c r="CJ10" s="281"/>
      <c r="CK10" s="351"/>
      <c r="CL10" s="281"/>
      <c r="CM10" s="351"/>
      <c r="CN10" s="281"/>
      <c r="CO10" s="351"/>
      <c r="CP10" s="281"/>
      <c r="CQ10" s="351"/>
      <c r="CR10" s="281"/>
      <c r="CS10" s="351"/>
      <c r="CT10" s="281"/>
      <c r="CU10" s="351"/>
      <c r="CV10" s="281"/>
      <c r="CW10" s="351"/>
      <c r="CX10" s="281"/>
      <c r="CY10" s="351"/>
      <c r="CZ10" s="281"/>
      <c r="DA10" s="351"/>
      <c r="DB10" s="281"/>
      <c r="DC10" s="351"/>
      <c r="DD10" s="281"/>
      <c r="DE10" s="351"/>
      <c r="DF10" s="281"/>
      <c r="DG10" s="351"/>
      <c r="DH10" s="281"/>
      <c r="DI10" s="351"/>
      <c r="DJ10" s="281"/>
      <c r="DK10" s="351"/>
      <c r="DL10" s="281"/>
      <c r="DM10" s="351"/>
      <c r="DN10" s="281"/>
      <c r="DO10" s="351"/>
      <c r="DP10" s="281"/>
      <c r="DQ10" s="351"/>
      <c r="DR10" s="281"/>
      <c r="DS10" s="351"/>
      <c r="DT10" s="281"/>
      <c r="DU10" s="301"/>
      <c r="DV10" s="301"/>
      <c r="DW10" s="301"/>
      <c r="DX10" s="301"/>
      <c r="DY10" s="301"/>
      <c r="DZ10" s="301"/>
      <c r="EA10" s="301"/>
      <c r="EB10" s="301"/>
      <c r="EC10" s="301"/>
      <c r="ED10" s="301"/>
      <c r="EE10" s="301"/>
      <c r="EF10" s="301"/>
      <c r="EG10" s="301"/>
      <c r="EH10" s="301"/>
      <c r="EI10" s="301"/>
      <c r="EJ10" s="301"/>
      <c r="EK10" s="301"/>
      <c r="EL10" s="301"/>
      <c r="EM10" s="301"/>
      <c r="EN10" s="351"/>
      <c r="EO10" s="281"/>
      <c r="EP10" s="351"/>
      <c r="EQ10" s="281"/>
      <c r="ER10" s="351"/>
      <c r="ES10" s="281"/>
      <c r="ET10" s="351"/>
      <c r="EU10" s="281"/>
      <c r="EV10" s="351"/>
      <c r="EW10" s="281"/>
      <c r="EX10" s="351"/>
      <c r="EY10" s="281"/>
      <c r="EZ10" s="351"/>
      <c r="FA10" s="281"/>
      <c r="FB10" s="351"/>
      <c r="FC10" s="281"/>
      <c r="FD10" s="351"/>
      <c r="FE10" s="281"/>
      <c r="FF10" s="351"/>
      <c r="FG10" s="281"/>
      <c r="FH10" s="351"/>
      <c r="FI10" s="281"/>
      <c r="FJ10" s="351"/>
      <c r="FK10" s="281"/>
      <c r="FL10" s="351"/>
      <c r="FM10" s="281"/>
      <c r="FN10" s="351"/>
      <c r="FO10" s="281"/>
      <c r="FP10" s="351"/>
      <c r="FQ10" s="281"/>
      <c r="FR10" s="301"/>
      <c r="FS10" s="301"/>
      <c r="FT10" s="301"/>
      <c r="FU10" s="301"/>
      <c r="FV10" s="301"/>
      <c r="FW10" s="301"/>
      <c r="FX10" s="301"/>
      <c r="FY10" s="301"/>
      <c r="FZ10" s="301"/>
      <c r="GA10" s="301"/>
      <c r="GB10" s="301"/>
      <c r="GC10" s="301"/>
      <c r="GD10" s="301"/>
      <c r="GE10" s="301"/>
      <c r="GF10" s="286"/>
      <c r="GG10" s="286"/>
    </row>
    <row r="11" spans="1:189" ht="15" customHeight="1" x14ac:dyDescent="0.3">
      <c r="A11" s="1"/>
      <c r="B11" s="301"/>
      <c r="C11" s="301"/>
      <c r="D11" s="301"/>
      <c r="E11" s="301"/>
      <c r="F11" s="301"/>
      <c r="G11" s="5" t="s">
        <v>30</v>
      </c>
      <c r="H11" s="5"/>
      <c r="I11" s="283">
        <f>I12/I2</f>
        <v>4.1335354727529514E-2</v>
      </c>
      <c r="J11" s="281"/>
      <c r="K11" s="283">
        <f>K12/K2</f>
        <v>7.1410365578324253E-2</v>
      </c>
      <c r="L11" s="281"/>
      <c r="M11" s="283">
        <f>M12/M2</f>
        <v>7.1310766632144779E-2</v>
      </c>
      <c r="N11" s="281"/>
      <c r="O11" s="283">
        <f>O12/O2</f>
        <v>5.0286341228522109E-2</v>
      </c>
      <c r="P11" s="281"/>
      <c r="Q11" s="283">
        <f>Q12/Q2</f>
        <v>3.8083604732439935E-2</v>
      </c>
      <c r="R11" s="281"/>
      <c r="S11" s="283">
        <f>S12/S2</f>
        <v>4.6153621232317976E-2</v>
      </c>
      <c r="T11" s="281"/>
      <c r="U11" s="283">
        <f>U12/U2</f>
        <v>4.1353142674053538E-2</v>
      </c>
      <c r="V11" s="281"/>
      <c r="W11" s="283">
        <f>W12/W2</f>
        <v>4.5820557563832624E-2</v>
      </c>
      <c r="X11" s="281"/>
      <c r="Y11" s="283">
        <f>Y12/Y2</f>
        <v>3.6781283741065506E-2</v>
      </c>
      <c r="Z11" s="281"/>
      <c r="AA11" s="283">
        <f>AA12/AA2</f>
        <v>3.8540244536363698E-2</v>
      </c>
      <c r="AB11" s="281"/>
      <c r="AC11" s="283">
        <f>AC12/AC2</f>
        <v>4.4732346575628829E-2</v>
      </c>
      <c r="AD11" s="281"/>
      <c r="AE11" s="283">
        <f>AE12/AE2</f>
        <v>2.7269119989306322E-2</v>
      </c>
      <c r="AF11" s="281"/>
      <c r="AG11" s="283">
        <f>AG12/AG2</f>
        <v>3.5863468889556036E-2</v>
      </c>
      <c r="AH11" s="281"/>
      <c r="AI11" s="283">
        <f>AI12/AI2</f>
        <v>2.618255092142387E-2</v>
      </c>
      <c r="AJ11" s="281"/>
      <c r="AK11" s="283">
        <f>AK12/AK2</f>
        <v>1.9581107153458E-2</v>
      </c>
      <c r="AL11" s="281"/>
      <c r="AM11" s="283">
        <f>AM12/AM2</f>
        <v>2.2531300223057483E-2</v>
      </c>
      <c r="AN11" s="281"/>
      <c r="AO11" s="283">
        <f>AO12/AO2</f>
        <v>2.4814732665588476E-2</v>
      </c>
      <c r="AP11" s="281"/>
      <c r="AQ11" s="283">
        <f>AQ12/AQ2</f>
        <v>2.3046705582001597E-2</v>
      </c>
      <c r="AR11" s="281"/>
      <c r="AS11" s="283">
        <f>AS12/AS2</f>
        <v>2.3890310556630729E-2</v>
      </c>
      <c r="AT11" s="281"/>
      <c r="AU11" s="283">
        <f>AU12/AU2</f>
        <v>2.1379976299648943E-2</v>
      </c>
      <c r="AV11" s="281"/>
      <c r="AW11" s="283">
        <f>AW12/AW2</f>
        <v>3.3549198218792098E-2</v>
      </c>
      <c r="AX11" s="281"/>
      <c r="AY11" s="283">
        <f>AY12/AY2</f>
        <v>2.1549406763680869E-2</v>
      </c>
      <c r="AZ11" s="281"/>
      <c r="BA11" s="283">
        <f>BA12/BA2</f>
        <v>2.2783903322260865E-2</v>
      </c>
      <c r="BB11" s="281"/>
      <c r="BC11" s="283">
        <f>BC12/BC2</f>
        <v>1.8216930366062572E-2</v>
      </c>
      <c r="BD11" s="281"/>
      <c r="BE11" s="336">
        <f>BE12/BE2</f>
        <v>2.8671169982963492E-2</v>
      </c>
      <c r="BF11" s="281"/>
      <c r="BG11" s="336">
        <f>BG12/BG2</f>
        <v>4.0514559254902986E-2</v>
      </c>
      <c r="BH11" s="281"/>
      <c r="BI11" s="336">
        <f>BI12/BI2</f>
        <v>3.8520837552213603E-2</v>
      </c>
      <c r="BJ11" s="281"/>
      <c r="BK11" s="336">
        <f>BK12/BK2</f>
        <v>4.0588642750029928E-2</v>
      </c>
      <c r="BL11" s="281"/>
      <c r="BM11" s="336">
        <f>BM12/BM2</f>
        <v>4.2639970950606017E-2</v>
      </c>
      <c r="BN11" s="281"/>
      <c r="BO11" s="336">
        <f>BO12/BO2</f>
        <v>4.2621116064781236E-2</v>
      </c>
      <c r="BP11" s="281"/>
      <c r="BQ11" s="336">
        <f>BQ12/BQ2</f>
        <v>4.8532221262445378E-2</v>
      </c>
      <c r="BR11" s="281"/>
      <c r="BS11" s="336">
        <f>BS12/BS2</f>
        <v>4.1308638752555499E-2</v>
      </c>
      <c r="BT11" s="281"/>
      <c r="BU11" s="336">
        <f>BU12/BU2</f>
        <v>4.1209957186757941E-2</v>
      </c>
      <c r="BV11" s="281"/>
      <c r="BW11" s="336">
        <f>BW12/BW2</f>
        <v>6.3704857163002018E-2</v>
      </c>
      <c r="BX11" s="281"/>
      <c r="BY11" s="336">
        <f>BY12/BY2</f>
        <v>5.7594168907665902E-2</v>
      </c>
      <c r="BZ11" s="281"/>
      <c r="CA11" s="336">
        <f>CA12/CA2</f>
        <v>4.6030578984810021E-2</v>
      </c>
      <c r="CB11" s="281"/>
      <c r="CC11" s="336">
        <f>CC12/CC2</f>
        <v>4.8687520670611169E-2</v>
      </c>
      <c r="CD11" s="281"/>
      <c r="CE11" s="336">
        <f>CE12/CE2</f>
        <v>4.0809675572096124E-2</v>
      </c>
      <c r="CF11" s="281"/>
      <c r="CG11" s="336">
        <f>CG12/CG2</f>
        <v>5.0148958814696339E-2</v>
      </c>
      <c r="CH11" s="281"/>
      <c r="CI11" s="336">
        <f>CI12/CI2</f>
        <v>4.9118718867597048E-2</v>
      </c>
      <c r="CJ11" s="281"/>
      <c r="CK11" s="336">
        <f>CK12/CK2</f>
        <v>7.4027127731476447E-2</v>
      </c>
      <c r="CL11" s="281"/>
      <c r="CM11" s="336">
        <f>CM12/CM2</f>
        <v>4.3136993404926993E-2</v>
      </c>
      <c r="CN11" s="281"/>
      <c r="CO11" s="336">
        <f>CO12/CO2</f>
        <v>4.8833346908262278E-2</v>
      </c>
      <c r="CP11" s="281"/>
      <c r="CQ11" s="336">
        <f>CQ12/CQ2</f>
        <v>6.4329663722938732E-2</v>
      </c>
      <c r="CR11" s="281"/>
      <c r="CS11" s="336">
        <f>CS12/CS2</f>
        <v>5.7296279715463735E-2</v>
      </c>
      <c r="CT11" s="281"/>
      <c r="CU11" s="336">
        <f>CU12/CU2</f>
        <v>6.4564213123352421E-2</v>
      </c>
      <c r="CV11" s="281"/>
      <c r="CW11" s="336">
        <f>CW12/CW2</f>
        <v>5.2273919643765369E-2</v>
      </c>
      <c r="CX11" s="281"/>
      <c r="CY11" s="336">
        <f>CY12/CY2</f>
        <v>5.8112025433309698E-2</v>
      </c>
      <c r="CZ11" s="281"/>
      <c r="DA11" s="336">
        <f>DA12/DA2</f>
        <v>6.6072714769676286E-2</v>
      </c>
      <c r="DB11" s="281"/>
      <c r="DC11" s="336">
        <f>DC12/DC2</f>
        <v>8.0437101764854649E-2</v>
      </c>
      <c r="DD11" s="281"/>
      <c r="DE11" s="336">
        <f>DE12/DE2</f>
        <v>8.5841086894736074E-2</v>
      </c>
      <c r="DF11" s="281"/>
      <c r="DG11" s="336">
        <f>DG12/DG2</f>
        <v>7.4496197690288979E-2</v>
      </c>
      <c r="DH11" s="281"/>
      <c r="DI11" s="336">
        <f>DI12/DI2</f>
        <v>6.4716515182949227E-2</v>
      </c>
      <c r="DJ11" s="281"/>
      <c r="DK11" s="336">
        <f>DK12/DK2</f>
        <v>6.9879506331449792E-2</v>
      </c>
      <c r="DL11" s="281"/>
      <c r="DM11" s="336">
        <f>DM12/DM2</f>
        <v>7.4420794789023983E-2</v>
      </c>
      <c r="DN11" s="281"/>
      <c r="DO11" s="336">
        <f>DO12/DO2</f>
        <v>6.4886013263969589E-2</v>
      </c>
      <c r="DP11" s="281"/>
      <c r="DQ11" s="336">
        <f>DQ12/DQ2</f>
        <v>7.7050470119681302E-2</v>
      </c>
      <c r="DR11" s="281"/>
      <c r="DS11" s="336">
        <f>DS12/DS2</f>
        <v>5.6882994497621298E-2</v>
      </c>
      <c r="DT11" s="281"/>
      <c r="DU11" s="301"/>
      <c r="DV11" s="301"/>
      <c r="DW11" s="301"/>
      <c r="DX11" s="301"/>
      <c r="DY11" s="301"/>
      <c r="DZ11" s="301"/>
      <c r="EA11" s="301"/>
      <c r="EB11" s="301"/>
      <c r="EC11" s="301"/>
      <c r="ED11" s="301"/>
      <c r="EE11" s="301"/>
      <c r="EF11" s="301"/>
      <c r="EG11" s="301"/>
      <c r="EH11" s="301"/>
      <c r="EI11" s="301"/>
      <c r="EJ11" s="301"/>
      <c r="EK11" s="301"/>
      <c r="EL11" s="301"/>
      <c r="EM11" s="301"/>
      <c r="EN11" s="336">
        <f>EN12/EN2</f>
        <v>6.6881220544590364E-2</v>
      </c>
      <c r="EO11" s="281"/>
      <c r="EP11" s="336">
        <f>EP12/EP2</f>
        <v>6.7607559941375753E-2</v>
      </c>
      <c r="EQ11" s="281"/>
      <c r="ER11" s="336">
        <f>ER12/ER2</f>
        <v>8.8515917538458541E-2</v>
      </c>
      <c r="ES11" s="281"/>
      <c r="ET11" s="336">
        <f>ET12/ET2</f>
        <v>0.1936062759615382</v>
      </c>
      <c r="EU11" s="281"/>
      <c r="EV11" s="336">
        <f>EV12/EV2</f>
        <v>0.12347778959107791</v>
      </c>
      <c r="EW11" s="281"/>
      <c r="EX11" s="336">
        <f>EX12/EX2</f>
        <v>5.6778160696517428E-2</v>
      </c>
      <c r="EY11" s="281"/>
      <c r="EZ11" s="336">
        <f>EZ12/EZ2</f>
        <v>8.2696718948378253E-2</v>
      </c>
      <c r="FA11" s="281"/>
      <c r="FB11" s="336">
        <f>FB12/FB2</f>
        <v>0.12347929188045685</v>
      </c>
      <c r="FC11" s="281"/>
      <c r="FD11" s="336">
        <f>FD12/FD2</f>
        <v>9.1332627035042524E-2</v>
      </c>
      <c r="FE11" s="281"/>
      <c r="FF11" s="336">
        <f>FF12/FF2</f>
        <v>0.10204705850515947</v>
      </c>
      <c r="FG11" s="281"/>
      <c r="FH11" s="336">
        <f>FH12/FH2</f>
        <v>0.10576159129041568</v>
      </c>
      <c r="FI11" s="281"/>
      <c r="FJ11" s="336">
        <f>FJ12/FJ2</f>
        <v>7.1202268691795037E-2</v>
      </c>
      <c r="FK11" s="281"/>
      <c r="FL11" s="336">
        <f>FL12/FL2</f>
        <v>7.2551092083333338E-2</v>
      </c>
      <c r="FM11" s="281"/>
      <c r="FN11" s="336">
        <f>FN12/FN2</f>
        <v>0.10105777793902393</v>
      </c>
      <c r="FO11" s="281"/>
      <c r="FP11" s="336">
        <f>FP12/FP2</f>
        <v>5.6868132410271929E-2</v>
      </c>
      <c r="FQ11" s="281"/>
      <c r="FR11" s="301"/>
      <c r="FS11" s="301"/>
      <c r="FT11" s="301"/>
      <c r="FU11" s="301"/>
      <c r="FV11" s="301"/>
      <c r="FW11" s="301"/>
      <c r="FX11" s="301"/>
      <c r="FY11" s="301"/>
      <c r="FZ11" s="301"/>
      <c r="GA11" s="301"/>
      <c r="GB11" s="301"/>
      <c r="GC11" s="301"/>
      <c r="GD11" s="301"/>
      <c r="GE11" s="301"/>
      <c r="GF11" s="286"/>
      <c r="GG11" s="286"/>
    </row>
    <row r="12" spans="1:189" ht="15" customHeight="1" x14ac:dyDescent="0.3">
      <c r="A12" s="1"/>
      <c r="B12" s="301"/>
      <c r="C12" s="301"/>
      <c r="D12" s="301"/>
      <c r="E12" s="301"/>
      <c r="F12" s="301"/>
      <c r="G12" s="5" t="s">
        <v>31</v>
      </c>
      <c r="H12" s="5"/>
      <c r="I12" s="22">
        <f t="shared" ref="I12:CZ12" si="1">SUM(I13:I14)</f>
        <v>10898855.469999999</v>
      </c>
      <c r="J12" s="23">
        <f t="shared" si="1"/>
        <v>10596</v>
      </c>
      <c r="K12" s="22">
        <f t="shared" si="1"/>
        <v>1342657.8199999998</v>
      </c>
      <c r="L12" s="23">
        <f t="shared" si="1"/>
        <v>1208</v>
      </c>
      <c r="M12" s="22">
        <f t="shared" si="1"/>
        <v>1120298.3299999998</v>
      </c>
      <c r="N12" s="23">
        <f t="shared" si="1"/>
        <v>886</v>
      </c>
      <c r="O12" s="22">
        <f t="shared" si="1"/>
        <v>907917.98</v>
      </c>
      <c r="P12" s="23">
        <f t="shared" si="1"/>
        <v>912</v>
      </c>
      <c r="Q12" s="22">
        <f t="shared" si="1"/>
        <v>717121.97</v>
      </c>
      <c r="R12" s="23">
        <f t="shared" si="1"/>
        <v>715</v>
      </c>
      <c r="S12" s="22">
        <f t="shared" si="1"/>
        <v>911240.39</v>
      </c>
      <c r="T12" s="23">
        <f t="shared" si="1"/>
        <v>733</v>
      </c>
      <c r="U12" s="22">
        <f t="shared" si="1"/>
        <v>990700.62999999989</v>
      </c>
      <c r="V12" s="23">
        <f t="shared" si="1"/>
        <v>778</v>
      </c>
      <c r="W12" s="22">
        <f t="shared" si="1"/>
        <v>1060785.1299999999</v>
      </c>
      <c r="X12" s="23">
        <f t="shared" si="1"/>
        <v>959</v>
      </c>
      <c r="Y12" s="22">
        <f t="shared" si="1"/>
        <v>920593.15999999992</v>
      </c>
      <c r="Z12" s="23">
        <f t="shared" si="1"/>
        <v>932</v>
      </c>
      <c r="AA12" s="22">
        <f t="shared" si="1"/>
        <v>1033907</v>
      </c>
      <c r="AB12" s="23">
        <f t="shared" si="1"/>
        <v>1198</v>
      </c>
      <c r="AC12" s="22">
        <f t="shared" si="1"/>
        <v>1116776</v>
      </c>
      <c r="AD12" s="23">
        <f t="shared" si="1"/>
        <v>1235</v>
      </c>
      <c r="AE12" s="22">
        <f t="shared" si="1"/>
        <v>789895</v>
      </c>
      <c r="AF12" s="23">
        <f t="shared" si="1"/>
        <v>853</v>
      </c>
      <c r="AG12" s="22">
        <f t="shared" si="1"/>
        <v>704084.02999999991</v>
      </c>
      <c r="AH12" s="23">
        <f t="shared" si="1"/>
        <v>902</v>
      </c>
      <c r="AI12" s="22">
        <f t="shared" si="1"/>
        <v>524058</v>
      </c>
      <c r="AJ12" s="23">
        <f t="shared" si="1"/>
        <v>514</v>
      </c>
      <c r="AK12" s="22">
        <f t="shared" si="1"/>
        <v>379980</v>
      </c>
      <c r="AL12" s="23">
        <f t="shared" si="1"/>
        <v>417</v>
      </c>
      <c r="AM12" s="22">
        <f t="shared" si="1"/>
        <v>385691</v>
      </c>
      <c r="AN12" s="23">
        <f t="shared" si="1"/>
        <v>505</v>
      </c>
      <c r="AO12" s="22">
        <f t="shared" si="1"/>
        <v>448964</v>
      </c>
      <c r="AP12" s="23">
        <f t="shared" si="1"/>
        <v>422</v>
      </c>
      <c r="AQ12" s="22">
        <f t="shared" si="1"/>
        <v>420485</v>
      </c>
      <c r="AR12" s="23">
        <f t="shared" si="1"/>
        <v>347</v>
      </c>
      <c r="AS12" s="22">
        <f t="shared" si="1"/>
        <v>389788</v>
      </c>
      <c r="AT12" s="23">
        <f t="shared" si="1"/>
        <v>348</v>
      </c>
      <c r="AU12" s="22">
        <f t="shared" si="1"/>
        <v>428802</v>
      </c>
      <c r="AV12" s="23">
        <f t="shared" si="1"/>
        <v>497</v>
      </c>
      <c r="AW12" s="22">
        <f t="shared" si="1"/>
        <v>722785</v>
      </c>
      <c r="AX12" s="23">
        <f t="shared" si="1"/>
        <v>568</v>
      </c>
      <c r="AY12" s="22">
        <f t="shared" si="1"/>
        <v>488321</v>
      </c>
      <c r="AZ12" s="23">
        <f t="shared" si="1"/>
        <v>329</v>
      </c>
      <c r="BA12" s="22">
        <f t="shared" si="1"/>
        <v>529798</v>
      </c>
      <c r="BB12" s="23">
        <f t="shared" si="1"/>
        <v>386</v>
      </c>
      <c r="BC12" s="22">
        <f t="shared" si="1"/>
        <v>572514</v>
      </c>
      <c r="BD12" s="23">
        <f t="shared" si="1"/>
        <v>402</v>
      </c>
      <c r="BE12" s="22">
        <f t="shared" si="1"/>
        <v>759218</v>
      </c>
      <c r="BF12" s="23">
        <f t="shared" si="1"/>
        <v>541</v>
      </c>
      <c r="BG12" s="22">
        <f t="shared" si="1"/>
        <v>825210.55</v>
      </c>
      <c r="BH12" s="23">
        <f t="shared" si="1"/>
        <v>563</v>
      </c>
      <c r="BI12" s="22">
        <f t="shared" si="1"/>
        <v>812812.13</v>
      </c>
      <c r="BJ12" s="23">
        <f t="shared" si="1"/>
        <v>566</v>
      </c>
      <c r="BK12" s="22">
        <f t="shared" si="1"/>
        <v>963275.2</v>
      </c>
      <c r="BL12" s="23">
        <f t="shared" si="1"/>
        <v>624</v>
      </c>
      <c r="BM12" s="22">
        <f t="shared" si="1"/>
        <v>953981</v>
      </c>
      <c r="BN12" s="23">
        <f t="shared" si="1"/>
        <v>622</v>
      </c>
      <c r="BO12" s="22">
        <f t="shared" si="1"/>
        <v>983804</v>
      </c>
      <c r="BP12" s="23">
        <f t="shared" si="1"/>
        <v>661</v>
      </c>
      <c r="BQ12" s="22">
        <f t="shared" si="1"/>
        <v>1049416.2</v>
      </c>
      <c r="BR12" s="23">
        <f t="shared" si="1"/>
        <v>733</v>
      </c>
      <c r="BS12" s="22">
        <f t="shared" si="1"/>
        <v>944720.1</v>
      </c>
      <c r="BT12" s="23">
        <f t="shared" si="1"/>
        <v>717</v>
      </c>
      <c r="BU12" s="22">
        <f t="shared" si="1"/>
        <v>1066719</v>
      </c>
      <c r="BV12" s="23">
        <f t="shared" si="1"/>
        <v>790</v>
      </c>
      <c r="BW12" s="22">
        <f t="shared" si="1"/>
        <v>1545930.037</v>
      </c>
      <c r="BX12" s="23">
        <f t="shared" si="1"/>
        <v>1071</v>
      </c>
      <c r="BY12" s="22">
        <f t="shared" si="1"/>
        <v>1355815</v>
      </c>
      <c r="BZ12" s="23">
        <f t="shared" si="1"/>
        <v>1119</v>
      </c>
      <c r="CA12" s="22">
        <f t="shared" si="1"/>
        <v>1273849</v>
      </c>
      <c r="CB12" s="23">
        <f t="shared" si="1"/>
        <v>981</v>
      </c>
      <c r="CC12" s="22">
        <f t="shared" si="1"/>
        <v>1485373</v>
      </c>
      <c r="CD12" s="23">
        <f t="shared" si="1"/>
        <v>1089</v>
      </c>
      <c r="CE12" s="22">
        <f t="shared" si="1"/>
        <v>1090063</v>
      </c>
      <c r="CF12" s="23">
        <f t="shared" si="1"/>
        <v>765</v>
      </c>
      <c r="CG12" s="22">
        <f t="shared" si="1"/>
        <v>1412740</v>
      </c>
      <c r="CH12" s="23">
        <f t="shared" si="1"/>
        <v>1053</v>
      </c>
      <c r="CI12" s="22">
        <f t="shared" si="1"/>
        <v>1694607</v>
      </c>
      <c r="CJ12" s="23">
        <f t="shared" si="1"/>
        <v>1337</v>
      </c>
      <c r="CK12" s="22">
        <f t="shared" si="1"/>
        <v>2292953.4900000002</v>
      </c>
      <c r="CL12" s="23">
        <f t="shared" si="1"/>
        <v>2092</v>
      </c>
      <c r="CM12" s="22">
        <f t="shared" si="1"/>
        <v>1322410.56</v>
      </c>
      <c r="CN12" s="23">
        <f t="shared" si="1"/>
        <v>1113</v>
      </c>
      <c r="CO12" s="22">
        <f t="shared" si="1"/>
        <v>1263858</v>
      </c>
      <c r="CP12" s="23">
        <f t="shared" si="1"/>
        <v>988</v>
      </c>
      <c r="CQ12" s="22">
        <f t="shared" si="1"/>
        <v>1573112</v>
      </c>
      <c r="CR12" s="23">
        <f t="shared" si="1"/>
        <v>1103</v>
      </c>
      <c r="CS12" s="22">
        <f t="shared" si="1"/>
        <v>1886231</v>
      </c>
      <c r="CT12" s="23">
        <f t="shared" si="1"/>
        <v>1456</v>
      </c>
      <c r="CU12" s="22">
        <f t="shared" si="1"/>
        <v>2016702</v>
      </c>
      <c r="CV12" s="23">
        <f t="shared" si="1"/>
        <v>1672</v>
      </c>
      <c r="CW12" s="22">
        <f t="shared" si="1"/>
        <v>1603858</v>
      </c>
      <c r="CX12" s="23">
        <f t="shared" si="1"/>
        <v>1445</v>
      </c>
      <c r="CY12" s="22">
        <f t="shared" si="1"/>
        <v>2154147</v>
      </c>
      <c r="CZ12" s="23">
        <f t="shared" si="1"/>
        <v>1874</v>
      </c>
      <c r="DA12" s="22">
        <f t="shared" ref="DA12:DB12" si="2">SUM(DA13:DA14)</f>
        <v>2312317</v>
      </c>
      <c r="DB12" s="23">
        <f t="shared" si="2"/>
        <v>1973</v>
      </c>
      <c r="DC12" s="22">
        <f>SUM(DC13:DC14)</f>
        <v>2489767.600000002</v>
      </c>
      <c r="DD12" s="23">
        <f t="shared" ref="DD12:DF12" si="3">SUM(DD13:DD14)</f>
        <v>2140</v>
      </c>
      <c r="DE12" s="22">
        <f>SUM(DE13:DE14)</f>
        <v>2318379.2500000005</v>
      </c>
      <c r="DF12" s="23">
        <f t="shared" si="3"/>
        <v>1974</v>
      </c>
      <c r="DG12" s="22">
        <f>SUM(DG13:DG14)</f>
        <v>2573485.080000001</v>
      </c>
      <c r="DH12" s="23">
        <f t="shared" ref="DH12:DJ12" si="4">SUM(DH13:DH14)</f>
        <v>1921</v>
      </c>
      <c r="DI12" s="22">
        <f>SUM(DI13:DI14)</f>
        <v>2052873.2899999996</v>
      </c>
      <c r="DJ12" s="23">
        <f t="shared" si="4"/>
        <v>1555</v>
      </c>
      <c r="DK12" s="22">
        <f>SUM(DK13:DK14)</f>
        <v>2454592.9899999993</v>
      </c>
      <c r="DL12" s="23">
        <f t="shared" ref="DL12:DN12" si="5">SUM(DL13:DL14)</f>
        <v>1946</v>
      </c>
      <c r="DM12" s="22">
        <f>SUM(DM13:DM14)</f>
        <v>2517116.8299999982</v>
      </c>
      <c r="DN12" s="23">
        <f t="shared" si="5"/>
        <v>2096</v>
      </c>
      <c r="DO12" s="22">
        <f t="shared" ref="DO12:DT12" si="6">SUM(DO13:DO14)</f>
        <v>2251761.1199999931</v>
      </c>
      <c r="DP12" s="23">
        <f t="shared" si="6"/>
        <v>1899</v>
      </c>
      <c r="DQ12" s="22">
        <f t="shared" si="6"/>
        <v>2725925.2799999975</v>
      </c>
      <c r="DR12" s="23">
        <f t="shared" si="6"/>
        <v>1892</v>
      </c>
      <c r="DS12" s="22">
        <f t="shared" si="6"/>
        <v>1725621.5200000019</v>
      </c>
      <c r="DT12" s="23">
        <f t="shared" si="6"/>
        <v>1381</v>
      </c>
      <c r="DU12" s="301"/>
      <c r="DV12" s="301"/>
      <c r="DW12" s="301"/>
      <c r="DX12" s="301"/>
      <c r="DY12" s="301"/>
      <c r="DZ12" s="301"/>
      <c r="EA12" s="301"/>
      <c r="EB12" s="301"/>
      <c r="EC12" s="301"/>
      <c r="ED12" s="301"/>
      <c r="EE12" s="301"/>
      <c r="EF12" s="301"/>
      <c r="EG12" s="301"/>
      <c r="EH12" s="301"/>
      <c r="EI12" s="301"/>
      <c r="EJ12" s="301"/>
      <c r="EK12" s="301"/>
      <c r="EL12" s="301"/>
      <c r="EM12" s="301"/>
      <c r="EN12" s="22">
        <f>SUM(EN13:EN14)</f>
        <v>2177057.9000000004</v>
      </c>
      <c r="EO12" s="23">
        <f t="shared" ref="EO12:EQ12" si="7">SUM(EO13:EO14)</f>
        <v>1917</v>
      </c>
      <c r="EP12" s="22">
        <f>SUM(EP13:EP14)</f>
        <v>2641856.5579541</v>
      </c>
      <c r="EQ12" s="23">
        <f t="shared" si="7"/>
        <v>1992</v>
      </c>
      <c r="ER12" s="22">
        <f>SUM(ER13:ER14)</f>
        <v>3075689.2299999981</v>
      </c>
      <c r="ES12" s="23">
        <f t="shared" ref="ES12:EU12" si="8">SUM(ES13:ES14)</f>
        <v>2250</v>
      </c>
      <c r="ET12" s="22">
        <f>SUM(ET13:ET14)</f>
        <v>4027010.5399999944</v>
      </c>
      <c r="EU12" s="23">
        <f t="shared" si="8"/>
        <v>2103</v>
      </c>
      <c r="EV12" s="22">
        <f>SUM(EV13:EV14)</f>
        <v>3321552.5399999958</v>
      </c>
      <c r="EW12" s="23">
        <f t="shared" ref="EW12:EY12" si="9">SUM(EW13:EW14)</f>
        <v>1989</v>
      </c>
      <c r="EX12" s="22">
        <f>SUM(EX13:EX14)</f>
        <v>2282482.0600000005</v>
      </c>
      <c r="EY12" s="23">
        <f t="shared" si="9"/>
        <v>1479</v>
      </c>
      <c r="EZ12" s="22">
        <f>SUM(EZ13:EZ14)</f>
        <v>3142957.6899999995</v>
      </c>
      <c r="FA12" s="23">
        <f t="shared" ref="FA12:FC12" si="10">SUM(FA13:FA14)</f>
        <v>1892</v>
      </c>
      <c r="FB12" s="22">
        <f>SUM(FB13:FB14)</f>
        <v>4709430.5500000035</v>
      </c>
      <c r="FC12" s="23">
        <f t="shared" si="10"/>
        <v>3234</v>
      </c>
      <c r="FD12" s="22">
        <f>SUM(FD13:FD14)</f>
        <v>3518140.100000001</v>
      </c>
      <c r="FE12" s="23">
        <f t="shared" ref="FE12:FG12" si="11">SUM(FE13:FE14)</f>
        <v>2336</v>
      </c>
      <c r="FF12" s="22">
        <f>SUM(FF13:FF14)</f>
        <v>3635185.2199999997</v>
      </c>
      <c r="FG12" s="23">
        <f t="shared" si="11"/>
        <v>2260</v>
      </c>
      <c r="FH12" s="22">
        <f>SUM(FH13:FH14)</f>
        <v>3207903.37</v>
      </c>
      <c r="FI12" s="23">
        <f t="shared" ref="FI12:FM12" si="12">SUM(FI13:FI14)</f>
        <v>1679</v>
      </c>
      <c r="FJ12" s="22">
        <f>SUM(FJ13:FJ14)</f>
        <v>1869349.5600000015</v>
      </c>
      <c r="FK12" s="23">
        <f t="shared" ref="FK12" si="13">SUM(FK13:FK14)</f>
        <v>1317</v>
      </c>
      <c r="FL12" s="22">
        <f>SUM(FL13:FL14)</f>
        <v>1741226.21</v>
      </c>
      <c r="FM12" s="23">
        <f t="shared" si="12"/>
        <v>1126</v>
      </c>
      <c r="FN12" s="22">
        <f>SUM(FN13:FN14)</f>
        <v>1900411.8499999996</v>
      </c>
      <c r="FO12" s="23">
        <f>SUM(FO13:FO14)</f>
        <v>640</v>
      </c>
      <c r="FP12" s="22">
        <f>SUM(FP13:FP14)</f>
        <v>976336.48</v>
      </c>
      <c r="FQ12" s="23">
        <f>SUM(FQ13:FQ14)</f>
        <v>691</v>
      </c>
      <c r="FR12" s="301"/>
      <c r="FS12" s="301"/>
      <c r="FT12" s="301"/>
      <c r="FU12" s="301"/>
      <c r="FV12" s="301"/>
      <c r="FW12" s="301"/>
      <c r="FX12" s="301"/>
      <c r="FY12" s="301"/>
      <c r="FZ12" s="301"/>
      <c r="GA12" s="301"/>
      <c r="GB12" s="301"/>
      <c r="GC12" s="301"/>
      <c r="GD12" s="301"/>
      <c r="GE12" s="301"/>
      <c r="GF12" s="286"/>
      <c r="GG12" s="286"/>
    </row>
    <row r="13" spans="1:189" ht="15" customHeight="1" x14ac:dyDescent="0.3">
      <c r="A13" s="1"/>
      <c r="B13" s="301"/>
      <c r="C13" s="301"/>
      <c r="D13" s="301"/>
      <c r="E13" s="301"/>
      <c r="F13" s="301"/>
      <c r="G13" s="5" t="s">
        <v>32</v>
      </c>
      <c r="H13" s="5"/>
      <c r="I13" s="22">
        <f t="shared" ref="I13:J13" si="14">AG13+AE13+AC13+AA13+Y13+W13+U13+S13+O13+M13+K13</f>
        <v>3907490.7599999993</v>
      </c>
      <c r="J13" s="23">
        <f t="shared" si="14"/>
        <v>3427</v>
      </c>
      <c r="K13" s="22">
        <f t="shared" ref="K13:CZ13" si="15">K17</f>
        <v>755271.82</v>
      </c>
      <c r="L13" s="23">
        <f t="shared" si="15"/>
        <v>699</v>
      </c>
      <c r="M13" s="22">
        <f t="shared" si="15"/>
        <v>653589.74</v>
      </c>
      <c r="N13" s="23">
        <f t="shared" si="15"/>
        <v>463</v>
      </c>
      <c r="O13" s="22">
        <f t="shared" si="15"/>
        <v>509616.29000000004</v>
      </c>
      <c r="P13" s="23">
        <f t="shared" si="15"/>
        <v>477</v>
      </c>
      <c r="Q13" s="22">
        <f t="shared" si="15"/>
        <v>330809.5</v>
      </c>
      <c r="R13" s="23">
        <f t="shared" si="15"/>
        <v>280</v>
      </c>
      <c r="S13" s="22">
        <f t="shared" si="15"/>
        <v>292508.98</v>
      </c>
      <c r="T13" s="23">
        <f t="shared" si="15"/>
        <v>212</v>
      </c>
      <c r="U13" s="22">
        <f t="shared" si="15"/>
        <v>507644.70999999996</v>
      </c>
      <c r="V13" s="23">
        <f t="shared" si="15"/>
        <v>365</v>
      </c>
      <c r="W13" s="22">
        <f t="shared" si="15"/>
        <v>263247.13</v>
      </c>
      <c r="X13" s="23">
        <f t="shared" si="15"/>
        <v>219</v>
      </c>
      <c r="Y13" s="22">
        <f t="shared" si="15"/>
        <v>326636.49999999994</v>
      </c>
      <c r="Z13" s="23">
        <f t="shared" si="15"/>
        <v>275</v>
      </c>
      <c r="AA13" s="22">
        <f t="shared" si="15"/>
        <v>147201</v>
      </c>
      <c r="AB13" s="23">
        <f t="shared" si="15"/>
        <v>147</v>
      </c>
      <c r="AC13" s="22">
        <f t="shared" si="15"/>
        <v>160061</v>
      </c>
      <c r="AD13" s="23">
        <f t="shared" si="15"/>
        <v>140</v>
      </c>
      <c r="AE13" s="22">
        <f t="shared" si="15"/>
        <v>185914</v>
      </c>
      <c r="AF13" s="23">
        <f t="shared" si="15"/>
        <v>182</v>
      </c>
      <c r="AG13" s="22">
        <f t="shared" si="15"/>
        <v>105799.58999999997</v>
      </c>
      <c r="AH13" s="23">
        <f t="shared" si="15"/>
        <v>248</v>
      </c>
      <c r="AI13" s="22">
        <f t="shared" si="15"/>
        <v>158729</v>
      </c>
      <c r="AJ13" s="23">
        <f t="shared" si="15"/>
        <v>132</v>
      </c>
      <c r="AK13" s="22">
        <f t="shared" si="15"/>
        <v>118835</v>
      </c>
      <c r="AL13" s="23">
        <f t="shared" si="15"/>
        <v>126</v>
      </c>
      <c r="AM13" s="22">
        <f t="shared" si="15"/>
        <v>124546</v>
      </c>
      <c r="AN13" s="23">
        <f t="shared" si="15"/>
        <v>122</v>
      </c>
      <c r="AO13" s="22">
        <f t="shared" si="15"/>
        <v>118673</v>
      </c>
      <c r="AP13" s="23">
        <f t="shared" si="15"/>
        <v>93</v>
      </c>
      <c r="AQ13" s="22">
        <f t="shared" si="15"/>
        <v>63975</v>
      </c>
      <c r="AR13" s="23">
        <f t="shared" si="15"/>
        <v>49</v>
      </c>
      <c r="AS13" s="22">
        <f t="shared" si="15"/>
        <v>106202</v>
      </c>
      <c r="AT13" s="23">
        <f t="shared" si="15"/>
        <v>81</v>
      </c>
      <c r="AU13" s="22">
        <f t="shared" si="15"/>
        <v>139216</v>
      </c>
      <c r="AV13" s="23">
        <f t="shared" si="15"/>
        <v>121</v>
      </c>
      <c r="AW13" s="22">
        <f t="shared" si="15"/>
        <v>156795</v>
      </c>
      <c r="AX13" s="23">
        <f t="shared" si="15"/>
        <v>119</v>
      </c>
      <c r="AY13" s="22">
        <f t="shared" si="15"/>
        <v>106703</v>
      </c>
      <c r="AZ13" s="23">
        <f t="shared" si="15"/>
        <v>70</v>
      </c>
      <c r="BA13" s="22">
        <f t="shared" si="15"/>
        <v>104665</v>
      </c>
      <c r="BB13" s="23">
        <f t="shared" si="15"/>
        <v>71</v>
      </c>
      <c r="BC13" s="22">
        <f t="shared" si="15"/>
        <v>68554</v>
      </c>
      <c r="BD13" s="23">
        <f t="shared" si="15"/>
        <v>32</v>
      </c>
      <c r="BE13" s="22">
        <f t="shared" si="15"/>
        <v>186787</v>
      </c>
      <c r="BF13" s="23">
        <f t="shared" si="15"/>
        <v>121</v>
      </c>
      <c r="BG13" s="22">
        <f t="shared" si="15"/>
        <v>264444.55</v>
      </c>
      <c r="BH13" s="23">
        <f t="shared" si="15"/>
        <v>179</v>
      </c>
      <c r="BI13" s="22">
        <f t="shared" si="15"/>
        <v>348380.13</v>
      </c>
      <c r="BJ13" s="23">
        <f t="shared" si="15"/>
        <v>247</v>
      </c>
      <c r="BK13" s="22">
        <f t="shared" si="15"/>
        <v>496527.2</v>
      </c>
      <c r="BL13" s="23">
        <f t="shared" si="15"/>
        <v>330</v>
      </c>
      <c r="BM13" s="22">
        <f t="shared" si="15"/>
        <v>375457</v>
      </c>
      <c r="BN13" s="23">
        <f t="shared" si="15"/>
        <v>251</v>
      </c>
      <c r="BO13" s="22">
        <f t="shared" si="15"/>
        <v>364827</v>
      </c>
      <c r="BP13" s="23">
        <f t="shared" si="15"/>
        <v>266</v>
      </c>
      <c r="BQ13" s="22">
        <f t="shared" si="15"/>
        <v>315995.2</v>
      </c>
      <c r="BR13" s="23">
        <f t="shared" si="15"/>
        <v>219</v>
      </c>
      <c r="BS13" s="22">
        <f t="shared" si="15"/>
        <v>354629.1</v>
      </c>
      <c r="BT13" s="23">
        <f t="shared" si="15"/>
        <v>268</v>
      </c>
      <c r="BU13" s="22">
        <f t="shared" si="15"/>
        <v>405098</v>
      </c>
      <c r="BV13" s="23">
        <f t="shared" si="15"/>
        <v>320</v>
      </c>
      <c r="BW13" s="22">
        <f t="shared" si="15"/>
        <v>677059</v>
      </c>
      <c r="BX13" s="23">
        <f t="shared" si="15"/>
        <v>383</v>
      </c>
      <c r="BY13" s="22">
        <f t="shared" si="15"/>
        <v>435834</v>
      </c>
      <c r="BZ13" s="23">
        <f t="shared" si="15"/>
        <v>396</v>
      </c>
      <c r="CA13" s="22">
        <f t="shared" si="15"/>
        <v>518551</v>
      </c>
      <c r="CB13" s="23">
        <f t="shared" si="15"/>
        <v>457</v>
      </c>
      <c r="CC13" s="22">
        <f t="shared" si="15"/>
        <v>639671</v>
      </c>
      <c r="CD13" s="23">
        <f t="shared" si="15"/>
        <v>539</v>
      </c>
      <c r="CE13" s="22">
        <f t="shared" si="15"/>
        <v>458490</v>
      </c>
      <c r="CF13" s="23">
        <f t="shared" si="15"/>
        <v>366</v>
      </c>
      <c r="CG13" s="22">
        <f t="shared" si="15"/>
        <v>597393</v>
      </c>
      <c r="CH13" s="23">
        <f t="shared" si="15"/>
        <v>499</v>
      </c>
      <c r="CI13" s="22">
        <f t="shared" si="15"/>
        <v>655016</v>
      </c>
      <c r="CJ13" s="23">
        <f t="shared" si="15"/>
        <v>622</v>
      </c>
      <c r="CK13" s="22">
        <f t="shared" si="15"/>
        <v>1325277.49</v>
      </c>
      <c r="CL13" s="23">
        <f t="shared" si="15"/>
        <v>1301</v>
      </c>
      <c r="CM13" s="22">
        <f t="shared" si="15"/>
        <v>651440.56000000006</v>
      </c>
      <c r="CN13" s="23">
        <f t="shared" si="15"/>
        <v>630</v>
      </c>
      <c r="CO13" s="22">
        <f t="shared" si="15"/>
        <v>514528</v>
      </c>
      <c r="CP13" s="23">
        <f t="shared" si="15"/>
        <v>449</v>
      </c>
      <c r="CQ13" s="22">
        <f t="shared" si="15"/>
        <v>803823</v>
      </c>
      <c r="CR13" s="23">
        <f t="shared" si="15"/>
        <v>522</v>
      </c>
      <c r="CS13" s="22">
        <f t="shared" si="15"/>
        <v>678171</v>
      </c>
      <c r="CT13" s="23">
        <f t="shared" si="15"/>
        <v>601</v>
      </c>
      <c r="CU13" s="22">
        <f t="shared" si="15"/>
        <v>1095661</v>
      </c>
      <c r="CV13" s="23">
        <f t="shared" si="15"/>
        <v>975</v>
      </c>
      <c r="CW13" s="22">
        <f t="shared" si="15"/>
        <v>818605</v>
      </c>
      <c r="CX13" s="23">
        <f t="shared" si="15"/>
        <v>793</v>
      </c>
      <c r="CY13" s="22">
        <f t="shared" si="15"/>
        <v>1134475</v>
      </c>
      <c r="CZ13" s="23">
        <f t="shared" si="15"/>
        <v>1027</v>
      </c>
      <c r="DA13" s="22">
        <f t="shared" ref="DA13:DB13" si="16">DA17</f>
        <v>1122087</v>
      </c>
      <c r="DB13" s="23">
        <f t="shared" si="16"/>
        <v>1025</v>
      </c>
      <c r="DC13" s="22">
        <f>DC17</f>
        <v>1541381.9500000002</v>
      </c>
      <c r="DD13" s="23">
        <f t="shared" ref="DD13:DF13" si="17">DD17</f>
        <v>1384</v>
      </c>
      <c r="DE13" s="22">
        <f>DE17</f>
        <v>1504737.6599999995</v>
      </c>
      <c r="DF13" s="23">
        <f t="shared" si="17"/>
        <v>1278</v>
      </c>
      <c r="DG13" s="22">
        <f>DG17</f>
        <v>1278331.1000000024</v>
      </c>
      <c r="DH13" s="23">
        <f t="shared" ref="DH13:DJ13" si="18">DH17</f>
        <v>961</v>
      </c>
      <c r="DI13" s="22">
        <f>DI17</f>
        <v>1261244</v>
      </c>
      <c r="DJ13" s="23">
        <f t="shared" si="18"/>
        <v>921</v>
      </c>
      <c r="DK13" s="22">
        <f>DK17</f>
        <v>1323294.3499999973</v>
      </c>
      <c r="DL13" s="23">
        <f t="shared" ref="DL13:DN13" si="19">DL17</f>
        <v>1058</v>
      </c>
      <c r="DM13" s="22">
        <f>DM17</f>
        <v>1389040.2099999958</v>
      </c>
      <c r="DN13" s="23">
        <f t="shared" si="19"/>
        <v>1134</v>
      </c>
      <c r="DO13" s="22">
        <f t="shared" ref="DO13:DR13" si="20">DO17</f>
        <v>1429751.5199999937</v>
      </c>
      <c r="DP13" s="23">
        <f t="shared" si="20"/>
        <v>1230</v>
      </c>
      <c r="DQ13" s="22">
        <f t="shared" si="20"/>
        <v>1834288.1499999978</v>
      </c>
      <c r="DR13" s="23">
        <f t="shared" si="20"/>
        <v>1194</v>
      </c>
      <c r="DS13" s="22">
        <f>DS17+DS31</f>
        <v>728919.86000000022</v>
      </c>
      <c r="DT13" s="23">
        <f>DT17+DT31</f>
        <v>565</v>
      </c>
      <c r="DU13" s="301"/>
      <c r="DV13" s="301"/>
      <c r="DW13" s="301"/>
      <c r="DX13" s="301"/>
      <c r="DY13" s="301"/>
      <c r="DZ13" s="301"/>
      <c r="EA13" s="301"/>
      <c r="EB13" s="301"/>
      <c r="EC13" s="301"/>
      <c r="ED13" s="301"/>
      <c r="EE13" s="301"/>
      <c r="EF13" s="301"/>
      <c r="EG13" s="301"/>
      <c r="EH13" s="301"/>
      <c r="EI13" s="301"/>
      <c r="EJ13" s="301"/>
      <c r="EK13" s="301"/>
      <c r="EL13" s="301"/>
      <c r="EM13" s="301"/>
      <c r="EN13" s="22">
        <f t="shared" ref="EN13:ES13" si="21">EN17+EN31</f>
        <v>850015.18</v>
      </c>
      <c r="EO13" s="23">
        <f t="shared" si="21"/>
        <v>843</v>
      </c>
      <c r="EP13" s="22">
        <f t="shared" si="21"/>
        <v>1300671.2799999982</v>
      </c>
      <c r="EQ13" s="23">
        <f t="shared" si="21"/>
        <v>805</v>
      </c>
      <c r="ER13" s="22">
        <f t="shared" si="21"/>
        <v>1477248.1399999978</v>
      </c>
      <c r="ES13" s="23">
        <f t="shared" si="21"/>
        <v>937</v>
      </c>
      <c r="ET13" s="22">
        <f t="shared" ref="ET13:EU13" si="22">ET17+ET31</f>
        <v>3003079.5999999945</v>
      </c>
      <c r="EU13" s="23">
        <f t="shared" si="22"/>
        <v>1395</v>
      </c>
      <c r="EV13" s="22">
        <f t="shared" ref="EV13:EW13" si="23">EV17+EV31</f>
        <v>2372353.8499999954</v>
      </c>
      <c r="EW13" s="23">
        <f t="shared" si="23"/>
        <v>1355</v>
      </c>
      <c r="EX13" s="22">
        <f t="shared" ref="EX13:EY13" si="24">EX17+EX31</f>
        <v>783195.95</v>
      </c>
      <c r="EY13" s="23">
        <f t="shared" si="24"/>
        <v>561</v>
      </c>
      <c r="EZ13" s="22">
        <f t="shared" ref="EZ13:FA13" si="25">EZ17+EZ31</f>
        <v>846239.09999999951</v>
      </c>
      <c r="FA13" s="23">
        <f t="shared" si="25"/>
        <v>530</v>
      </c>
      <c r="FB13" s="22">
        <f t="shared" ref="FB13:FC13" si="26">FB17+FB31</f>
        <v>2141072.3300000038</v>
      </c>
      <c r="FC13" s="23">
        <f t="shared" si="26"/>
        <v>1488</v>
      </c>
      <c r="FD13" s="22">
        <f t="shared" ref="FD13:FE13" si="27">FD17+FD31</f>
        <v>1851679.620000001</v>
      </c>
      <c r="FE13" s="23">
        <f t="shared" si="27"/>
        <v>1211</v>
      </c>
      <c r="FF13" s="22">
        <f t="shared" ref="FF13:FG13" si="28">FF17+FF31</f>
        <v>2078361.7699999982</v>
      </c>
      <c r="FG13" s="23">
        <f t="shared" si="28"/>
        <v>1287</v>
      </c>
      <c r="FH13" s="22">
        <f t="shared" ref="FH13:FK13" si="29">FH17+FH31</f>
        <v>2680844.89</v>
      </c>
      <c r="FI13" s="23">
        <f t="shared" si="29"/>
        <v>1315</v>
      </c>
      <c r="FJ13" s="22">
        <f t="shared" si="29"/>
        <v>1480157.6700000016</v>
      </c>
      <c r="FK13" s="23">
        <f t="shared" si="29"/>
        <v>1043</v>
      </c>
      <c r="FL13" s="22">
        <f t="shared" ref="FL13:FM13" si="30">FL17+FL31</f>
        <v>1741226.21</v>
      </c>
      <c r="FM13" s="23">
        <f t="shared" si="30"/>
        <v>1126</v>
      </c>
      <c r="FN13" s="22">
        <f>FN17+FN31</f>
        <v>1562577.8699999996</v>
      </c>
      <c r="FO13" s="23">
        <f>FO17+FO31</f>
        <v>413</v>
      </c>
      <c r="FP13" s="22">
        <f>FP17+FP31</f>
        <v>722074.47</v>
      </c>
      <c r="FQ13" s="23">
        <f>FQ17+FQ31</f>
        <v>508</v>
      </c>
      <c r="FR13" s="301"/>
      <c r="FS13" s="301"/>
      <c r="FT13" s="301"/>
      <c r="FU13" s="301"/>
      <c r="FV13" s="301"/>
      <c r="FW13" s="301"/>
      <c r="FX13" s="301"/>
      <c r="FY13" s="301"/>
      <c r="FZ13" s="301"/>
      <c r="GA13" s="301"/>
      <c r="GB13" s="301"/>
      <c r="GC13" s="301"/>
      <c r="GD13" s="301"/>
      <c r="GE13" s="301"/>
      <c r="GF13" s="286"/>
      <c r="GG13" s="286"/>
    </row>
    <row r="14" spans="1:189" ht="15" customHeight="1" x14ac:dyDescent="0.3">
      <c r="A14" s="1"/>
      <c r="B14" s="302"/>
      <c r="C14" s="302"/>
      <c r="D14" s="302"/>
      <c r="E14" s="302"/>
      <c r="F14" s="302"/>
      <c r="G14" s="5" t="s">
        <v>33</v>
      </c>
      <c r="H14" s="5"/>
      <c r="I14" s="22">
        <f t="shared" ref="I14:J14" si="31">AG14+AE14+AC14+AA14+Y14+W14+U14+S14+O14+M14+K14</f>
        <v>6991364.71</v>
      </c>
      <c r="J14" s="23">
        <f t="shared" si="31"/>
        <v>7169</v>
      </c>
      <c r="K14" s="22">
        <f t="shared" ref="K14:CZ14" si="32">K38</f>
        <v>587386</v>
      </c>
      <c r="L14" s="23">
        <f t="shared" si="32"/>
        <v>509</v>
      </c>
      <c r="M14" s="22">
        <f t="shared" si="32"/>
        <v>466708.58999999991</v>
      </c>
      <c r="N14" s="23">
        <f t="shared" si="32"/>
        <v>423</v>
      </c>
      <c r="O14" s="22">
        <f t="shared" si="32"/>
        <v>398301.69</v>
      </c>
      <c r="P14" s="23">
        <f t="shared" si="32"/>
        <v>435</v>
      </c>
      <c r="Q14" s="22">
        <f t="shared" si="32"/>
        <v>386312.47000000003</v>
      </c>
      <c r="R14" s="23">
        <f t="shared" si="32"/>
        <v>435</v>
      </c>
      <c r="S14" s="22">
        <f t="shared" si="32"/>
        <v>618731.41</v>
      </c>
      <c r="T14" s="23">
        <f t="shared" si="32"/>
        <v>521</v>
      </c>
      <c r="U14" s="22">
        <f t="shared" si="32"/>
        <v>483055.92</v>
      </c>
      <c r="V14" s="23">
        <f t="shared" si="32"/>
        <v>413</v>
      </c>
      <c r="W14" s="22">
        <f t="shared" si="32"/>
        <v>797538</v>
      </c>
      <c r="X14" s="23">
        <f t="shared" si="32"/>
        <v>740</v>
      </c>
      <c r="Y14" s="22">
        <f t="shared" si="32"/>
        <v>593956.66</v>
      </c>
      <c r="Z14" s="23">
        <f t="shared" si="32"/>
        <v>657</v>
      </c>
      <c r="AA14" s="22">
        <f t="shared" si="32"/>
        <v>886706</v>
      </c>
      <c r="AB14" s="23">
        <f t="shared" si="32"/>
        <v>1051</v>
      </c>
      <c r="AC14" s="22">
        <f t="shared" si="32"/>
        <v>956715</v>
      </c>
      <c r="AD14" s="23">
        <f t="shared" si="32"/>
        <v>1095</v>
      </c>
      <c r="AE14" s="22">
        <f t="shared" si="32"/>
        <v>603981</v>
      </c>
      <c r="AF14" s="23">
        <f t="shared" si="32"/>
        <v>671</v>
      </c>
      <c r="AG14" s="22">
        <f t="shared" si="32"/>
        <v>598284.43999999994</v>
      </c>
      <c r="AH14" s="23">
        <f t="shared" si="32"/>
        <v>654</v>
      </c>
      <c r="AI14" s="22">
        <f t="shared" si="32"/>
        <v>365329</v>
      </c>
      <c r="AJ14" s="23">
        <f t="shared" si="32"/>
        <v>382</v>
      </c>
      <c r="AK14" s="22">
        <f t="shared" si="32"/>
        <v>261145</v>
      </c>
      <c r="AL14" s="23">
        <f t="shared" si="32"/>
        <v>291</v>
      </c>
      <c r="AM14" s="22">
        <f t="shared" si="32"/>
        <v>261145</v>
      </c>
      <c r="AN14" s="23">
        <f t="shared" si="32"/>
        <v>383</v>
      </c>
      <c r="AO14" s="22">
        <f t="shared" si="32"/>
        <v>330291</v>
      </c>
      <c r="AP14" s="23">
        <f t="shared" si="32"/>
        <v>329</v>
      </c>
      <c r="AQ14" s="22">
        <f t="shared" si="32"/>
        <v>356510</v>
      </c>
      <c r="AR14" s="23">
        <f t="shared" si="32"/>
        <v>298</v>
      </c>
      <c r="AS14" s="22">
        <f t="shared" si="32"/>
        <v>283586</v>
      </c>
      <c r="AT14" s="23">
        <f t="shared" si="32"/>
        <v>267</v>
      </c>
      <c r="AU14" s="22">
        <f t="shared" si="32"/>
        <v>289586</v>
      </c>
      <c r="AV14" s="23">
        <f t="shared" si="32"/>
        <v>376</v>
      </c>
      <c r="AW14" s="22">
        <f t="shared" si="32"/>
        <v>565990</v>
      </c>
      <c r="AX14" s="23">
        <f t="shared" si="32"/>
        <v>449</v>
      </c>
      <c r="AY14" s="22">
        <f t="shared" si="32"/>
        <v>381618</v>
      </c>
      <c r="AZ14" s="23">
        <f t="shared" si="32"/>
        <v>259</v>
      </c>
      <c r="BA14" s="22">
        <f t="shared" si="32"/>
        <v>425133</v>
      </c>
      <c r="BB14" s="23">
        <f t="shared" si="32"/>
        <v>315</v>
      </c>
      <c r="BC14" s="22">
        <f t="shared" si="32"/>
        <v>503960</v>
      </c>
      <c r="BD14" s="23">
        <f t="shared" si="32"/>
        <v>370</v>
      </c>
      <c r="BE14" s="22">
        <f t="shared" si="32"/>
        <v>572431</v>
      </c>
      <c r="BF14" s="23">
        <f t="shared" si="32"/>
        <v>420</v>
      </c>
      <c r="BG14" s="22">
        <f t="shared" si="32"/>
        <v>560766</v>
      </c>
      <c r="BH14" s="23">
        <f t="shared" si="32"/>
        <v>384</v>
      </c>
      <c r="BI14" s="22">
        <f t="shared" si="32"/>
        <v>464432</v>
      </c>
      <c r="BJ14" s="23">
        <f t="shared" si="32"/>
        <v>319</v>
      </c>
      <c r="BK14" s="22">
        <f t="shared" si="32"/>
        <v>466748</v>
      </c>
      <c r="BL14" s="23">
        <f t="shared" si="32"/>
        <v>294</v>
      </c>
      <c r="BM14" s="22">
        <f t="shared" si="32"/>
        <v>578524</v>
      </c>
      <c r="BN14" s="23">
        <f t="shared" si="32"/>
        <v>371</v>
      </c>
      <c r="BO14" s="22">
        <f t="shared" si="32"/>
        <v>618977</v>
      </c>
      <c r="BP14" s="23">
        <f t="shared" si="32"/>
        <v>395</v>
      </c>
      <c r="BQ14" s="22">
        <f t="shared" si="32"/>
        <v>733421</v>
      </c>
      <c r="BR14" s="23">
        <f t="shared" si="32"/>
        <v>514</v>
      </c>
      <c r="BS14" s="22">
        <f t="shared" si="32"/>
        <v>590091</v>
      </c>
      <c r="BT14" s="23">
        <f t="shared" si="32"/>
        <v>449</v>
      </c>
      <c r="BU14" s="22">
        <f t="shared" si="32"/>
        <v>661621</v>
      </c>
      <c r="BV14" s="23">
        <f t="shared" si="32"/>
        <v>470</v>
      </c>
      <c r="BW14" s="22">
        <f t="shared" si="32"/>
        <v>868871.03700000001</v>
      </c>
      <c r="BX14" s="23">
        <f t="shared" si="32"/>
        <v>688</v>
      </c>
      <c r="BY14" s="22">
        <f t="shared" si="32"/>
        <v>919981</v>
      </c>
      <c r="BZ14" s="23">
        <f t="shared" si="32"/>
        <v>723</v>
      </c>
      <c r="CA14" s="22">
        <f t="shared" si="32"/>
        <v>755298</v>
      </c>
      <c r="CB14" s="23">
        <f t="shared" si="32"/>
        <v>524</v>
      </c>
      <c r="CC14" s="22">
        <f t="shared" si="32"/>
        <v>845702</v>
      </c>
      <c r="CD14" s="23">
        <f t="shared" si="32"/>
        <v>550</v>
      </c>
      <c r="CE14" s="22">
        <f t="shared" si="32"/>
        <v>631573</v>
      </c>
      <c r="CF14" s="23">
        <f t="shared" si="32"/>
        <v>399</v>
      </c>
      <c r="CG14" s="22">
        <f t="shared" si="32"/>
        <v>815347</v>
      </c>
      <c r="CH14" s="23">
        <f t="shared" si="32"/>
        <v>554</v>
      </c>
      <c r="CI14" s="22">
        <f t="shared" si="32"/>
        <v>1039591</v>
      </c>
      <c r="CJ14" s="23">
        <f t="shared" si="32"/>
        <v>715</v>
      </c>
      <c r="CK14" s="22">
        <f t="shared" si="32"/>
        <v>967676</v>
      </c>
      <c r="CL14" s="23">
        <f t="shared" si="32"/>
        <v>791</v>
      </c>
      <c r="CM14" s="22">
        <f t="shared" si="32"/>
        <v>670970</v>
      </c>
      <c r="CN14" s="23">
        <f t="shared" si="32"/>
        <v>483</v>
      </c>
      <c r="CO14" s="22">
        <f t="shared" si="32"/>
        <v>749330</v>
      </c>
      <c r="CP14" s="23">
        <f t="shared" si="32"/>
        <v>539</v>
      </c>
      <c r="CQ14" s="22">
        <f t="shared" si="32"/>
        <v>769289</v>
      </c>
      <c r="CR14" s="23">
        <f t="shared" si="32"/>
        <v>581</v>
      </c>
      <c r="CS14" s="22">
        <f t="shared" si="32"/>
        <v>1208060</v>
      </c>
      <c r="CT14" s="23">
        <f t="shared" si="32"/>
        <v>855</v>
      </c>
      <c r="CU14" s="22">
        <f t="shared" si="32"/>
        <v>921041</v>
      </c>
      <c r="CV14" s="23">
        <f t="shared" si="32"/>
        <v>697</v>
      </c>
      <c r="CW14" s="22">
        <f t="shared" si="32"/>
        <v>785253</v>
      </c>
      <c r="CX14" s="23">
        <f t="shared" si="32"/>
        <v>652</v>
      </c>
      <c r="CY14" s="22">
        <f t="shared" si="32"/>
        <v>1019672</v>
      </c>
      <c r="CZ14" s="23">
        <f t="shared" si="32"/>
        <v>847</v>
      </c>
      <c r="DA14" s="22">
        <f t="shared" ref="DA14:DB14" si="33">DA38</f>
        <v>1190230</v>
      </c>
      <c r="DB14" s="23">
        <f t="shared" si="33"/>
        <v>948</v>
      </c>
      <c r="DC14" s="22">
        <f>DC38</f>
        <v>948385.65000000177</v>
      </c>
      <c r="DD14" s="23">
        <f t="shared" ref="DD14:DF14" si="34">DD38</f>
        <v>756</v>
      </c>
      <c r="DE14" s="22">
        <f>DE38</f>
        <v>813641.59000000102</v>
      </c>
      <c r="DF14" s="23">
        <f t="shared" si="34"/>
        <v>696</v>
      </c>
      <c r="DG14" s="22">
        <f>DG38</f>
        <v>1295153.9799999988</v>
      </c>
      <c r="DH14" s="23">
        <f t="shared" ref="DH14:DJ14" si="35">DH38</f>
        <v>960</v>
      </c>
      <c r="DI14" s="22">
        <f>DI38</f>
        <v>791629.28999999957</v>
      </c>
      <c r="DJ14" s="23">
        <f t="shared" si="35"/>
        <v>634</v>
      </c>
      <c r="DK14" s="22">
        <f>DK38</f>
        <v>1131298.6400000018</v>
      </c>
      <c r="DL14" s="23">
        <f t="shared" ref="DL14:DN14" si="36">DL38</f>
        <v>888</v>
      </c>
      <c r="DM14" s="22">
        <f>DM38</f>
        <v>1128076.6200000027</v>
      </c>
      <c r="DN14" s="23">
        <f t="shared" si="36"/>
        <v>962</v>
      </c>
      <c r="DO14" s="22">
        <f t="shared" ref="DO14:DR14" si="37">DO38</f>
        <v>822009.59999999951</v>
      </c>
      <c r="DP14" s="23">
        <f t="shared" si="37"/>
        <v>669</v>
      </c>
      <c r="DQ14" s="22">
        <f t="shared" si="37"/>
        <v>891637.12999999942</v>
      </c>
      <c r="DR14" s="23">
        <f t="shared" si="37"/>
        <v>698</v>
      </c>
      <c r="DS14" s="22">
        <f>DS38+DS25</f>
        <v>996701.66000000155</v>
      </c>
      <c r="DT14" s="23">
        <f>DT38+DT25</f>
        <v>816</v>
      </c>
      <c r="DU14" s="302"/>
      <c r="DV14" s="302"/>
      <c r="DW14" s="302"/>
      <c r="DX14" s="302"/>
      <c r="DY14" s="302"/>
      <c r="DZ14" s="302"/>
      <c r="EA14" s="302"/>
      <c r="EB14" s="302"/>
      <c r="EC14" s="302"/>
      <c r="ED14" s="302"/>
      <c r="EE14" s="302"/>
      <c r="EF14" s="302"/>
      <c r="EG14" s="302"/>
      <c r="EH14" s="302"/>
      <c r="EI14" s="302"/>
      <c r="EJ14" s="302"/>
      <c r="EK14" s="302"/>
      <c r="EL14" s="302"/>
      <c r="EM14" s="302"/>
      <c r="EN14" s="22">
        <f t="shared" ref="EN14:FO14" si="38">EN38+EN25</f>
        <v>1327042.7200000002</v>
      </c>
      <c r="EO14" s="23">
        <f t="shared" si="38"/>
        <v>1074</v>
      </c>
      <c r="EP14" s="22">
        <f t="shared" si="38"/>
        <v>1341185.2779541016</v>
      </c>
      <c r="EQ14" s="23">
        <f t="shared" si="38"/>
        <v>1187</v>
      </c>
      <c r="ER14" s="22">
        <f t="shared" si="38"/>
        <v>1598441.0900000003</v>
      </c>
      <c r="ES14" s="23">
        <f t="shared" si="38"/>
        <v>1313</v>
      </c>
      <c r="ET14" s="22">
        <f t="shared" si="38"/>
        <v>1023930.9400000002</v>
      </c>
      <c r="EU14" s="23">
        <f t="shared" si="38"/>
        <v>708</v>
      </c>
      <c r="EV14" s="22">
        <f t="shared" si="38"/>
        <v>949198.69000000041</v>
      </c>
      <c r="EW14" s="23">
        <f t="shared" si="38"/>
        <v>634</v>
      </c>
      <c r="EX14" s="22">
        <f t="shared" si="38"/>
        <v>1499286.1100000003</v>
      </c>
      <c r="EY14" s="23">
        <f t="shared" si="38"/>
        <v>918</v>
      </c>
      <c r="EZ14" s="22">
        <f t="shared" si="38"/>
        <v>2296718.59</v>
      </c>
      <c r="FA14" s="23">
        <f t="shared" si="38"/>
        <v>1362</v>
      </c>
      <c r="FB14" s="22">
        <f t="shared" si="38"/>
        <v>2568358.2199999997</v>
      </c>
      <c r="FC14" s="23">
        <f t="shared" si="38"/>
        <v>1746</v>
      </c>
      <c r="FD14" s="22">
        <f t="shared" si="38"/>
        <v>1666460.48</v>
      </c>
      <c r="FE14" s="23">
        <f t="shared" si="38"/>
        <v>1125</v>
      </c>
      <c r="FF14" s="22">
        <f t="shared" si="38"/>
        <v>1556823.4500000014</v>
      </c>
      <c r="FG14" s="23">
        <f t="shared" si="38"/>
        <v>973</v>
      </c>
      <c r="FH14" s="22">
        <f t="shared" si="38"/>
        <v>527058.48</v>
      </c>
      <c r="FI14" s="23">
        <f t="shared" si="38"/>
        <v>364</v>
      </c>
      <c r="FJ14" s="22">
        <f t="shared" si="38"/>
        <v>389191.89</v>
      </c>
      <c r="FK14" s="23">
        <f t="shared" si="38"/>
        <v>274</v>
      </c>
      <c r="FL14" s="22">
        <f t="shared" si="38"/>
        <v>0</v>
      </c>
      <c r="FM14" s="23">
        <f t="shared" si="38"/>
        <v>0</v>
      </c>
      <c r="FN14" s="22">
        <f t="shared" si="38"/>
        <v>337833.9800000001</v>
      </c>
      <c r="FO14" s="23">
        <f t="shared" si="38"/>
        <v>227</v>
      </c>
      <c r="FP14" s="22">
        <f t="shared" ref="FP14:FQ14" si="39">FP38+FP25</f>
        <v>254262.00999999998</v>
      </c>
      <c r="FQ14" s="23">
        <f t="shared" si="39"/>
        <v>183</v>
      </c>
      <c r="FR14" s="302"/>
      <c r="FS14" s="302"/>
      <c r="FT14" s="302"/>
      <c r="FU14" s="302"/>
      <c r="FV14" s="302"/>
      <c r="FW14" s="302"/>
      <c r="FX14" s="302"/>
      <c r="FY14" s="302"/>
      <c r="FZ14" s="302"/>
      <c r="GA14" s="302"/>
      <c r="GB14" s="302"/>
      <c r="GC14" s="302"/>
      <c r="GD14" s="302"/>
      <c r="GE14" s="302"/>
      <c r="GF14" s="287"/>
      <c r="GG14" s="287"/>
    </row>
    <row r="15" spans="1:189" ht="7.5" customHeight="1" outlineLevel="1" x14ac:dyDescent="0.3">
      <c r="A15" s="1"/>
      <c r="B15" s="18"/>
      <c r="C15" s="18"/>
      <c r="D15" s="18"/>
      <c r="E15" s="18"/>
      <c r="F15" s="18"/>
      <c r="G15" s="3"/>
      <c r="H15" s="3"/>
      <c r="I15" s="19"/>
      <c r="J15" s="20"/>
      <c r="K15" s="19"/>
      <c r="L15" s="20"/>
      <c r="M15" s="19"/>
      <c r="N15" s="20"/>
      <c r="O15" s="19"/>
      <c r="P15" s="20"/>
      <c r="Q15" s="19"/>
      <c r="R15" s="20"/>
      <c r="S15" s="19"/>
      <c r="T15" s="20"/>
      <c r="U15" s="19"/>
      <c r="V15" s="20"/>
      <c r="W15" s="19"/>
      <c r="X15" s="20"/>
      <c r="Y15" s="19"/>
      <c r="Z15" s="20"/>
      <c r="AA15" s="19"/>
      <c r="AB15" s="20"/>
      <c r="AC15" s="19"/>
      <c r="AD15" s="20"/>
      <c r="AE15" s="19"/>
      <c r="AF15" s="20"/>
      <c r="AG15" s="19"/>
      <c r="AH15" s="20"/>
      <c r="AI15" s="19"/>
      <c r="AJ15" s="20"/>
      <c r="AK15" s="19"/>
      <c r="AL15" s="20"/>
      <c r="AM15" s="19"/>
      <c r="AN15" s="20"/>
      <c r="AO15" s="19"/>
      <c r="AP15" s="20"/>
      <c r="AQ15" s="19"/>
      <c r="AR15" s="20"/>
      <c r="AS15" s="19"/>
      <c r="AT15" s="20"/>
      <c r="AU15" s="19"/>
      <c r="AV15" s="20"/>
      <c r="AW15" s="19"/>
      <c r="AX15" s="20"/>
      <c r="AY15" s="19"/>
      <c r="AZ15" s="20"/>
      <c r="BA15" s="19"/>
      <c r="BB15" s="20"/>
      <c r="BC15" s="19"/>
      <c r="BD15" s="20"/>
      <c r="BE15" s="19"/>
      <c r="BF15" s="20"/>
      <c r="BG15" s="19"/>
      <c r="BH15" s="20"/>
      <c r="BI15" s="19"/>
      <c r="BJ15" s="20"/>
      <c r="BK15" s="19"/>
      <c r="BL15" s="20"/>
      <c r="BM15" s="19"/>
      <c r="BN15" s="20"/>
      <c r="BO15" s="19"/>
      <c r="BP15" s="20"/>
      <c r="BQ15" s="19"/>
      <c r="BR15" s="20"/>
      <c r="BS15" s="19"/>
      <c r="BT15" s="20"/>
      <c r="BU15" s="19"/>
      <c r="BV15" s="20"/>
      <c r="BW15" s="19"/>
      <c r="BX15" s="20"/>
      <c r="BY15" s="19"/>
      <c r="BZ15" s="20"/>
      <c r="CA15" s="19"/>
      <c r="CB15" s="20"/>
      <c r="CC15" s="19"/>
      <c r="CD15" s="20"/>
      <c r="CE15" s="19"/>
      <c r="CF15" s="20"/>
      <c r="CG15" s="19"/>
      <c r="CH15" s="20"/>
      <c r="CI15" s="19"/>
      <c r="CJ15" s="20"/>
      <c r="CK15" s="19"/>
      <c r="CL15" s="20"/>
      <c r="CM15" s="19"/>
      <c r="CN15" s="20"/>
      <c r="CO15" s="19"/>
      <c r="CP15" s="20"/>
      <c r="CQ15" s="19"/>
      <c r="CR15" s="20"/>
      <c r="CS15" s="19"/>
      <c r="CT15" s="20"/>
      <c r="CU15" s="19"/>
      <c r="CV15" s="20"/>
      <c r="CW15" s="19"/>
      <c r="CX15" s="20"/>
      <c r="CY15" s="19"/>
      <c r="CZ15" s="20"/>
      <c r="DA15" s="19"/>
      <c r="DB15" s="20"/>
      <c r="DC15" s="19"/>
      <c r="DD15" s="20"/>
      <c r="DE15" s="19"/>
      <c r="DF15" s="20"/>
      <c r="DG15" s="19"/>
      <c r="DH15" s="20"/>
      <c r="DI15" s="19"/>
      <c r="DJ15" s="20"/>
      <c r="DK15" s="19"/>
      <c r="DL15" s="20"/>
      <c r="DM15" s="19"/>
      <c r="DN15" s="20"/>
      <c r="DO15" s="19"/>
      <c r="DP15" s="20"/>
      <c r="DQ15" s="19"/>
      <c r="DR15" s="20"/>
      <c r="DS15" s="19"/>
      <c r="DT15" s="20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19"/>
      <c r="EO15" s="20"/>
      <c r="EP15" s="19"/>
      <c r="EQ15" s="20"/>
      <c r="ER15" s="19"/>
      <c r="ES15" s="20"/>
      <c r="ET15" s="19"/>
      <c r="EU15" s="20"/>
      <c r="EV15" s="19"/>
      <c r="EW15" s="20"/>
      <c r="EX15" s="19"/>
      <c r="EY15" s="20"/>
      <c r="EZ15" s="19"/>
      <c r="FA15" s="20"/>
      <c r="FB15" s="19"/>
      <c r="FC15" s="20"/>
      <c r="FD15" s="19"/>
      <c r="FE15" s="20"/>
      <c r="FF15" s="19"/>
      <c r="FG15" s="20"/>
      <c r="FH15" s="19"/>
      <c r="FI15" s="20"/>
      <c r="FJ15" s="19"/>
      <c r="FK15" s="20"/>
      <c r="FL15" s="19"/>
      <c r="FM15" s="20"/>
      <c r="FN15" s="19"/>
      <c r="FO15" s="20"/>
      <c r="FP15" s="19"/>
      <c r="FQ15" s="20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</row>
    <row r="16" spans="1:189" ht="15" customHeight="1" outlineLevel="1" x14ac:dyDescent="0.3">
      <c r="A16" s="24"/>
      <c r="B16" s="313" t="s">
        <v>400</v>
      </c>
      <c r="C16" s="313" t="s">
        <v>34</v>
      </c>
      <c r="D16" s="313" t="s">
        <v>25</v>
      </c>
      <c r="E16" s="313" t="s">
        <v>35</v>
      </c>
      <c r="F16" s="313" t="s">
        <v>27</v>
      </c>
      <c r="G16" s="5" t="s">
        <v>30</v>
      </c>
      <c r="H16" s="5"/>
      <c r="I16" s="283">
        <f>I17/I2</f>
        <v>1.4819676901279603E-2</v>
      </c>
      <c r="J16" s="281"/>
      <c r="K16" s="283">
        <f>K17/K2</f>
        <v>4.0169755818505057E-2</v>
      </c>
      <c r="L16" s="281"/>
      <c r="M16" s="283">
        <f>M17/M2</f>
        <v>4.160319101993501E-2</v>
      </c>
      <c r="N16" s="281"/>
      <c r="O16" s="283">
        <f>O17/O2</f>
        <v>2.8225830106981119E-2</v>
      </c>
      <c r="P16" s="281"/>
      <c r="Q16" s="283">
        <f>Q17/Q2</f>
        <v>1.7568027151275381E-2</v>
      </c>
      <c r="R16" s="281"/>
      <c r="S16" s="283">
        <f>S17/S2</f>
        <v>1.4815353685070603E-2</v>
      </c>
      <c r="T16" s="281"/>
      <c r="U16" s="283">
        <f>U17/U2</f>
        <v>2.1189755496934057E-2</v>
      </c>
      <c r="V16" s="281"/>
      <c r="W16" s="283">
        <f>W17/W2</f>
        <v>1.1370945851851007E-2</v>
      </c>
      <c r="X16" s="281"/>
      <c r="Y16" s="283">
        <f>Y17/Y2</f>
        <v>1.3050400881414915E-2</v>
      </c>
      <c r="Z16" s="281"/>
      <c r="AA16" s="283">
        <f>AA17/AA2</f>
        <v>5.4871110612436831E-3</v>
      </c>
      <c r="AB16" s="281"/>
      <c r="AC16" s="283">
        <f>AC17/AC2</f>
        <v>6.4112267144366695E-3</v>
      </c>
      <c r="AD16" s="281"/>
      <c r="AE16" s="283">
        <f>AE17/AE2</f>
        <v>6.4182089691565275E-3</v>
      </c>
      <c r="AF16" s="281"/>
      <c r="AG16" s="283">
        <f>AG17/AG2</f>
        <v>5.3890446918569979E-3</v>
      </c>
      <c r="AH16" s="281"/>
      <c r="AI16" s="283">
        <f>AI17/AI2</f>
        <v>7.930286581269038E-3</v>
      </c>
      <c r="AJ16" s="281"/>
      <c r="AK16" s="283">
        <f>AK17/AK2</f>
        <v>6.1237982751228522E-3</v>
      </c>
      <c r="AL16" s="281"/>
      <c r="AM16" s="283">
        <f>AM17/AM2</f>
        <v>7.2757293210910217E-3</v>
      </c>
      <c r="AN16" s="281"/>
      <c r="AO16" s="283">
        <f>AO17/AO2</f>
        <v>6.5591868604685036E-3</v>
      </c>
      <c r="AP16" s="281"/>
      <c r="AQ16" s="336">
        <f>AQ17/AQ2</f>
        <v>3.5064579940034773E-3</v>
      </c>
      <c r="AR16" s="281"/>
      <c r="AS16" s="336">
        <f>AS17/AS2</f>
        <v>6.509176172009648E-3</v>
      </c>
      <c r="AT16" s="281"/>
      <c r="AU16" s="336">
        <f>AU17/AU2</f>
        <v>6.9412800792252064E-3</v>
      </c>
      <c r="AV16" s="281"/>
      <c r="AW16" s="336">
        <f>AW17/AW2</f>
        <v>7.2778855879902142E-3</v>
      </c>
      <c r="AX16" s="281"/>
      <c r="AY16" s="336">
        <f>AY17/AY2</f>
        <v>4.7087599138784519E-3</v>
      </c>
      <c r="AZ16" s="281"/>
      <c r="BA16" s="336">
        <f>BA17/BA2</f>
        <v>4.5011065372546396E-3</v>
      </c>
      <c r="BB16" s="281"/>
      <c r="BC16" s="336">
        <f>BC17/BC2</f>
        <v>2.1813325863036599E-3</v>
      </c>
      <c r="BD16" s="281"/>
      <c r="BE16" s="336">
        <f>BE17/BE2</f>
        <v>7.0538393815844742E-3</v>
      </c>
      <c r="BF16" s="281"/>
      <c r="BG16" s="336">
        <f>BG17/BG2</f>
        <v>1.2983176706370459E-2</v>
      </c>
      <c r="BH16" s="281"/>
      <c r="BI16" s="336">
        <f>BI17/BI2</f>
        <v>1.6510450445847872E-2</v>
      </c>
      <c r="BJ16" s="281"/>
      <c r="BK16" s="336">
        <f>BK17/BK2</f>
        <v>2.0921710780546058E-2</v>
      </c>
      <c r="BL16" s="281"/>
      <c r="BM16" s="336">
        <f>BM17/BM2</f>
        <v>1.6781755164098324E-2</v>
      </c>
      <c r="BN16" s="281"/>
      <c r="BO16" s="336">
        <f>BO17/BO2</f>
        <v>1.5805316821812011E-2</v>
      </c>
      <c r="BP16" s="281"/>
      <c r="BQ16" s="336">
        <f>BQ17/BQ2</f>
        <v>1.4613790948024893E-2</v>
      </c>
      <c r="BR16" s="281"/>
      <c r="BS16" s="336">
        <f>BS17/BS2</f>
        <v>1.5506439825980075E-2</v>
      </c>
      <c r="BT16" s="281"/>
      <c r="BU16" s="336">
        <f>BU17/BU2</f>
        <v>1.5649923959769413E-2</v>
      </c>
      <c r="BV16" s="281"/>
      <c r="BW16" s="336">
        <f>BW17/BW2</f>
        <v>2.7900322688357848E-2</v>
      </c>
      <c r="BX16" s="281"/>
      <c r="BY16" s="336">
        <f>BY17/BY2</f>
        <v>1.8513954346060239E-2</v>
      </c>
      <c r="BZ16" s="281"/>
      <c r="CA16" s="336">
        <f>CA17/CA2</f>
        <v>1.8737858853876889E-2</v>
      </c>
      <c r="CB16" s="281"/>
      <c r="CC16" s="336">
        <f>CC17/CC2</f>
        <v>2.0967120739969366E-2</v>
      </c>
      <c r="CD16" s="281"/>
      <c r="CE16" s="336">
        <f>CE17/CE2</f>
        <v>1.7164905288089175E-2</v>
      </c>
      <c r="CF16" s="281"/>
      <c r="CG16" s="336">
        <f>CG17/CG2</f>
        <v>2.1206051328048963E-2</v>
      </c>
      <c r="CH16" s="281"/>
      <c r="CI16" s="336">
        <f>CI17/CI2</f>
        <v>1.8985845542817861E-2</v>
      </c>
      <c r="CJ16" s="281"/>
      <c r="CK16" s="336">
        <f>CK17/CK2</f>
        <v>4.2786077632948623E-2</v>
      </c>
      <c r="CL16" s="281"/>
      <c r="CM16" s="336">
        <f>CM17/CM2</f>
        <v>2.1249971824500516E-2</v>
      </c>
      <c r="CN16" s="281"/>
      <c r="CO16" s="336">
        <f>CO17/CO2</f>
        <v>1.9880496320009346E-2</v>
      </c>
      <c r="CP16" s="281"/>
      <c r="CQ16" s="336">
        <f>CQ17/CQ2</f>
        <v>3.2870935624903876E-2</v>
      </c>
      <c r="CR16" s="281"/>
      <c r="CS16" s="336">
        <f>CS17/CS2</f>
        <v>2.0600167906749362E-2</v>
      </c>
      <c r="CT16" s="281"/>
      <c r="CU16" s="336">
        <f>CU17/CU2</f>
        <v>3.5077314504049405E-2</v>
      </c>
      <c r="CV16" s="281"/>
      <c r="CW16" s="336">
        <f>CW17/CW2</f>
        <v>2.6680474200324811E-2</v>
      </c>
      <c r="CX16" s="281"/>
      <c r="CY16" s="336">
        <f>CY17/CY2</f>
        <v>3.0604522371710945E-2</v>
      </c>
      <c r="CZ16" s="281"/>
      <c r="DA16" s="336">
        <f>DA17/DA2</f>
        <v>3.2062789962518878E-2</v>
      </c>
      <c r="DB16" s="281"/>
      <c r="DC16" s="336">
        <f>DC17/DC2</f>
        <v>4.9797538039558401E-2</v>
      </c>
      <c r="DD16" s="281"/>
      <c r="DE16" s="336">
        <f>DE17/DE2</f>
        <v>5.5714920768826649E-2</v>
      </c>
      <c r="DF16" s="281"/>
      <c r="DG16" s="336">
        <f>DG17/DG2</f>
        <v>3.7004607906739727E-2</v>
      </c>
      <c r="DH16" s="281"/>
      <c r="DI16" s="336">
        <f>DI17/DI2</f>
        <v>3.9760523395676137E-2</v>
      </c>
      <c r="DJ16" s="281"/>
      <c r="DK16" s="336">
        <f>DK17/DK2</f>
        <v>3.7672704308178026E-2</v>
      </c>
      <c r="DL16" s="281"/>
      <c r="DM16" s="381">
        <f>DM17/DM2</f>
        <v>4.1068207557975182E-2</v>
      </c>
      <c r="DN16" s="340"/>
      <c r="DO16" s="381">
        <f>DO17/DO2</f>
        <v>4.1199253005532198E-2</v>
      </c>
      <c r="DP16" s="340"/>
      <c r="DQ16" s="381">
        <f>DQ17/DQ2</f>
        <v>5.1847629621183326E-2</v>
      </c>
      <c r="DR16" s="340"/>
      <c r="DS16" s="381">
        <f>DS17/DS2</f>
        <v>2.3986355437674182E-2</v>
      </c>
      <c r="DT16" s="340"/>
      <c r="DU16" s="389" t="s">
        <v>29</v>
      </c>
      <c r="DV16" s="389" t="s">
        <v>29</v>
      </c>
      <c r="DW16" s="389" t="s">
        <v>29</v>
      </c>
      <c r="DX16" s="389" t="s">
        <v>29</v>
      </c>
      <c r="DY16" s="389" t="s">
        <v>29</v>
      </c>
      <c r="DZ16" s="389" t="s">
        <v>29</v>
      </c>
      <c r="EA16" s="389" t="s">
        <v>29</v>
      </c>
      <c r="EB16" s="389" t="s">
        <v>29</v>
      </c>
      <c r="EC16" s="389" t="s">
        <v>29</v>
      </c>
      <c r="ED16" s="389" t="s">
        <v>29</v>
      </c>
      <c r="EE16" s="389" t="s">
        <v>29</v>
      </c>
      <c r="EF16" s="389" t="s">
        <v>29</v>
      </c>
      <c r="EG16" s="389" t="s">
        <v>29</v>
      </c>
      <c r="EH16" s="389" t="s">
        <v>29</v>
      </c>
      <c r="EI16" s="389" t="s">
        <v>29</v>
      </c>
      <c r="EJ16" s="389" t="s">
        <v>29</v>
      </c>
      <c r="EK16" s="389" t="s">
        <v>29</v>
      </c>
      <c r="EL16" s="389" t="s">
        <v>29</v>
      </c>
      <c r="EM16" s="389" t="s">
        <v>29</v>
      </c>
      <c r="EN16" s="381">
        <f>EN17/EN2</f>
        <v>2.4375231885340683E-2</v>
      </c>
      <c r="EO16" s="340"/>
      <c r="EP16" s="381">
        <f>EP17/EP2</f>
        <v>3.21445937404631E-2</v>
      </c>
      <c r="EQ16" s="340"/>
      <c r="ER16" s="381">
        <f>ER17/ER2</f>
        <v>4.0444902181035525E-2</v>
      </c>
      <c r="ES16" s="340"/>
      <c r="ET16" s="381">
        <f>ET17/ET2</f>
        <v>0.13960029999999973</v>
      </c>
      <c r="EU16" s="340"/>
      <c r="EV16" s="381">
        <f>EV17/EV2</f>
        <v>8.6100043866170831E-2</v>
      </c>
      <c r="EW16" s="340"/>
      <c r="EX16" s="381">
        <f>EX17/EX2</f>
        <v>1.8455056218905475E-2</v>
      </c>
      <c r="EY16" s="340"/>
      <c r="EZ16" s="381">
        <f>EZ17/EZ2</f>
        <v>2.0625388476553045E-2</v>
      </c>
      <c r="FA16" s="340"/>
      <c r="FB16" s="381">
        <f>FB17/FB2</f>
        <v>5.2343858204930031E-2</v>
      </c>
      <c r="FC16" s="340"/>
      <c r="FD16" s="381">
        <f>FD17/FD2</f>
        <v>4.5139646387027256E-2</v>
      </c>
      <c r="FE16" s="340"/>
      <c r="FF16" s="381">
        <f>FF17/FF2</f>
        <v>5.4056607152822664E-2</v>
      </c>
      <c r="FG16" s="340"/>
      <c r="FH16" s="381">
        <f>FH17/FH2</f>
        <v>8.37063808898873E-2</v>
      </c>
      <c r="FI16" s="340"/>
      <c r="FJ16" s="381">
        <f>FJ17/FJ2</f>
        <v>5.3360117114018904E-2</v>
      </c>
      <c r="FK16" s="340"/>
      <c r="FL16" s="381">
        <f>FL17/FL2</f>
        <v>6.7824166666666671E-2</v>
      </c>
      <c r="FM16" s="340"/>
      <c r="FN16" s="381">
        <f>FN17/FN2</f>
        <v>8.2642022863373507E-2</v>
      </c>
      <c r="FO16" s="340"/>
      <c r="FP16" s="381">
        <f>FP17/FP2</f>
        <v>3.0845664294791325E-2</v>
      </c>
      <c r="FQ16" s="340"/>
      <c r="FR16" s="389" t="s">
        <v>29</v>
      </c>
      <c r="FS16" s="389" t="s">
        <v>29</v>
      </c>
      <c r="FT16" s="389" t="s">
        <v>29</v>
      </c>
      <c r="FU16" s="389" t="s">
        <v>29</v>
      </c>
      <c r="FV16" s="389" t="s">
        <v>29</v>
      </c>
      <c r="FW16" s="389" t="s">
        <v>29</v>
      </c>
      <c r="FX16" s="389" t="s">
        <v>29</v>
      </c>
      <c r="FY16" s="389" t="s">
        <v>29</v>
      </c>
      <c r="FZ16" s="389" t="s">
        <v>29</v>
      </c>
      <c r="GA16" s="389" t="s">
        <v>29</v>
      </c>
      <c r="GB16" s="389" t="s">
        <v>29</v>
      </c>
      <c r="GC16" s="389" t="s">
        <v>29</v>
      </c>
      <c r="GD16" s="389" t="s">
        <v>29</v>
      </c>
      <c r="GE16" s="389" t="s">
        <v>29</v>
      </c>
      <c r="GF16" s="288" t="s">
        <v>443</v>
      </c>
      <c r="GG16" s="288" t="s">
        <v>443</v>
      </c>
    </row>
    <row r="17" spans="1:189" ht="15" customHeight="1" outlineLevel="1" x14ac:dyDescent="0.3">
      <c r="A17" s="24"/>
      <c r="B17" s="301"/>
      <c r="C17" s="301"/>
      <c r="D17" s="301"/>
      <c r="E17" s="301"/>
      <c r="F17" s="301"/>
      <c r="G17" s="5" t="s">
        <v>36</v>
      </c>
      <c r="H17" s="5"/>
      <c r="I17" s="22">
        <f t="shared" ref="I17:J17" si="40">I18-(SUM(I19:I22))</f>
        <v>3907490.7599999988</v>
      </c>
      <c r="J17" s="23">
        <f t="shared" si="40"/>
        <v>3427</v>
      </c>
      <c r="K17" s="22">
        <f t="shared" ref="K17:L17" si="41">K18-K22</f>
        <v>755271.82</v>
      </c>
      <c r="L17" s="23">
        <f t="shared" si="41"/>
        <v>699</v>
      </c>
      <c r="M17" s="22">
        <f t="shared" ref="M17:CZ17" si="42">M18-(SUM(M19:M22))</f>
        <v>653589.74</v>
      </c>
      <c r="N17" s="23">
        <f t="shared" si="42"/>
        <v>463</v>
      </c>
      <c r="O17" s="22">
        <f t="shared" si="42"/>
        <v>509616.29000000004</v>
      </c>
      <c r="P17" s="23">
        <f t="shared" si="42"/>
        <v>477</v>
      </c>
      <c r="Q17" s="22">
        <f t="shared" si="42"/>
        <v>330809.5</v>
      </c>
      <c r="R17" s="23">
        <f t="shared" si="42"/>
        <v>280</v>
      </c>
      <c r="S17" s="22">
        <f t="shared" si="42"/>
        <v>292508.98</v>
      </c>
      <c r="T17" s="23">
        <f t="shared" si="42"/>
        <v>212</v>
      </c>
      <c r="U17" s="22">
        <f t="shared" si="42"/>
        <v>507644.70999999996</v>
      </c>
      <c r="V17" s="23">
        <f t="shared" si="42"/>
        <v>365</v>
      </c>
      <c r="W17" s="22">
        <f t="shared" si="42"/>
        <v>263247.13</v>
      </c>
      <c r="X17" s="23">
        <f t="shared" si="42"/>
        <v>219</v>
      </c>
      <c r="Y17" s="22">
        <f t="shared" si="42"/>
        <v>326636.49999999994</v>
      </c>
      <c r="Z17" s="23">
        <f t="shared" si="42"/>
        <v>275</v>
      </c>
      <c r="AA17" s="22">
        <f t="shared" si="42"/>
        <v>147201</v>
      </c>
      <c r="AB17" s="23">
        <f t="shared" si="42"/>
        <v>147</v>
      </c>
      <c r="AC17" s="22">
        <f t="shared" si="42"/>
        <v>160061</v>
      </c>
      <c r="AD17" s="23">
        <f t="shared" si="42"/>
        <v>140</v>
      </c>
      <c r="AE17" s="22">
        <f t="shared" si="42"/>
        <v>185914</v>
      </c>
      <c r="AF17" s="23">
        <f t="shared" si="42"/>
        <v>182</v>
      </c>
      <c r="AG17" s="22">
        <f t="shared" si="42"/>
        <v>105799.58999999997</v>
      </c>
      <c r="AH17" s="23">
        <f t="shared" si="42"/>
        <v>248</v>
      </c>
      <c r="AI17" s="22">
        <f t="shared" si="42"/>
        <v>158729</v>
      </c>
      <c r="AJ17" s="23">
        <f t="shared" si="42"/>
        <v>132</v>
      </c>
      <c r="AK17" s="22">
        <f t="shared" si="42"/>
        <v>118835</v>
      </c>
      <c r="AL17" s="23">
        <f t="shared" si="42"/>
        <v>126</v>
      </c>
      <c r="AM17" s="22">
        <f t="shared" si="42"/>
        <v>124546</v>
      </c>
      <c r="AN17" s="23">
        <f t="shared" si="42"/>
        <v>122</v>
      </c>
      <c r="AO17" s="22">
        <f t="shared" si="42"/>
        <v>118673</v>
      </c>
      <c r="AP17" s="23">
        <f t="shared" si="42"/>
        <v>93</v>
      </c>
      <c r="AQ17" s="22">
        <f t="shared" si="42"/>
        <v>63975</v>
      </c>
      <c r="AR17" s="23">
        <f t="shared" si="42"/>
        <v>49</v>
      </c>
      <c r="AS17" s="22">
        <f t="shared" si="42"/>
        <v>106202</v>
      </c>
      <c r="AT17" s="23">
        <f t="shared" si="42"/>
        <v>81</v>
      </c>
      <c r="AU17" s="22">
        <f t="shared" si="42"/>
        <v>139216</v>
      </c>
      <c r="AV17" s="23">
        <f t="shared" si="42"/>
        <v>121</v>
      </c>
      <c r="AW17" s="22">
        <f t="shared" si="42"/>
        <v>156795</v>
      </c>
      <c r="AX17" s="23">
        <f t="shared" si="42"/>
        <v>119</v>
      </c>
      <c r="AY17" s="22">
        <f t="shared" si="42"/>
        <v>106703</v>
      </c>
      <c r="AZ17" s="23">
        <f t="shared" si="42"/>
        <v>70</v>
      </c>
      <c r="BA17" s="22">
        <f t="shared" si="42"/>
        <v>104665</v>
      </c>
      <c r="BB17" s="23">
        <f t="shared" si="42"/>
        <v>71</v>
      </c>
      <c r="BC17" s="22">
        <f t="shared" si="42"/>
        <v>68554</v>
      </c>
      <c r="BD17" s="23">
        <f t="shared" si="42"/>
        <v>32</v>
      </c>
      <c r="BE17" s="22">
        <f t="shared" si="42"/>
        <v>186787</v>
      </c>
      <c r="BF17" s="23">
        <f t="shared" si="42"/>
        <v>121</v>
      </c>
      <c r="BG17" s="22">
        <f t="shared" si="42"/>
        <v>264444.55</v>
      </c>
      <c r="BH17" s="23">
        <f t="shared" si="42"/>
        <v>179</v>
      </c>
      <c r="BI17" s="22">
        <f t="shared" si="42"/>
        <v>348380.13</v>
      </c>
      <c r="BJ17" s="23">
        <f t="shared" si="42"/>
        <v>247</v>
      </c>
      <c r="BK17" s="22">
        <f t="shared" si="42"/>
        <v>496527.2</v>
      </c>
      <c r="BL17" s="23">
        <f t="shared" si="42"/>
        <v>330</v>
      </c>
      <c r="BM17" s="22">
        <f t="shared" si="42"/>
        <v>375457</v>
      </c>
      <c r="BN17" s="23">
        <f t="shared" si="42"/>
        <v>251</v>
      </c>
      <c r="BO17" s="22">
        <f t="shared" si="42"/>
        <v>364827</v>
      </c>
      <c r="BP17" s="23">
        <f t="shared" si="42"/>
        <v>266</v>
      </c>
      <c r="BQ17" s="22">
        <f t="shared" si="42"/>
        <v>315995.2</v>
      </c>
      <c r="BR17" s="23">
        <f t="shared" si="42"/>
        <v>219</v>
      </c>
      <c r="BS17" s="22">
        <f t="shared" si="42"/>
        <v>354629.1</v>
      </c>
      <c r="BT17" s="23">
        <f t="shared" si="42"/>
        <v>268</v>
      </c>
      <c r="BU17" s="22">
        <f t="shared" si="42"/>
        <v>405098</v>
      </c>
      <c r="BV17" s="23">
        <f t="shared" si="42"/>
        <v>320</v>
      </c>
      <c r="BW17" s="22">
        <f t="shared" si="42"/>
        <v>677059</v>
      </c>
      <c r="BX17" s="23">
        <f t="shared" si="42"/>
        <v>383</v>
      </c>
      <c r="BY17" s="22">
        <f t="shared" si="42"/>
        <v>435834</v>
      </c>
      <c r="BZ17" s="23">
        <f t="shared" si="42"/>
        <v>396</v>
      </c>
      <c r="CA17" s="22">
        <f t="shared" si="42"/>
        <v>518551</v>
      </c>
      <c r="CB17" s="23">
        <f t="shared" si="42"/>
        <v>457</v>
      </c>
      <c r="CC17" s="22">
        <f t="shared" si="42"/>
        <v>639671</v>
      </c>
      <c r="CD17" s="23">
        <f t="shared" si="42"/>
        <v>539</v>
      </c>
      <c r="CE17" s="22">
        <f t="shared" si="42"/>
        <v>458490</v>
      </c>
      <c r="CF17" s="23">
        <f t="shared" si="42"/>
        <v>366</v>
      </c>
      <c r="CG17" s="22">
        <f t="shared" si="42"/>
        <v>597393</v>
      </c>
      <c r="CH17" s="23">
        <f t="shared" si="42"/>
        <v>499</v>
      </c>
      <c r="CI17" s="22">
        <f t="shared" si="42"/>
        <v>655016</v>
      </c>
      <c r="CJ17" s="23">
        <f t="shared" si="42"/>
        <v>622</v>
      </c>
      <c r="CK17" s="22">
        <f t="shared" si="42"/>
        <v>1325277.49</v>
      </c>
      <c r="CL17" s="23">
        <f t="shared" si="42"/>
        <v>1301</v>
      </c>
      <c r="CM17" s="22">
        <f t="shared" si="42"/>
        <v>651440.56000000006</v>
      </c>
      <c r="CN17" s="23">
        <f t="shared" si="42"/>
        <v>630</v>
      </c>
      <c r="CO17" s="22">
        <f t="shared" si="42"/>
        <v>514528</v>
      </c>
      <c r="CP17" s="23">
        <f t="shared" si="42"/>
        <v>449</v>
      </c>
      <c r="CQ17" s="22">
        <f t="shared" si="42"/>
        <v>803823</v>
      </c>
      <c r="CR17" s="23">
        <f t="shared" si="42"/>
        <v>522</v>
      </c>
      <c r="CS17" s="22">
        <f t="shared" si="42"/>
        <v>678171</v>
      </c>
      <c r="CT17" s="23">
        <f t="shared" si="42"/>
        <v>601</v>
      </c>
      <c r="CU17" s="22">
        <f t="shared" si="42"/>
        <v>1095661</v>
      </c>
      <c r="CV17" s="23">
        <f t="shared" si="42"/>
        <v>975</v>
      </c>
      <c r="CW17" s="22">
        <f t="shared" si="42"/>
        <v>818605</v>
      </c>
      <c r="CX17" s="23">
        <f t="shared" si="42"/>
        <v>793</v>
      </c>
      <c r="CY17" s="22">
        <f t="shared" si="42"/>
        <v>1134475</v>
      </c>
      <c r="CZ17" s="23">
        <f t="shared" si="42"/>
        <v>1027</v>
      </c>
      <c r="DA17" s="22">
        <f t="shared" ref="DA17:DB17" si="43">DA18-(SUM(DA19:DA22))</f>
        <v>1122087</v>
      </c>
      <c r="DB17" s="23">
        <f t="shared" si="43"/>
        <v>1025</v>
      </c>
      <c r="DC17" s="22">
        <f>DC18-(SUM(DC19:DC22))</f>
        <v>1541381.9500000002</v>
      </c>
      <c r="DD17" s="23">
        <f t="shared" ref="DD17:DJ17" si="44">DD18-(SUM(DD19:DD22))</f>
        <v>1384</v>
      </c>
      <c r="DE17" s="22">
        <f t="shared" si="44"/>
        <v>1504737.6599999995</v>
      </c>
      <c r="DF17" s="23">
        <f t="shared" si="44"/>
        <v>1278</v>
      </c>
      <c r="DG17" s="22">
        <f t="shared" si="44"/>
        <v>1278331.1000000024</v>
      </c>
      <c r="DH17" s="23">
        <f t="shared" si="44"/>
        <v>961</v>
      </c>
      <c r="DI17" s="22">
        <f t="shared" si="44"/>
        <v>1261244</v>
      </c>
      <c r="DJ17" s="23">
        <f t="shared" si="44"/>
        <v>921</v>
      </c>
      <c r="DK17" s="22">
        <f t="shared" ref="DK17:DL17" si="45">DK18-(SUM(DK19:DK22))</f>
        <v>1323294.3499999973</v>
      </c>
      <c r="DL17" s="23">
        <f t="shared" si="45"/>
        <v>1058</v>
      </c>
      <c r="DM17" s="190">
        <f t="shared" ref="DM17:DN17" si="46">DM18-(SUM(DM19:DM22))</f>
        <v>1389040.2099999958</v>
      </c>
      <c r="DN17" s="191">
        <f t="shared" si="46"/>
        <v>1134</v>
      </c>
      <c r="DO17" s="190">
        <f t="shared" ref="DO17:DT17" si="47">DO18-(SUM(DO19:DO22))</f>
        <v>1429751.5199999937</v>
      </c>
      <c r="DP17" s="191">
        <f t="shared" si="47"/>
        <v>1230</v>
      </c>
      <c r="DQ17" s="190">
        <f t="shared" si="47"/>
        <v>1834288.1499999978</v>
      </c>
      <c r="DR17" s="191">
        <f t="shared" si="47"/>
        <v>1194</v>
      </c>
      <c r="DS17" s="190">
        <f t="shared" si="47"/>
        <v>727658.0900000002</v>
      </c>
      <c r="DT17" s="191">
        <f t="shared" si="47"/>
        <v>564</v>
      </c>
      <c r="DU17" s="301"/>
      <c r="DV17" s="301"/>
      <c r="DW17" s="301"/>
      <c r="DX17" s="301"/>
      <c r="DY17" s="301"/>
      <c r="DZ17" s="301"/>
      <c r="EA17" s="301"/>
      <c r="EB17" s="301"/>
      <c r="EC17" s="301"/>
      <c r="ED17" s="301"/>
      <c r="EE17" s="301"/>
      <c r="EF17" s="301"/>
      <c r="EG17" s="301"/>
      <c r="EH17" s="301"/>
      <c r="EI17" s="301"/>
      <c r="EJ17" s="301"/>
      <c r="EK17" s="301"/>
      <c r="EL17" s="301"/>
      <c r="EM17" s="301"/>
      <c r="EN17" s="190">
        <f>EN18-(SUM(EN19:EN22))</f>
        <v>793440.83000000007</v>
      </c>
      <c r="EO17" s="191">
        <f t="shared" ref="EO17:EQ17" si="48">EO18-(SUM(EO19:EO22))</f>
        <v>801</v>
      </c>
      <c r="EP17" s="190">
        <f>EP18-(SUM(EP19:EP22))</f>
        <v>1256093.3399999982</v>
      </c>
      <c r="EQ17" s="191">
        <f t="shared" si="48"/>
        <v>773</v>
      </c>
      <c r="ER17" s="190">
        <f>ER18-(SUM(ER19:ER22))</f>
        <v>1405351.1899999978</v>
      </c>
      <c r="ES17" s="191">
        <f t="shared" ref="ES17:EU17" si="49">ES18-(SUM(ES19:ES22))</f>
        <v>897</v>
      </c>
      <c r="ET17" s="190">
        <f>ET18-(SUM(ET19:ET22))</f>
        <v>2903686.2399999946</v>
      </c>
      <c r="EU17" s="191">
        <f t="shared" si="49"/>
        <v>1361</v>
      </c>
      <c r="EV17" s="190">
        <f>EV18-(SUM(EV19:EV22))</f>
        <v>2316091.1799999955</v>
      </c>
      <c r="EW17" s="191">
        <f t="shared" ref="EW17:EY17" si="50">EW18-(SUM(EW19:EW22))</f>
        <v>1320</v>
      </c>
      <c r="EX17" s="190">
        <f>EX18-(SUM(EX19:EX22))</f>
        <v>741893.26</v>
      </c>
      <c r="EY17" s="191">
        <f t="shared" si="50"/>
        <v>537</v>
      </c>
      <c r="EZ17" s="190">
        <f>EZ18-(SUM(EZ19:EZ22))</f>
        <v>783885.06999999948</v>
      </c>
      <c r="FA17" s="191">
        <f t="shared" ref="FA17:FC17" si="51">FA18-(SUM(FA19:FA22))</f>
        <v>498</v>
      </c>
      <c r="FB17" s="190">
        <f>FB18-(SUM(FB19:FB22))</f>
        <v>1996365.2300000037</v>
      </c>
      <c r="FC17" s="191">
        <f t="shared" si="51"/>
        <v>1406</v>
      </c>
      <c r="FD17" s="190">
        <f>FD18-(SUM(FD19:FD22))</f>
        <v>1738782.790000001</v>
      </c>
      <c r="FE17" s="191">
        <f t="shared" ref="FE17:FG17" si="52">FE18-(SUM(FE19:FE22))</f>
        <v>1135</v>
      </c>
      <c r="FF17" s="190">
        <f>FF18-(SUM(FF19:FF22))</f>
        <v>1925638.8399999982</v>
      </c>
      <c r="FG17" s="191">
        <f t="shared" si="52"/>
        <v>1191</v>
      </c>
      <c r="FH17" s="190">
        <f>FH18-(SUM(FH19:FH22))</f>
        <v>2538936.66</v>
      </c>
      <c r="FI17" s="191">
        <f t="shared" ref="FI17:FM17" si="53">FI18-(SUM(FI19:FI22))</f>
        <v>1222</v>
      </c>
      <c r="FJ17" s="190">
        <f>FJ18-(SUM(FJ19:FJ22))</f>
        <v>1400920.4100000015</v>
      </c>
      <c r="FK17" s="191">
        <f t="shared" ref="FK17" si="54">FK18-(SUM(FK19:FK22))</f>
        <v>995</v>
      </c>
      <c r="FL17" s="190">
        <f>FL18-(SUM(FL19:FL22))</f>
        <v>1627780</v>
      </c>
      <c r="FM17" s="191">
        <f t="shared" si="53"/>
        <v>1051</v>
      </c>
      <c r="FN17" s="190">
        <f>FN18-(SUM(FN19:FN22))</f>
        <v>1554099.8699999996</v>
      </c>
      <c r="FO17" s="191">
        <f t="shared" ref="FO17:FQ17" si="55">FO18-(SUM(FO19:FO22))</f>
        <v>407</v>
      </c>
      <c r="FP17" s="190">
        <f>FP18-(SUM(FP19:FP22))</f>
        <v>529571.59000000008</v>
      </c>
      <c r="FQ17" s="191">
        <f t="shared" si="55"/>
        <v>385</v>
      </c>
      <c r="FR17" s="301"/>
      <c r="FS17" s="301"/>
      <c r="FT17" s="301"/>
      <c r="FU17" s="301"/>
      <c r="FV17" s="301"/>
      <c r="FW17" s="301"/>
      <c r="FX17" s="301"/>
      <c r="FY17" s="301"/>
      <c r="FZ17" s="301"/>
      <c r="GA17" s="301"/>
      <c r="GB17" s="301"/>
      <c r="GC17" s="301"/>
      <c r="GD17" s="301"/>
      <c r="GE17" s="301"/>
      <c r="GF17" s="289"/>
      <c r="GG17" s="289"/>
    </row>
    <row r="18" spans="1:189" ht="15" customHeight="1" outlineLevel="1" x14ac:dyDescent="0.3">
      <c r="A18" s="24"/>
      <c r="B18" s="301"/>
      <c r="C18" s="301"/>
      <c r="D18" s="301"/>
      <c r="E18" s="301"/>
      <c r="F18" s="301"/>
      <c r="G18" s="5" t="s">
        <v>37</v>
      </c>
      <c r="H18" s="5"/>
      <c r="I18" s="22">
        <f t="shared" ref="I18:J18" si="56">AG18+AE18+AC18+AA18+Y18+W18+U18+S18+O18+M18+K18</f>
        <v>5552126.5799999991</v>
      </c>
      <c r="J18" s="23">
        <f t="shared" si="56"/>
        <v>4837</v>
      </c>
      <c r="K18" s="22">
        <v>815975.76</v>
      </c>
      <c r="L18" s="23">
        <v>762</v>
      </c>
      <c r="M18" s="22">
        <v>744591.1</v>
      </c>
      <c r="N18" s="23">
        <v>539</v>
      </c>
      <c r="O18" s="22">
        <v>597656.55000000005</v>
      </c>
      <c r="P18" s="23">
        <v>542</v>
      </c>
      <c r="Q18" s="22">
        <v>384181.41</v>
      </c>
      <c r="R18" s="23">
        <v>330</v>
      </c>
      <c r="S18" s="22">
        <v>376156.85</v>
      </c>
      <c r="T18" s="23">
        <v>273</v>
      </c>
      <c r="U18" s="22">
        <v>622561.96</v>
      </c>
      <c r="V18" s="23">
        <f>444+12</f>
        <v>456</v>
      </c>
      <c r="W18" s="22">
        <v>393099.81</v>
      </c>
      <c r="X18" s="23">
        <f>329+3</f>
        <v>332</v>
      </c>
      <c r="Y18" s="22">
        <v>568350.06999999995</v>
      </c>
      <c r="Z18" s="23">
        <v>407</v>
      </c>
      <c r="AA18" s="22">
        <v>315959</v>
      </c>
      <c r="AB18" s="23">
        <v>366</v>
      </c>
      <c r="AC18" s="22">
        <v>326751</v>
      </c>
      <c r="AD18" s="23">
        <v>332</v>
      </c>
      <c r="AE18" s="22">
        <v>457357</v>
      </c>
      <c r="AF18" s="23">
        <v>473</v>
      </c>
      <c r="AG18" s="22">
        <v>333667.48</v>
      </c>
      <c r="AH18" s="23">
        <v>355</v>
      </c>
      <c r="AI18" s="22">
        <v>344301</v>
      </c>
      <c r="AJ18" s="23">
        <v>340</v>
      </c>
      <c r="AK18" s="22">
        <v>319053</v>
      </c>
      <c r="AL18" s="23">
        <v>349</v>
      </c>
      <c r="AM18" s="22">
        <v>280059</v>
      </c>
      <c r="AN18" s="23">
        <v>314</v>
      </c>
      <c r="AO18" s="22">
        <v>342217</v>
      </c>
      <c r="AP18" s="23">
        <v>410</v>
      </c>
      <c r="AQ18" s="22">
        <v>308156</v>
      </c>
      <c r="AR18" s="23">
        <v>311</v>
      </c>
      <c r="AS18" s="22">
        <v>287828</v>
      </c>
      <c r="AT18" s="23">
        <v>249</v>
      </c>
      <c r="AU18" s="22">
        <v>371296</v>
      </c>
      <c r="AV18" s="23">
        <v>331</v>
      </c>
      <c r="AW18" s="22">
        <v>536288</v>
      </c>
      <c r="AX18" s="23">
        <v>407</v>
      </c>
      <c r="AY18" s="22">
        <v>494153</v>
      </c>
      <c r="AZ18" s="23">
        <v>379</v>
      </c>
      <c r="BA18" s="22">
        <v>561302</v>
      </c>
      <c r="BB18" s="23">
        <v>433</v>
      </c>
      <c r="BC18" s="22">
        <v>623937</v>
      </c>
      <c r="BD18" s="23">
        <v>485</v>
      </c>
      <c r="BE18" s="22">
        <v>619367</v>
      </c>
      <c r="BF18" s="23">
        <v>425</v>
      </c>
      <c r="BG18" s="22">
        <v>420076</v>
      </c>
      <c r="BH18" s="23">
        <v>274</v>
      </c>
      <c r="BI18" s="22">
        <v>428735</v>
      </c>
      <c r="BJ18" s="23">
        <v>296</v>
      </c>
      <c r="BK18" s="22">
        <v>691913</v>
      </c>
      <c r="BL18" s="23">
        <v>450</v>
      </c>
      <c r="BM18" s="22">
        <v>475151</v>
      </c>
      <c r="BN18" s="23">
        <v>311</v>
      </c>
      <c r="BO18" s="22">
        <v>483387</v>
      </c>
      <c r="BP18" s="23">
        <v>342</v>
      </c>
      <c r="BQ18" s="22">
        <v>401714</v>
      </c>
      <c r="BR18" s="23">
        <v>268</v>
      </c>
      <c r="BS18" s="22">
        <v>461949</v>
      </c>
      <c r="BT18" s="23">
        <v>352</v>
      </c>
      <c r="BU18" s="22">
        <v>511384</v>
      </c>
      <c r="BV18" s="23">
        <v>391</v>
      </c>
      <c r="BW18" s="22">
        <v>794671</v>
      </c>
      <c r="BX18" s="23">
        <v>460</v>
      </c>
      <c r="BY18" s="22">
        <v>705214</v>
      </c>
      <c r="BZ18" s="23">
        <v>468</v>
      </c>
      <c r="CA18" s="22">
        <v>817621</v>
      </c>
      <c r="CB18" s="23">
        <v>606</v>
      </c>
      <c r="CC18" s="22">
        <v>981835</v>
      </c>
      <c r="CD18" s="23">
        <v>725</v>
      </c>
      <c r="CE18" s="22">
        <v>601478</v>
      </c>
      <c r="CF18" s="23">
        <v>434</v>
      </c>
      <c r="CG18" s="22">
        <v>698591</v>
      </c>
      <c r="CH18" s="23">
        <v>572</v>
      </c>
      <c r="CI18" s="22">
        <v>790932</v>
      </c>
      <c r="CJ18" s="23">
        <v>718</v>
      </c>
      <c r="CK18" s="22">
        <v>1503430.49</v>
      </c>
      <c r="CL18" s="23">
        <v>1454</v>
      </c>
      <c r="CM18" s="22">
        <v>760630.56</v>
      </c>
      <c r="CN18" s="23">
        <v>725</v>
      </c>
      <c r="CO18" s="22">
        <v>607952</v>
      </c>
      <c r="CP18" s="23">
        <v>517</v>
      </c>
      <c r="CQ18" s="22">
        <v>932181</v>
      </c>
      <c r="CR18" s="23">
        <v>606</v>
      </c>
      <c r="CS18" s="22">
        <v>1200983</v>
      </c>
      <c r="CT18" s="23">
        <v>874</v>
      </c>
      <c r="CU18" s="22">
        <v>1551967</v>
      </c>
      <c r="CV18" s="23">
        <v>1345</v>
      </c>
      <c r="CW18" s="22">
        <v>921068</v>
      </c>
      <c r="CX18" s="23">
        <v>859</v>
      </c>
      <c r="CY18" s="22">
        <v>1247467</v>
      </c>
      <c r="CZ18" s="23">
        <v>1111</v>
      </c>
      <c r="DA18" s="22">
        <v>1305279</v>
      </c>
      <c r="DB18" s="23">
        <v>1114</v>
      </c>
      <c r="DC18" s="22">
        <v>1694240.62</v>
      </c>
      <c r="DD18" s="23">
        <v>1491</v>
      </c>
      <c r="DE18" s="22">
        <v>1726035.4899999995</v>
      </c>
      <c r="DF18" s="23">
        <v>1448</v>
      </c>
      <c r="DG18" s="22">
        <v>1546605.1600000025</v>
      </c>
      <c r="DH18" s="23">
        <v>1133</v>
      </c>
      <c r="DI18" s="22">
        <v>1490650</v>
      </c>
      <c r="DJ18" s="23">
        <v>1033</v>
      </c>
      <c r="DK18" s="22">
        <v>1579888.8699999973</v>
      </c>
      <c r="DL18" s="23">
        <v>1203</v>
      </c>
      <c r="DM18" s="190">
        <v>1730806.9699999958</v>
      </c>
      <c r="DN18" s="191">
        <v>1350</v>
      </c>
      <c r="DO18" s="190">
        <v>1921110.9799999939</v>
      </c>
      <c r="DP18" s="191">
        <v>1558</v>
      </c>
      <c r="DQ18" s="190">
        <v>2034742.5199999979</v>
      </c>
      <c r="DR18" s="191">
        <v>1340</v>
      </c>
      <c r="DS18" s="190">
        <v>868273.56000000017</v>
      </c>
      <c r="DT18" s="191">
        <v>664</v>
      </c>
      <c r="DU18" s="301"/>
      <c r="DV18" s="301"/>
      <c r="DW18" s="301"/>
      <c r="DX18" s="301"/>
      <c r="DY18" s="301"/>
      <c r="DZ18" s="301"/>
      <c r="EA18" s="301"/>
      <c r="EB18" s="301"/>
      <c r="EC18" s="301"/>
      <c r="ED18" s="301"/>
      <c r="EE18" s="301"/>
      <c r="EF18" s="301"/>
      <c r="EG18" s="301"/>
      <c r="EH18" s="301"/>
      <c r="EI18" s="301"/>
      <c r="EJ18" s="301"/>
      <c r="EK18" s="301"/>
      <c r="EL18" s="301"/>
      <c r="EM18" s="301"/>
      <c r="EN18" s="190">
        <v>954466.5</v>
      </c>
      <c r="EO18" s="191">
        <v>917</v>
      </c>
      <c r="EP18" s="190">
        <v>1465066.2799999982</v>
      </c>
      <c r="EQ18" s="191">
        <v>902</v>
      </c>
      <c r="ER18" s="190">
        <v>1654962.2299999979</v>
      </c>
      <c r="ES18" s="191">
        <v>1040</v>
      </c>
      <c r="ET18" s="190">
        <v>3626081.2399999946</v>
      </c>
      <c r="EU18" s="191">
        <v>1743</v>
      </c>
      <c r="EV18" s="190">
        <v>2469349.7499999953</v>
      </c>
      <c r="EW18" s="191">
        <v>1417</v>
      </c>
      <c r="EX18" s="190">
        <v>741893.26</v>
      </c>
      <c r="EY18" s="191">
        <v>537</v>
      </c>
      <c r="EZ18" s="190">
        <v>783885.06999999948</v>
      </c>
      <c r="FA18" s="191">
        <v>498</v>
      </c>
      <c r="FB18" s="190">
        <v>1996365.2300000037</v>
      </c>
      <c r="FC18" s="191">
        <v>1406</v>
      </c>
      <c r="FD18" s="190">
        <v>1738782.790000001</v>
      </c>
      <c r="FE18" s="191">
        <v>1135</v>
      </c>
      <c r="FF18" s="190">
        <v>1925638.8399999982</v>
      </c>
      <c r="FG18" s="191">
        <v>1191</v>
      </c>
      <c r="FH18" s="190">
        <v>2538936.66</v>
      </c>
      <c r="FI18" s="191">
        <v>1222</v>
      </c>
      <c r="FJ18" s="190">
        <v>1400920.4100000015</v>
      </c>
      <c r="FK18" s="191">
        <v>995</v>
      </c>
      <c r="FL18" s="190">
        <v>1627780</v>
      </c>
      <c r="FM18" s="191">
        <v>1051</v>
      </c>
      <c r="FN18" s="190">
        <v>1561187.5999999996</v>
      </c>
      <c r="FO18" s="191">
        <v>412</v>
      </c>
      <c r="FP18" s="190">
        <v>529571.59000000008</v>
      </c>
      <c r="FQ18" s="191">
        <v>385</v>
      </c>
      <c r="FR18" s="301"/>
      <c r="FS18" s="301"/>
      <c r="FT18" s="301"/>
      <c r="FU18" s="301"/>
      <c r="FV18" s="301"/>
      <c r="FW18" s="301"/>
      <c r="FX18" s="301"/>
      <c r="FY18" s="301"/>
      <c r="FZ18" s="301"/>
      <c r="GA18" s="301"/>
      <c r="GB18" s="301"/>
      <c r="GC18" s="301"/>
      <c r="GD18" s="301"/>
      <c r="GE18" s="301"/>
      <c r="GF18" s="289"/>
      <c r="GG18" s="289"/>
    </row>
    <row r="19" spans="1:189" ht="15" customHeight="1" outlineLevel="1" x14ac:dyDescent="0.3">
      <c r="A19" s="24"/>
      <c r="B19" s="301"/>
      <c r="C19" s="301"/>
      <c r="D19" s="301"/>
      <c r="E19" s="301"/>
      <c r="F19" s="301"/>
      <c r="G19" s="187" t="s">
        <v>38</v>
      </c>
      <c r="H19" s="5"/>
      <c r="I19" s="22">
        <f t="shared" ref="I19:J19" si="57">AG19+AE19+AC19+AA19+Y19+W19+U19+S19+O19+M19+K19</f>
        <v>620851.22000000009</v>
      </c>
      <c r="J19" s="23">
        <f t="shared" si="57"/>
        <v>517</v>
      </c>
      <c r="K19" s="22"/>
      <c r="L19" s="23"/>
      <c r="M19" s="22">
        <f>N19*M5</f>
        <v>0</v>
      </c>
      <c r="N19" s="23">
        <v>0</v>
      </c>
      <c r="O19" s="22">
        <v>3788</v>
      </c>
      <c r="P19" s="23">
        <v>2</v>
      </c>
      <c r="Q19" s="22">
        <v>793.9</v>
      </c>
      <c r="R19" s="23">
        <v>1</v>
      </c>
      <c r="S19" s="22">
        <v>1177.8</v>
      </c>
      <c r="T19" s="23">
        <v>2</v>
      </c>
      <c r="U19" s="22">
        <v>4452</v>
      </c>
      <c r="V19" s="23">
        <v>3</v>
      </c>
      <c r="W19" s="22">
        <v>5517.93</v>
      </c>
      <c r="X19" s="23">
        <v>4</v>
      </c>
      <c r="Y19" s="22">
        <v>84518.080000000002</v>
      </c>
      <c r="Z19" s="23">
        <v>24</v>
      </c>
      <c r="AA19" s="22">
        <v>94337</v>
      </c>
      <c r="AB19" s="23">
        <f>28+101</f>
        <v>129</v>
      </c>
      <c r="AC19" s="22">
        <v>104523</v>
      </c>
      <c r="AD19" s="23">
        <f>26+102</f>
        <v>128</v>
      </c>
      <c r="AE19" s="22">
        <v>167620</v>
      </c>
      <c r="AF19" s="23">
        <v>185</v>
      </c>
      <c r="AG19" s="22">
        <v>154917.41</v>
      </c>
      <c r="AH19" s="23">
        <v>40</v>
      </c>
      <c r="AI19" s="22">
        <v>122739</v>
      </c>
      <c r="AJ19" s="23">
        <v>145</v>
      </c>
      <c r="AK19" s="22">
        <v>115694</v>
      </c>
      <c r="AL19" s="23">
        <v>139</v>
      </c>
      <c r="AM19" s="22">
        <v>99384</v>
      </c>
      <c r="AN19" s="23">
        <v>123</v>
      </c>
      <c r="AO19" s="22">
        <v>167656</v>
      </c>
      <c r="AP19" s="23">
        <v>241</v>
      </c>
      <c r="AQ19" s="22">
        <v>115053</v>
      </c>
      <c r="AR19" s="23">
        <v>137</v>
      </c>
      <c r="AS19" s="22">
        <v>121323</v>
      </c>
      <c r="AT19" s="23">
        <v>112</v>
      </c>
      <c r="AU19" s="22">
        <v>152454</v>
      </c>
      <c r="AV19" s="23">
        <v>140</v>
      </c>
      <c r="AW19" s="22">
        <v>297756</v>
      </c>
      <c r="AX19" s="23">
        <v>224</v>
      </c>
      <c r="AY19" s="22">
        <v>289893</v>
      </c>
      <c r="AZ19" s="23">
        <v>231</v>
      </c>
      <c r="BA19" s="22">
        <v>333359</v>
      </c>
      <c r="BB19" s="23">
        <v>268</v>
      </c>
      <c r="BC19" s="22">
        <v>404161</v>
      </c>
      <c r="BD19" s="23">
        <v>334</v>
      </c>
      <c r="BE19" s="22">
        <v>312369</v>
      </c>
      <c r="BF19" s="23">
        <v>229</v>
      </c>
      <c r="BG19" s="22">
        <v>6913.45</v>
      </c>
      <c r="BH19" s="23">
        <v>5</v>
      </c>
      <c r="BI19" s="22">
        <v>6398.87</v>
      </c>
      <c r="BJ19" s="23">
        <v>3</v>
      </c>
      <c r="BK19" s="22">
        <v>6286.8</v>
      </c>
      <c r="BL19" s="23">
        <v>3</v>
      </c>
      <c r="BM19" s="22">
        <v>0</v>
      </c>
      <c r="BN19" s="23">
        <v>0</v>
      </c>
      <c r="BO19" s="22">
        <v>4596</v>
      </c>
      <c r="BP19" s="23">
        <v>5</v>
      </c>
      <c r="BQ19" s="22">
        <v>1423.8</v>
      </c>
      <c r="BR19" s="23">
        <v>2</v>
      </c>
      <c r="BS19" s="22">
        <v>6803.9</v>
      </c>
      <c r="BT19" s="23">
        <v>3</v>
      </c>
      <c r="BU19" s="22">
        <v>4553</v>
      </c>
      <c r="BV19" s="23">
        <v>4</v>
      </c>
      <c r="BW19" s="22">
        <v>21914</v>
      </c>
      <c r="BX19" s="23">
        <v>12</v>
      </c>
      <c r="BY19" s="22">
        <v>16367</v>
      </c>
      <c r="BZ19" s="23">
        <v>8</v>
      </c>
      <c r="CA19" s="22">
        <v>100101</v>
      </c>
      <c r="CB19" s="23">
        <v>37</v>
      </c>
      <c r="CC19" s="22">
        <v>19720</v>
      </c>
      <c r="CD19" s="23">
        <v>7</v>
      </c>
      <c r="CE19" s="22">
        <v>33909</v>
      </c>
      <c r="CF19" s="23">
        <v>10</v>
      </c>
      <c r="CG19" s="22">
        <v>3260</v>
      </c>
      <c r="CH19" s="23">
        <v>2</v>
      </c>
      <c r="CI19" s="22">
        <v>10909</v>
      </c>
      <c r="CJ19" s="23">
        <v>5</v>
      </c>
      <c r="CK19" s="22">
        <v>7559</v>
      </c>
      <c r="CL19" s="23">
        <v>1</v>
      </c>
      <c r="CM19" s="22">
        <v>1919</v>
      </c>
      <c r="CN19" s="23">
        <v>1</v>
      </c>
      <c r="CO19" s="22">
        <v>8434</v>
      </c>
      <c r="CP19" s="23">
        <v>4</v>
      </c>
      <c r="CQ19" s="22">
        <v>7445</v>
      </c>
      <c r="CR19" s="23">
        <v>3</v>
      </c>
      <c r="CS19" s="22">
        <v>315683</v>
      </c>
      <c r="CT19" s="23">
        <v>155</v>
      </c>
      <c r="CU19" s="22">
        <v>51153</v>
      </c>
      <c r="CV19" s="23">
        <v>31</v>
      </c>
      <c r="CW19" s="22">
        <v>18092</v>
      </c>
      <c r="CX19" s="23">
        <v>11</v>
      </c>
      <c r="CY19" s="22">
        <v>8930</v>
      </c>
      <c r="CZ19" s="23">
        <v>7</v>
      </c>
      <c r="DA19" s="22">
        <v>76388</v>
      </c>
      <c r="DB19" s="23">
        <v>12</v>
      </c>
      <c r="DC19" s="22">
        <v>3627.67</v>
      </c>
      <c r="DD19" s="23">
        <v>4</v>
      </c>
      <c r="DE19" s="22">
        <v>2013.05</v>
      </c>
      <c r="DF19" s="23">
        <v>1</v>
      </c>
      <c r="DG19" s="22">
        <v>18102</v>
      </c>
      <c r="DH19" s="23">
        <v>13</v>
      </c>
      <c r="DI19" s="22">
        <v>1384</v>
      </c>
      <c r="DJ19" s="23">
        <v>1</v>
      </c>
      <c r="DK19" s="22">
        <v>1736.96</v>
      </c>
      <c r="DL19" s="23">
        <v>1</v>
      </c>
      <c r="DM19" s="190">
        <v>579</v>
      </c>
      <c r="DN19" s="191">
        <v>1</v>
      </c>
      <c r="DO19" s="190">
        <v>1577.78</v>
      </c>
      <c r="DP19" s="191">
        <v>2</v>
      </c>
      <c r="DQ19" s="190">
        <v>0</v>
      </c>
      <c r="DR19" s="191">
        <v>0</v>
      </c>
      <c r="DS19" s="190">
        <v>7006.38</v>
      </c>
      <c r="DT19" s="191">
        <v>3</v>
      </c>
      <c r="DU19" s="301"/>
      <c r="DV19" s="301"/>
      <c r="DW19" s="301"/>
      <c r="DX19" s="301"/>
      <c r="DY19" s="301"/>
      <c r="DZ19" s="301"/>
      <c r="EA19" s="301"/>
      <c r="EB19" s="301"/>
      <c r="EC19" s="301"/>
      <c r="ED19" s="301"/>
      <c r="EE19" s="301"/>
      <c r="EF19" s="301"/>
      <c r="EG19" s="301"/>
      <c r="EH19" s="301"/>
      <c r="EI19" s="301"/>
      <c r="EJ19" s="301"/>
      <c r="EK19" s="301"/>
      <c r="EL19" s="301"/>
      <c r="EM19" s="301"/>
      <c r="EN19" s="190">
        <v>2365.9</v>
      </c>
      <c r="EO19" s="191">
        <v>1</v>
      </c>
      <c r="EP19" s="190">
        <v>2581.94</v>
      </c>
      <c r="EQ19" s="191">
        <v>1</v>
      </c>
      <c r="ER19" s="190">
        <v>2915.94</v>
      </c>
      <c r="ES19" s="191">
        <v>4</v>
      </c>
      <c r="ET19" s="190">
        <v>0</v>
      </c>
      <c r="EU19" s="191">
        <v>0</v>
      </c>
      <c r="EV19" s="190">
        <v>0</v>
      </c>
      <c r="EW19" s="191">
        <v>0</v>
      </c>
      <c r="EX19" s="190">
        <v>0</v>
      </c>
      <c r="EY19" s="191">
        <v>0</v>
      </c>
      <c r="EZ19" s="190">
        <v>0</v>
      </c>
      <c r="FA19" s="191">
        <v>0</v>
      </c>
      <c r="FB19" s="190">
        <v>0</v>
      </c>
      <c r="FC19" s="191">
        <v>0</v>
      </c>
      <c r="FD19" s="190">
        <v>0</v>
      </c>
      <c r="FE19" s="191">
        <v>0</v>
      </c>
      <c r="FF19" s="190">
        <v>0</v>
      </c>
      <c r="FG19" s="191">
        <v>0</v>
      </c>
      <c r="FH19" s="190">
        <v>0</v>
      </c>
      <c r="FI19" s="191">
        <v>0</v>
      </c>
      <c r="FJ19" s="190">
        <v>0</v>
      </c>
      <c r="FK19" s="191">
        <v>0</v>
      </c>
      <c r="FL19" s="190">
        <v>0</v>
      </c>
      <c r="FM19" s="191">
        <v>0</v>
      </c>
      <c r="FN19" s="190">
        <v>1921.98</v>
      </c>
      <c r="FO19" s="191">
        <v>1</v>
      </c>
      <c r="FP19" s="190"/>
      <c r="FQ19" s="191"/>
      <c r="FR19" s="301"/>
      <c r="FS19" s="301"/>
      <c r="FT19" s="301"/>
      <c r="FU19" s="301"/>
      <c r="FV19" s="301"/>
      <c r="FW19" s="301"/>
      <c r="FX19" s="301"/>
      <c r="FY19" s="301"/>
      <c r="FZ19" s="301"/>
      <c r="GA19" s="301"/>
      <c r="GB19" s="301"/>
      <c r="GC19" s="301"/>
      <c r="GD19" s="301"/>
      <c r="GE19" s="301"/>
      <c r="GF19" s="289"/>
      <c r="GG19" s="289"/>
    </row>
    <row r="20" spans="1:189" ht="15" customHeight="1" outlineLevel="1" x14ac:dyDescent="0.3">
      <c r="A20" s="24"/>
      <c r="B20" s="301"/>
      <c r="C20" s="301"/>
      <c r="D20" s="301"/>
      <c r="E20" s="301"/>
      <c r="F20" s="301"/>
      <c r="G20" s="187" t="s">
        <v>39</v>
      </c>
      <c r="H20" s="5"/>
      <c r="I20" s="22">
        <f t="shared" ref="I20:J20" si="58">AG20+AE20+AC20+AA20+Y20+W20+U20+S20+O20+M20+K20</f>
        <v>40737.300000000003</v>
      </c>
      <c r="J20" s="23">
        <f t="shared" si="58"/>
        <v>42</v>
      </c>
      <c r="K20" s="22"/>
      <c r="L20" s="23"/>
      <c r="M20" s="22">
        <f>N20*M5</f>
        <v>6619.98</v>
      </c>
      <c r="N20" s="23">
        <v>6</v>
      </c>
      <c r="O20" s="22">
        <v>2277.9</v>
      </c>
      <c r="P20" s="23">
        <v>2</v>
      </c>
      <c r="Q20" s="22">
        <v>4080.7</v>
      </c>
      <c r="R20" s="23">
        <v>4</v>
      </c>
      <c r="S20" s="22">
        <v>2769.35</v>
      </c>
      <c r="T20" s="23">
        <v>3</v>
      </c>
      <c r="U20" s="22">
        <v>11247.800000000001</v>
      </c>
      <c r="V20" s="23">
        <v>9</v>
      </c>
      <c r="W20" s="22">
        <v>6013.1</v>
      </c>
      <c r="X20" s="23">
        <v>7</v>
      </c>
      <c r="Y20" s="22">
        <v>421.19</v>
      </c>
      <c r="Z20" s="23">
        <v>1</v>
      </c>
      <c r="AA20" s="22">
        <v>4102</v>
      </c>
      <c r="AB20" s="23">
        <v>5</v>
      </c>
      <c r="AC20" s="22">
        <v>732</v>
      </c>
      <c r="AD20" s="23">
        <v>1</v>
      </c>
      <c r="AE20" s="22">
        <v>5388</v>
      </c>
      <c r="AF20" s="23">
        <v>6</v>
      </c>
      <c r="AG20" s="22">
        <v>1165.98</v>
      </c>
      <c r="AH20" s="23">
        <v>2</v>
      </c>
      <c r="AI20" s="22">
        <v>3632</v>
      </c>
      <c r="AJ20" s="23">
        <v>4</v>
      </c>
      <c r="AK20" s="22">
        <v>9177</v>
      </c>
      <c r="AL20" s="23">
        <v>7</v>
      </c>
      <c r="AM20" s="22">
        <v>1069</v>
      </c>
      <c r="AN20" s="23">
        <v>1</v>
      </c>
      <c r="AO20" s="22">
        <v>1335</v>
      </c>
      <c r="AP20" s="23">
        <v>2</v>
      </c>
      <c r="AQ20" s="22">
        <v>0</v>
      </c>
      <c r="AR20" s="23">
        <v>0</v>
      </c>
      <c r="AS20" s="22">
        <v>0</v>
      </c>
      <c r="AT20" s="23">
        <v>0</v>
      </c>
      <c r="AU20" s="22">
        <v>2619</v>
      </c>
      <c r="AV20" s="23">
        <v>1</v>
      </c>
      <c r="AW20" s="22">
        <v>2964</v>
      </c>
      <c r="AX20" s="23">
        <v>2</v>
      </c>
      <c r="AY20" s="22">
        <v>6990</v>
      </c>
      <c r="AZ20" s="23">
        <v>4</v>
      </c>
      <c r="BA20" s="22">
        <v>5200</v>
      </c>
      <c r="BB20" s="23">
        <v>4</v>
      </c>
      <c r="BC20" s="22">
        <v>5406</v>
      </c>
      <c r="BD20" s="23">
        <v>3</v>
      </c>
      <c r="BE20" s="22">
        <v>4068</v>
      </c>
      <c r="BF20" s="23">
        <v>3</v>
      </c>
      <c r="BG20" s="22">
        <v>0</v>
      </c>
      <c r="BH20" s="23">
        <v>0</v>
      </c>
      <c r="BI20" s="22">
        <v>0</v>
      </c>
      <c r="BJ20" s="23">
        <v>0</v>
      </c>
      <c r="BK20" s="22">
        <v>28512</v>
      </c>
      <c r="BL20" s="23">
        <v>19</v>
      </c>
      <c r="BM20" s="22">
        <v>0</v>
      </c>
      <c r="BN20" s="23">
        <v>0</v>
      </c>
      <c r="BO20" s="22">
        <v>7417</v>
      </c>
      <c r="BP20" s="23">
        <v>4</v>
      </c>
      <c r="BQ20" s="22">
        <v>2793</v>
      </c>
      <c r="BR20" s="23">
        <v>2</v>
      </c>
      <c r="BS20" s="22">
        <v>1640</v>
      </c>
      <c r="BT20" s="23">
        <v>2</v>
      </c>
      <c r="BU20" s="22">
        <v>3817</v>
      </c>
      <c r="BV20" s="23">
        <v>3</v>
      </c>
      <c r="BW20" s="22">
        <v>0</v>
      </c>
      <c r="BX20" s="23">
        <v>0</v>
      </c>
      <c r="BY20" s="22">
        <v>0</v>
      </c>
      <c r="BZ20" s="23">
        <v>0</v>
      </c>
      <c r="CA20" s="22">
        <v>2448</v>
      </c>
      <c r="CB20" s="23">
        <v>2</v>
      </c>
      <c r="CC20" s="22">
        <v>1898</v>
      </c>
      <c r="CD20" s="23">
        <v>3</v>
      </c>
      <c r="CE20" s="22">
        <v>6896</v>
      </c>
      <c r="CF20" s="23">
        <v>6</v>
      </c>
      <c r="CG20" s="22">
        <v>1062</v>
      </c>
      <c r="CH20" s="23">
        <v>2</v>
      </c>
      <c r="CI20" s="22">
        <v>5052</v>
      </c>
      <c r="CJ20" s="23">
        <v>5</v>
      </c>
      <c r="CK20" s="22">
        <v>4855</v>
      </c>
      <c r="CL20" s="23">
        <v>4</v>
      </c>
      <c r="CM20" s="22">
        <v>849</v>
      </c>
      <c r="CN20" s="23">
        <v>1</v>
      </c>
      <c r="CO20" s="22">
        <v>3140</v>
      </c>
      <c r="CP20" s="23">
        <v>1</v>
      </c>
      <c r="CQ20" s="22">
        <v>0</v>
      </c>
      <c r="CR20" s="23">
        <v>0</v>
      </c>
      <c r="CS20" s="22">
        <v>3738</v>
      </c>
      <c r="CT20" s="23">
        <v>2</v>
      </c>
      <c r="CU20" s="22">
        <v>3813</v>
      </c>
      <c r="CV20" s="23">
        <v>2</v>
      </c>
      <c r="CW20" s="22">
        <v>1579</v>
      </c>
      <c r="CX20" s="23">
        <v>1</v>
      </c>
      <c r="CY20" s="22">
        <v>3227</v>
      </c>
      <c r="CZ20" s="23">
        <v>4</v>
      </c>
      <c r="DA20" s="22">
        <v>0</v>
      </c>
      <c r="DB20" s="23">
        <v>0</v>
      </c>
      <c r="DC20" s="22">
        <v>5097.1000000000004</v>
      </c>
      <c r="DD20" s="23">
        <v>3</v>
      </c>
      <c r="DE20" s="22">
        <v>0</v>
      </c>
      <c r="DF20" s="23">
        <v>0</v>
      </c>
      <c r="DG20" s="22">
        <v>0</v>
      </c>
      <c r="DH20" s="23">
        <v>0</v>
      </c>
      <c r="DI20" s="22">
        <v>0</v>
      </c>
      <c r="DJ20" s="23">
        <v>0</v>
      </c>
      <c r="DK20" s="22">
        <v>6035.7</v>
      </c>
      <c r="DL20" s="23">
        <v>2</v>
      </c>
      <c r="DM20" s="190">
        <v>7227.7</v>
      </c>
      <c r="DN20" s="191">
        <v>8</v>
      </c>
      <c r="DO20" s="190">
        <v>42069.94</v>
      </c>
      <c r="DP20" s="191">
        <v>28</v>
      </c>
      <c r="DQ20" s="190">
        <v>0</v>
      </c>
      <c r="DR20" s="191">
        <v>0</v>
      </c>
      <c r="DS20" s="190">
        <v>792.1</v>
      </c>
      <c r="DT20" s="191">
        <v>1</v>
      </c>
      <c r="DU20" s="301"/>
      <c r="DV20" s="301"/>
      <c r="DW20" s="301"/>
      <c r="DX20" s="301"/>
      <c r="DY20" s="301"/>
      <c r="DZ20" s="301"/>
      <c r="EA20" s="301"/>
      <c r="EB20" s="301"/>
      <c r="EC20" s="301"/>
      <c r="ED20" s="301"/>
      <c r="EE20" s="301"/>
      <c r="EF20" s="301"/>
      <c r="EG20" s="301"/>
      <c r="EH20" s="301"/>
      <c r="EI20" s="301"/>
      <c r="EJ20" s="301"/>
      <c r="EK20" s="301"/>
      <c r="EL20" s="301"/>
      <c r="EM20" s="301"/>
      <c r="EN20" s="190">
        <v>0</v>
      </c>
      <c r="EO20" s="191">
        <v>0</v>
      </c>
      <c r="EP20" s="190">
        <v>15195.1</v>
      </c>
      <c r="EQ20" s="191">
        <v>4</v>
      </c>
      <c r="ER20" s="190">
        <v>32587.1</v>
      </c>
      <c r="ES20" s="191">
        <v>2</v>
      </c>
      <c r="ET20" s="190">
        <v>0</v>
      </c>
      <c r="EU20" s="191">
        <v>0</v>
      </c>
      <c r="EV20" s="190">
        <v>0</v>
      </c>
      <c r="EW20" s="191">
        <v>0</v>
      </c>
      <c r="EX20" s="190">
        <v>0</v>
      </c>
      <c r="EY20" s="191">
        <v>0</v>
      </c>
      <c r="EZ20" s="190">
        <v>0</v>
      </c>
      <c r="FA20" s="191">
        <v>0</v>
      </c>
      <c r="FB20" s="190">
        <v>0</v>
      </c>
      <c r="FC20" s="191">
        <v>0</v>
      </c>
      <c r="FD20" s="190">
        <v>0</v>
      </c>
      <c r="FE20" s="191">
        <v>0</v>
      </c>
      <c r="FF20" s="190">
        <v>0</v>
      </c>
      <c r="FG20" s="191">
        <v>0</v>
      </c>
      <c r="FH20" s="190">
        <v>0</v>
      </c>
      <c r="FI20" s="191">
        <v>0</v>
      </c>
      <c r="FJ20" s="190">
        <v>0</v>
      </c>
      <c r="FK20" s="191">
        <v>0</v>
      </c>
      <c r="FL20" s="190">
        <v>0</v>
      </c>
      <c r="FM20" s="191">
        <v>0</v>
      </c>
      <c r="FN20" s="190">
        <v>5165.75</v>
      </c>
      <c r="FO20" s="191">
        <v>4</v>
      </c>
      <c r="FP20" s="190"/>
      <c r="FQ20" s="191"/>
      <c r="FR20" s="301"/>
      <c r="FS20" s="301"/>
      <c r="FT20" s="301"/>
      <c r="FU20" s="301"/>
      <c r="FV20" s="301"/>
      <c r="FW20" s="301"/>
      <c r="FX20" s="301"/>
      <c r="FY20" s="301"/>
      <c r="FZ20" s="301"/>
      <c r="GA20" s="301"/>
      <c r="GB20" s="301"/>
      <c r="GC20" s="301"/>
      <c r="GD20" s="301"/>
      <c r="GE20" s="301"/>
      <c r="GF20" s="289"/>
      <c r="GG20" s="289"/>
    </row>
    <row r="21" spans="1:189" ht="15" customHeight="1" outlineLevel="1" x14ac:dyDescent="0.3">
      <c r="A21" s="24"/>
      <c r="B21" s="301"/>
      <c r="C21" s="301"/>
      <c r="D21" s="301"/>
      <c r="E21" s="301"/>
      <c r="F21" s="301"/>
      <c r="G21" s="25" t="s">
        <v>40</v>
      </c>
      <c r="H21" s="5"/>
      <c r="I21" s="22"/>
      <c r="J21" s="23"/>
      <c r="K21" s="22"/>
      <c r="L21" s="23"/>
      <c r="M21" s="22"/>
      <c r="N21" s="23"/>
      <c r="O21" s="22"/>
      <c r="P21" s="23"/>
      <c r="Q21" s="22"/>
      <c r="R21" s="23"/>
      <c r="S21" s="22"/>
      <c r="T21" s="23"/>
      <c r="U21" s="22"/>
      <c r="V21" s="23"/>
      <c r="W21" s="22"/>
      <c r="X21" s="23"/>
      <c r="Y21" s="22"/>
      <c r="Z21" s="23"/>
      <c r="AA21" s="22"/>
      <c r="AB21" s="23"/>
      <c r="AC21" s="22"/>
      <c r="AD21" s="23"/>
      <c r="AE21" s="22"/>
      <c r="AF21" s="23"/>
      <c r="AG21" s="22"/>
      <c r="AH21" s="23"/>
      <c r="AI21" s="22"/>
      <c r="AJ21" s="23"/>
      <c r="AK21" s="22"/>
      <c r="AL21" s="23"/>
      <c r="AM21" s="22"/>
      <c r="AN21" s="23"/>
      <c r="AO21" s="22"/>
      <c r="AP21" s="23"/>
      <c r="AQ21" s="22"/>
      <c r="AR21" s="23"/>
      <c r="AS21" s="22"/>
      <c r="AT21" s="23"/>
      <c r="AU21" s="22"/>
      <c r="AV21" s="23"/>
      <c r="AW21" s="22"/>
      <c r="AX21" s="23"/>
      <c r="AY21" s="22"/>
      <c r="AZ21" s="23"/>
      <c r="BA21" s="22"/>
      <c r="BB21" s="23"/>
      <c r="BC21" s="22"/>
      <c r="BD21" s="23"/>
      <c r="BE21" s="22"/>
      <c r="BF21" s="23"/>
      <c r="BG21" s="22">
        <v>19678</v>
      </c>
      <c r="BH21" s="23">
        <v>15</v>
      </c>
      <c r="BI21" s="22">
        <v>19680</v>
      </c>
      <c r="BJ21" s="23">
        <v>14</v>
      </c>
      <c r="BK21" s="22">
        <v>39215</v>
      </c>
      <c r="BL21" s="23">
        <v>25</v>
      </c>
      <c r="BM21" s="22">
        <v>9541</v>
      </c>
      <c r="BN21" s="23">
        <v>9</v>
      </c>
      <c r="BO21" s="22">
        <v>25090</v>
      </c>
      <c r="BP21" s="23">
        <v>11</v>
      </c>
      <c r="BQ21" s="22">
        <v>4874</v>
      </c>
      <c r="BR21" s="23">
        <v>7</v>
      </c>
      <c r="BS21" s="22">
        <v>12860</v>
      </c>
      <c r="BT21" s="23">
        <v>10</v>
      </c>
      <c r="BU21" s="22">
        <v>6733</v>
      </c>
      <c r="BV21" s="23">
        <v>6</v>
      </c>
      <c r="BW21" s="22">
        <v>17349</v>
      </c>
      <c r="BX21" s="23">
        <v>18</v>
      </c>
      <c r="BY21" s="22">
        <v>20580</v>
      </c>
      <c r="BZ21" s="23">
        <v>12</v>
      </c>
      <c r="CA21" s="22">
        <v>86908</v>
      </c>
      <c r="CB21" s="23">
        <v>42</v>
      </c>
      <c r="CC21" s="22">
        <v>171617</v>
      </c>
      <c r="CD21" s="23">
        <v>44</v>
      </c>
      <c r="CE21" s="22">
        <v>17467</v>
      </c>
      <c r="CF21" s="23">
        <v>9</v>
      </c>
      <c r="CG21" s="22">
        <v>3911</v>
      </c>
      <c r="CH21" s="23">
        <v>4</v>
      </c>
      <c r="CI21" s="22">
        <v>5913</v>
      </c>
      <c r="CJ21" s="23">
        <v>6</v>
      </c>
      <c r="CK21" s="22">
        <v>30151</v>
      </c>
      <c r="CL21" s="23">
        <v>19</v>
      </c>
      <c r="CM21" s="22">
        <v>15568</v>
      </c>
      <c r="CN21" s="23">
        <v>14</v>
      </c>
      <c r="CO21" s="22">
        <v>19105</v>
      </c>
      <c r="CP21" s="23">
        <v>13</v>
      </c>
      <c r="CQ21" s="22">
        <v>20228</v>
      </c>
      <c r="CR21" s="23">
        <v>8</v>
      </c>
      <c r="CS21" s="22">
        <v>17150</v>
      </c>
      <c r="CT21" s="23">
        <v>12</v>
      </c>
      <c r="CU21" s="22">
        <v>19694</v>
      </c>
      <c r="CV21" s="23">
        <v>12</v>
      </c>
      <c r="CW21" s="22">
        <v>27977</v>
      </c>
      <c r="CX21" s="23">
        <v>21</v>
      </c>
      <c r="CY21" s="22">
        <v>35508</v>
      </c>
      <c r="CZ21" s="23">
        <v>22</v>
      </c>
      <c r="DA21" s="22">
        <v>39982</v>
      </c>
      <c r="DB21" s="23">
        <v>31</v>
      </c>
      <c r="DC21" s="22">
        <v>68449.17</v>
      </c>
      <c r="DD21" s="23">
        <v>47</v>
      </c>
      <c r="DE21" s="22">
        <v>114052.51999999999</v>
      </c>
      <c r="DF21" s="23">
        <v>99</v>
      </c>
      <c r="DG21" s="22">
        <v>81873.280000000013</v>
      </c>
      <c r="DH21" s="23">
        <v>58</v>
      </c>
      <c r="DI21" s="22">
        <v>84421</v>
      </c>
      <c r="DJ21" s="23">
        <v>59</v>
      </c>
      <c r="DK21" s="22">
        <v>98822.199999999983</v>
      </c>
      <c r="DL21" s="23">
        <v>59</v>
      </c>
      <c r="DM21" s="190">
        <v>182001.33</v>
      </c>
      <c r="DN21" s="191">
        <v>109</v>
      </c>
      <c r="DO21" s="190">
        <v>191005.95000000007</v>
      </c>
      <c r="DP21" s="191">
        <v>144</v>
      </c>
      <c r="DQ21" s="190">
        <v>99942.700000000012</v>
      </c>
      <c r="DR21" s="191">
        <v>78</v>
      </c>
      <c r="DS21" s="190">
        <v>64277.65</v>
      </c>
      <c r="DT21" s="191">
        <v>51</v>
      </c>
      <c r="DU21" s="301"/>
      <c r="DV21" s="301"/>
      <c r="DW21" s="301"/>
      <c r="DX21" s="301"/>
      <c r="DY21" s="301"/>
      <c r="DZ21" s="301"/>
      <c r="EA21" s="301"/>
      <c r="EB21" s="301"/>
      <c r="EC21" s="301"/>
      <c r="ED21" s="301"/>
      <c r="EE21" s="301"/>
      <c r="EF21" s="301"/>
      <c r="EG21" s="301"/>
      <c r="EH21" s="301"/>
      <c r="EI21" s="301"/>
      <c r="EJ21" s="301"/>
      <c r="EK21" s="301"/>
      <c r="EL21" s="301"/>
      <c r="EM21" s="301"/>
      <c r="EN21" s="190">
        <v>78415.459999999992</v>
      </c>
      <c r="EO21" s="191">
        <v>53</v>
      </c>
      <c r="EP21" s="190">
        <v>99159.540000000008</v>
      </c>
      <c r="EQ21" s="191">
        <v>70</v>
      </c>
      <c r="ER21" s="190">
        <v>64971.94999999999</v>
      </c>
      <c r="ES21" s="191">
        <v>49</v>
      </c>
      <c r="ET21" s="190"/>
      <c r="EU21" s="191"/>
      <c r="EV21" s="190"/>
      <c r="EW21" s="191"/>
      <c r="EX21" s="190"/>
      <c r="EY21" s="191"/>
      <c r="EZ21" s="190"/>
      <c r="FA21" s="191"/>
      <c r="FB21" s="190"/>
      <c r="FC21" s="191"/>
      <c r="FD21" s="190"/>
      <c r="FE21" s="191"/>
      <c r="FF21" s="190"/>
      <c r="FG21" s="191"/>
      <c r="FH21" s="190"/>
      <c r="FI21" s="191"/>
      <c r="FJ21" s="190"/>
      <c r="FK21" s="191"/>
      <c r="FL21" s="190"/>
      <c r="FM21" s="191"/>
      <c r="FN21" s="190"/>
      <c r="FO21" s="191"/>
      <c r="FP21" s="190"/>
      <c r="FQ21" s="191"/>
      <c r="FR21" s="301"/>
      <c r="FS21" s="301"/>
      <c r="FT21" s="301"/>
      <c r="FU21" s="301"/>
      <c r="FV21" s="301"/>
      <c r="FW21" s="301"/>
      <c r="FX21" s="301"/>
      <c r="FY21" s="301"/>
      <c r="FZ21" s="301"/>
      <c r="GA21" s="301"/>
      <c r="GB21" s="301"/>
      <c r="GC21" s="301"/>
      <c r="GD21" s="301"/>
      <c r="GE21" s="301"/>
      <c r="GF21" s="289"/>
      <c r="GG21" s="289"/>
    </row>
    <row r="22" spans="1:189" ht="15" customHeight="1" outlineLevel="1" x14ac:dyDescent="0.3">
      <c r="A22" s="24"/>
      <c r="B22" s="302"/>
      <c r="C22" s="302"/>
      <c r="D22" s="302"/>
      <c r="E22" s="302"/>
      <c r="F22" s="302"/>
      <c r="G22" s="187" t="s">
        <v>41</v>
      </c>
      <c r="H22" s="5"/>
      <c r="I22" s="22">
        <f t="shared" ref="I22:J22" si="59">AG22+AE22+AC22+AA22+Y22+W22+U22+S22+O22+M22+K22</f>
        <v>983047.29999999993</v>
      </c>
      <c r="J22" s="23">
        <f t="shared" si="59"/>
        <v>851</v>
      </c>
      <c r="K22" s="22">
        <v>60703.940000000024</v>
      </c>
      <c r="L22" s="23">
        <v>63</v>
      </c>
      <c r="M22" s="22">
        <v>84381.37999999999</v>
      </c>
      <c r="N22" s="23">
        <v>70</v>
      </c>
      <c r="O22" s="22">
        <v>81974.36</v>
      </c>
      <c r="P22" s="23">
        <v>61</v>
      </c>
      <c r="Q22" s="22">
        <v>48497.31</v>
      </c>
      <c r="R22" s="23">
        <v>45</v>
      </c>
      <c r="S22" s="22">
        <v>79700.72</v>
      </c>
      <c r="T22" s="23">
        <v>56</v>
      </c>
      <c r="U22" s="22">
        <v>99217.450000000012</v>
      </c>
      <c r="V22" s="23">
        <v>79</v>
      </c>
      <c r="W22" s="22">
        <v>118321.65</v>
      </c>
      <c r="X22" s="23">
        <v>102</v>
      </c>
      <c r="Y22" s="22">
        <v>156774.29999999999</v>
      </c>
      <c r="Z22" s="23">
        <v>107</v>
      </c>
      <c r="AA22" s="22">
        <v>70319</v>
      </c>
      <c r="AB22" s="23">
        <v>85</v>
      </c>
      <c r="AC22" s="22">
        <v>61435</v>
      </c>
      <c r="AD22" s="23">
        <v>63</v>
      </c>
      <c r="AE22" s="22">
        <v>98435</v>
      </c>
      <c r="AF22" s="23">
        <v>100</v>
      </c>
      <c r="AG22" s="22">
        <v>71784.5</v>
      </c>
      <c r="AH22" s="23">
        <v>65</v>
      </c>
      <c r="AI22" s="22">
        <v>59201</v>
      </c>
      <c r="AJ22" s="23">
        <v>59</v>
      </c>
      <c r="AK22" s="22">
        <v>75347</v>
      </c>
      <c r="AL22" s="23">
        <v>77</v>
      </c>
      <c r="AM22" s="22">
        <v>55060</v>
      </c>
      <c r="AN22" s="23">
        <v>68</v>
      </c>
      <c r="AO22" s="22">
        <v>54553</v>
      </c>
      <c r="AP22" s="23">
        <v>74</v>
      </c>
      <c r="AQ22" s="22">
        <v>129128</v>
      </c>
      <c r="AR22" s="23">
        <v>125</v>
      </c>
      <c r="AS22" s="22">
        <v>60303</v>
      </c>
      <c r="AT22" s="23">
        <v>56</v>
      </c>
      <c r="AU22" s="22">
        <v>77007</v>
      </c>
      <c r="AV22" s="23">
        <v>69</v>
      </c>
      <c r="AW22" s="22">
        <v>78773</v>
      </c>
      <c r="AX22" s="23">
        <v>62</v>
      </c>
      <c r="AY22" s="22">
        <v>90567</v>
      </c>
      <c r="AZ22" s="23">
        <v>74</v>
      </c>
      <c r="BA22" s="22">
        <v>118078</v>
      </c>
      <c r="BB22" s="23">
        <v>90</v>
      </c>
      <c r="BC22" s="22">
        <v>145816</v>
      </c>
      <c r="BD22" s="23">
        <v>116</v>
      </c>
      <c r="BE22" s="22">
        <v>116143</v>
      </c>
      <c r="BF22" s="23">
        <v>72</v>
      </c>
      <c r="BG22" s="22">
        <v>129040</v>
      </c>
      <c r="BH22" s="23">
        <v>75</v>
      </c>
      <c r="BI22" s="22">
        <v>54276</v>
      </c>
      <c r="BJ22" s="23">
        <v>32</v>
      </c>
      <c r="BK22" s="22">
        <v>121372</v>
      </c>
      <c r="BL22" s="23">
        <v>73</v>
      </c>
      <c r="BM22" s="22">
        <v>90153</v>
      </c>
      <c r="BN22" s="23">
        <v>51</v>
      </c>
      <c r="BO22" s="22">
        <v>81457</v>
      </c>
      <c r="BP22" s="23">
        <v>56</v>
      </c>
      <c r="BQ22" s="22">
        <v>76628</v>
      </c>
      <c r="BR22" s="23">
        <v>38</v>
      </c>
      <c r="BS22" s="22">
        <v>86016</v>
      </c>
      <c r="BT22" s="23">
        <v>69</v>
      </c>
      <c r="BU22" s="22">
        <v>91183</v>
      </c>
      <c r="BV22" s="23">
        <v>58</v>
      </c>
      <c r="BW22" s="22">
        <v>78349</v>
      </c>
      <c r="BX22" s="23">
        <v>47</v>
      </c>
      <c r="BY22" s="22">
        <v>232433</v>
      </c>
      <c r="BZ22" s="23">
        <v>52</v>
      </c>
      <c r="CA22" s="22">
        <v>109613</v>
      </c>
      <c r="CB22" s="23">
        <v>68</v>
      </c>
      <c r="CC22" s="22">
        <v>148929</v>
      </c>
      <c r="CD22" s="23">
        <v>132</v>
      </c>
      <c r="CE22" s="22">
        <v>84716</v>
      </c>
      <c r="CF22" s="23">
        <v>43</v>
      </c>
      <c r="CG22" s="22">
        <v>92965</v>
      </c>
      <c r="CH22" s="23">
        <v>65</v>
      </c>
      <c r="CI22" s="22">
        <v>114042</v>
      </c>
      <c r="CJ22" s="23">
        <v>80</v>
      </c>
      <c r="CK22" s="22">
        <v>135588</v>
      </c>
      <c r="CL22" s="23">
        <v>129</v>
      </c>
      <c r="CM22" s="22">
        <v>90854</v>
      </c>
      <c r="CN22" s="23">
        <v>79</v>
      </c>
      <c r="CO22" s="22">
        <v>62745</v>
      </c>
      <c r="CP22" s="23">
        <v>50</v>
      </c>
      <c r="CQ22" s="22">
        <v>100685</v>
      </c>
      <c r="CR22" s="23">
        <v>73</v>
      </c>
      <c r="CS22" s="22">
        <v>186241</v>
      </c>
      <c r="CT22" s="23">
        <v>104</v>
      </c>
      <c r="CU22" s="22">
        <v>381646</v>
      </c>
      <c r="CV22" s="23">
        <v>325</v>
      </c>
      <c r="CW22" s="22">
        <v>54815</v>
      </c>
      <c r="CX22" s="23">
        <v>33</v>
      </c>
      <c r="CY22" s="22">
        <v>65327</v>
      </c>
      <c r="CZ22" s="23">
        <v>51</v>
      </c>
      <c r="DA22" s="22">
        <v>66822</v>
      </c>
      <c r="DB22" s="23">
        <v>46</v>
      </c>
      <c r="DC22" s="22">
        <v>75684.73</v>
      </c>
      <c r="DD22" s="23">
        <v>53</v>
      </c>
      <c r="DE22" s="22">
        <v>105232.26000000005</v>
      </c>
      <c r="DF22" s="23">
        <v>70</v>
      </c>
      <c r="DG22" s="22">
        <v>168298.77999999997</v>
      </c>
      <c r="DH22" s="23">
        <v>101</v>
      </c>
      <c r="DI22" s="22">
        <v>143601</v>
      </c>
      <c r="DJ22" s="23">
        <v>52</v>
      </c>
      <c r="DK22" s="22">
        <v>149999.65999999997</v>
      </c>
      <c r="DL22" s="23">
        <v>83</v>
      </c>
      <c r="DM22" s="190">
        <v>151958.73000000001</v>
      </c>
      <c r="DN22" s="191">
        <v>98</v>
      </c>
      <c r="DO22" s="190">
        <v>256705.79000000012</v>
      </c>
      <c r="DP22" s="191">
        <v>154</v>
      </c>
      <c r="DQ22" s="190">
        <v>100511.67000000001</v>
      </c>
      <c r="DR22" s="191">
        <v>68</v>
      </c>
      <c r="DS22" s="190">
        <v>68539.34</v>
      </c>
      <c r="DT22" s="191">
        <v>45</v>
      </c>
      <c r="DU22" s="302"/>
      <c r="DV22" s="302"/>
      <c r="DW22" s="302"/>
      <c r="DX22" s="302"/>
      <c r="DY22" s="302"/>
      <c r="DZ22" s="302"/>
      <c r="EA22" s="302"/>
      <c r="EB22" s="302"/>
      <c r="EC22" s="302"/>
      <c r="ED22" s="302"/>
      <c r="EE22" s="302"/>
      <c r="EF22" s="302"/>
      <c r="EG22" s="302"/>
      <c r="EH22" s="302"/>
      <c r="EI22" s="302"/>
      <c r="EJ22" s="302"/>
      <c r="EK22" s="302"/>
      <c r="EL22" s="302"/>
      <c r="EM22" s="302"/>
      <c r="EN22" s="190">
        <v>80244.31</v>
      </c>
      <c r="EO22" s="191">
        <v>62</v>
      </c>
      <c r="EP22" s="190">
        <v>92036.360000000015</v>
      </c>
      <c r="EQ22" s="191">
        <v>54</v>
      </c>
      <c r="ER22" s="190">
        <v>149136.05000000002</v>
      </c>
      <c r="ES22" s="191">
        <v>88</v>
      </c>
      <c r="ET22" s="190">
        <v>722395</v>
      </c>
      <c r="EU22" s="191">
        <v>382</v>
      </c>
      <c r="EV22" s="190">
        <v>153258.57000000004</v>
      </c>
      <c r="EW22" s="191">
        <v>97</v>
      </c>
      <c r="EX22" s="190">
        <v>0</v>
      </c>
      <c r="EY22" s="191">
        <v>0</v>
      </c>
      <c r="EZ22" s="190">
        <v>0</v>
      </c>
      <c r="FA22" s="191">
        <v>0</v>
      </c>
      <c r="FB22" s="190">
        <v>0</v>
      </c>
      <c r="FC22" s="191">
        <v>0</v>
      </c>
      <c r="FD22" s="190">
        <v>0</v>
      </c>
      <c r="FE22" s="191">
        <v>0</v>
      </c>
      <c r="FF22" s="190">
        <v>0</v>
      </c>
      <c r="FG22" s="191">
        <v>0</v>
      </c>
      <c r="FH22" s="190">
        <v>0</v>
      </c>
      <c r="FI22" s="191">
        <v>0</v>
      </c>
      <c r="FJ22" s="190">
        <v>0</v>
      </c>
      <c r="FK22" s="191">
        <v>0</v>
      </c>
      <c r="FL22" s="190">
        <v>0</v>
      </c>
      <c r="FM22" s="191">
        <v>0</v>
      </c>
      <c r="FN22" s="190">
        <v>0</v>
      </c>
      <c r="FO22" s="191">
        <v>0</v>
      </c>
      <c r="FP22" s="190">
        <v>0</v>
      </c>
      <c r="FQ22" s="191">
        <v>0</v>
      </c>
      <c r="FR22" s="302"/>
      <c r="FS22" s="302"/>
      <c r="FT22" s="302"/>
      <c r="FU22" s="302"/>
      <c r="FV22" s="302"/>
      <c r="FW22" s="302"/>
      <c r="FX22" s="302"/>
      <c r="FY22" s="302"/>
      <c r="FZ22" s="302"/>
      <c r="GA22" s="302"/>
      <c r="GB22" s="302"/>
      <c r="GC22" s="302"/>
      <c r="GD22" s="302"/>
      <c r="GE22" s="302"/>
      <c r="GF22" s="290"/>
      <c r="GG22" s="290"/>
    </row>
    <row r="23" spans="1:189" ht="15" customHeight="1" outlineLevel="1" x14ac:dyDescent="0.3">
      <c r="A23" s="24"/>
      <c r="B23" s="181"/>
      <c r="C23" s="181"/>
      <c r="D23" s="181"/>
      <c r="E23" s="181"/>
      <c r="F23" s="181"/>
      <c r="G23" s="200"/>
      <c r="H23" s="201"/>
      <c r="I23" s="202"/>
      <c r="J23" s="183"/>
      <c r="K23" s="202"/>
      <c r="L23" s="183"/>
      <c r="M23" s="202"/>
      <c r="N23" s="183"/>
      <c r="O23" s="202"/>
      <c r="P23" s="183"/>
      <c r="Q23" s="202"/>
      <c r="R23" s="183"/>
      <c r="S23" s="202"/>
      <c r="T23" s="183"/>
      <c r="U23" s="202"/>
      <c r="V23" s="183"/>
      <c r="W23" s="202"/>
      <c r="X23" s="183"/>
      <c r="Y23" s="202"/>
      <c r="Z23" s="183"/>
      <c r="AA23" s="202"/>
      <c r="AB23" s="183"/>
      <c r="AC23" s="202"/>
      <c r="AD23" s="183"/>
      <c r="AE23" s="202"/>
      <c r="AF23" s="183"/>
      <c r="AG23" s="202"/>
      <c r="AH23" s="183"/>
      <c r="AI23" s="202"/>
      <c r="AJ23" s="183"/>
      <c r="AK23" s="202"/>
      <c r="AL23" s="183"/>
      <c r="AM23" s="202"/>
      <c r="AN23" s="183"/>
      <c r="AO23" s="202"/>
      <c r="AP23" s="183"/>
      <c r="AQ23" s="202"/>
      <c r="AR23" s="183"/>
      <c r="AS23" s="202"/>
      <c r="AT23" s="183"/>
      <c r="AU23" s="202"/>
      <c r="AV23" s="183"/>
      <c r="AW23" s="202"/>
      <c r="AX23" s="183"/>
      <c r="AY23" s="202"/>
      <c r="AZ23" s="183"/>
      <c r="BA23" s="202"/>
      <c r="BB23" s="183"/>
      <c r="BC23" s="202"/>
      <c r="BD23" s="183"/>
      <c r="BE23" s="202"/>
      <c r="BF23" s="183"/>
      <c r="BG23" s="202"/>
      <c r="BH23" s="183"/>
      <c r="BI23" s="202"/>
      <c r="BJ23" s="183"/>
      <c r="BK23" s="202"/>
      <c r="BL23" s="183"/>
      <c r="BM23" s="202"/>
      <c r="BN23" s="183"/>
      <c r="BO23" s="202"/>
      <c r="BP23" s="183"/>
      <c r="BQ23" s="202"/>
      <c r="BR23" s="183"/>
      <c r="BS23" s="202"/>
      <c r="BT23" s="183"/>
      <c r="BU23" s="202"/>
      <c r="BV23" s="183"/>
      <c r="BW23" s="202"/>
      <c r="BX23" s="183"/>
      <c r="BY23" s="202"/>
      <c r="BZ23" s="183"/>
      <c r="CA23" s="202"/>
      <c r="CB23" s="183"/>
      <c r="CC23" s="202"/>
      <c r="CD23" s="183"/>
      <c r="CE23" s="202"/>
      <c r="CF23" s="183"/>
      <c r="CG23" s="202"/>
      <c r="CH23" s="183"/>
      <c r="CI23" s="202"/>
      <c r="CJ23" s="183"/>
      <c r="CK23" s="202"/>
      <c r="CL23" s="183"/>
      <c r="CM23" s="202"/>
      <c r="CN23" s="183"/>
      <c r="CO23" s="202"/>
      <c r="CP23" s="183"/>
      <c r="CQ23" s="202"/>
      <c r="CR23" s="183"/>
      <c r="CS23" s="202"/>
      <c r="CT23" s="183"/>
      <c r="CU23" s="202"/>
      <c r="CV23" s="183"/>
      <c r="CW23" s="202"/>
      <c r="CX23" s="183"/>
      <c r="CY23" s="202"/>
      <c r="CZ23" s="183"/>
      <c r="DA23" s="202"/>
      <c r="DB23" s="183"/>
      <c r="DC23" s="202"/>
      <c r="DD23" s="183"/>
      <c r="DE23" s="202"/>
      <c r="DF23" s="183"/>
      <c r="DG23" s="202"/>
      <c r="DH23" s="183"/>
      <c r="DI23" s="202"/>
      <c r="DJ23" s="183"/>
      <c r="DK23" s="202"/>
      <c r="DL23" s="183"/>
      <c r="DM23" s="203"/>
      <c r="DN23" s="204"/>
      <c r="DO23" s="203"/>
      <c r="DP23" s="204"/>
      <c r="DQ23" s="203"/>
      <c r="DR23" s="204"/>
      <c r="DS23" s="203"/>
      <c r="DT23" s="204"/>
      <c r="DU23" s="181"/>
      <c r="DV23" s="181"/>
      <c r="DW23" s="181"/>
      <c r="DX23" s="181"/>
      <c r="DY23" s="181"/>
      <c r="DZ23" s="181"/>
      <c r="EA23" s="181"/>
      <c r="EB23" s="181"/>
      <c r="EC23" s="181"/>
      <c r="ED23" s="181"/>
      <c r="EE23" s="181"/>
      <c r="EF23" s="181"/>
      <c r="EG23" s="181"/>
      <c r="EH23" s="181"/>
      <c r="EI23" s="181"/>
      <c r="EJ23" s="181"/>
      <c r="EK23" s="181"/>
      <c r="EL23" s="181"/>
      <c r="EM23" s="181"/>
      <c r="EN23" s="203"/>
      <c r="EO23" s="204"/>
      <c r="EP23" s="203"/>
      <c r="EQ23" s="204"/>
      <c r="ER23" s="203"/>
      <c r="ES23" s="204"/>
      <c r="ET23" s="203"/>
      <c r="EU23" s="204"/>
      <c r="EV23" s="203"/>
      <c r="EW23" s="204"/>
      <c r="EX23" s="203"/>
      <c r="EY23" s="204"/>
      <c r="EZ23" s="203"/>
      <c r="FA23" s="204"/>
      <c r="FB23" s="203"/>
      <c r="FC23" s="204"/>
      <c r="FD23" s="203"/>
      <c r="FE23" s="204"/>
      <c r="FF23" s="203"/>
      <c r="FG23" s="204"/>
      <c r="FH23" s="203"/>
      <c r="FI23" s="204"/>
      <c r="FJ23" s="203"/>
      <c r="FK23" s="204"/>
      <c r="FL23" s="203"/>
      <c r="FM23" s="204"/>
      <c r="FN23" s="203"/>
      <c r="FO23" s="204"/>
      <c r="FP23" s="203"/>
      <c r="FQ23" s="204"/>
      <c r="FR23" s="181"/>
      <c r="FS23" s="181"/>
      <c r="FT23" s="181"/>
      <c r="FU23" s="181"/>
      <c r="FV23" s="181"/>
      <c r="FW23" s="181"/>
      <c r="FX23" s="181"/>
      <c r="FY23" s="181"/>
      <c r="FZ23" s="181"/>
      <c r="GA23" s="181"/>
      <c r="GB23" s="181"/>
      <c r="GC23" s="181"/>
      <c r="GD23" s="181"/>
      <c r="GE23" s="181"/>
      <c r="GF23" s="181"/>
      <c r="GG23" s="181"/>
    </row>
    <row r="24" spans="1:189" ht="15" customHeight="1" outlineLevel="1" x14ac:dyDescent="0.3">
      <c r="A24" s="24"/>
      <c r="B24" s="313" t="s">
        <v>413</v>
      </c>
      <c r="C24" s="313" t="s">
        <v>24</v>
      </c>
      <c r="D24" s="313" t="s">
        <v>25</v>
      </c>
      <c r="E24" s="313" t="s">
        <v>42</v>
      </c>
      <c r="F24" s="313" t="s">
        <v>27</v>
      </c>
      <c r="G24" s="5" t="s">
        <v>30</v>
      </c>
      <c r="H24" s="5"/>
      <c r="I24" s="283" t="e">
        <f>I25/#REF!</f>
        <v>#REF!</v>
      </c>
      <c r="J24" s="281"/>
      <c r="K24" s="283" t="e">
        <f>K25/#REF!</f>
        <v>#REF!</v>
      </c>
      <c r="L24" s="281"/>
      <c r="M24" s="283" t="e">
        <f>M25/#REF!</f>
        <v>#REF!</v>
      </c>
      <c r="N24" s="281"/>
      <c r="O24" s="283" t="e">
        <f>O25/#REF!</f>
        <v>#REF!</v>
      </c>
      <c r="P24" s="281"/>
      <c r="Q24" s="283" t="e">
        <f>Q25/#REF!</f>
        <v>#REF!</v>
      </c>
      <c r="R24" s="281"/>
      <c r="S24" s="283" t="e">
        <f>S25/#REF!</f>
        <v>#REF!</v>
      </c>
      <c r="T24" s="281"/>
      <c r="U24" s="283" t="e">
        <f>U25/#REF!</f>
        <v>#REF!</v>
      </c>
      <c r="V24" s="281"/>
      <c r="W24" s="283" t="e">
        <f>W25/#REF!</f>
        <v>#REF!</v>
      </c>
      <c r="X24" s="281"/>
      <c r="Y24" s="283" t="e">
        <f>Y25/#REF!</f>
        <v>#REF!</v>
      </c>
      <c r="Z24" s="281"/>
      <c r="AA24" s="283" t="e">
        <f>AA25/#REF!</f>
        <v>#REF!</v>
      </c>
      <c r="AB24" s="281"/>
      <c r="AC24" s="283" t="e">
        <f>AC25/#REF!</f>
        <v>#REF!</v>
      </c>
      <c r="AD24" s="281"/>
      <c r="AE24" s="283" t="e">
        <f>AE25/#REF!</f>
        <v>#REF!</v>
      </c>
      <c r="AF24" s="281"/>
      <c r="AG24" s="283" t="e">
        <f>AG25/#REF!</f>
        <v>#REF!</v>
      </c>
      <c r="AH24" s="281"/>
      <c r="AI24" s="283" t="e">
        <f>AI25/#REF!</f>
        <v>#REF!</v>
      </c>
      <c r="AJ24" s="281"/>
      <c r="AK24" s="283" t="e">
        <f>AK25/#REF!</f>
        <v>#REF!</v>
      </c>
      <c r="AL24" s="281"/>
      <c r="AM24" s="283" t="e">
        <f>AM25/#REF!</f>
        <v>#REF!</v>
      </c>
      <c r="AN24" s="281"/>
      <c r="AO24" s="283" t="e">
        <f>AO25/#REF!</f>
        <v>#REF!</v>
      </c>
      <c r="AP24" s="281"/>
      <c r="AQ24" s="283" t="e">
        <f>AQ25/#REF!</f>
        <v>#REF!</v>
      </c>
      <c r="AR24" s="281"/>
      <c r="AS24" s="283" t="e">
        <f>AS25/#REF!</f>
        <v>#REF!</v>
      </c>
      <c r="AT24" s="281"/>
      <c r="AU24" s="283" t="e">
        <f>AU25/#REF!</f>
        <v>#REF!</v>
      </c>
      <c r="AV24" s="281"/>
      <c r="AW24" s="283" t="e">
        <f>AW25/#REF!</f>
        <v>#REF!</v>
      </c>
      <c r="AX24" s="281"/>
      <c r="AY24" s="283" t="e">
        <f>AY25/#REF!</f>
        <v>#REF!</v>
      </c>
      <c r="AZ24" s="281"/>
      <c r="BA24" s="283" t="e">
        <f>BA25/#REF!</f>
        <v>#REF!</v>
      </c>
      <c r="BB24" s="281"/>
      <c r="BC24" s="283" t="e">
        <f>BC25/#REF!</f>
        <v>#REF!</v>
      </c>
      <c r="BD24" s="281"/>
      <c r="BE24" s="283" t="e">
        <f>BE25/#REF!</f>
        <v>#REF!</v>
      </c>
      <c r="BF24" s="281"/>
      <c r="BG24" s="283" t="e">
        <f>BG25/#REF!</f>
        <v>#REF!</v>
      </c>
      <c r="BH24" s="281"/>
      <c r="BI24" s="283" t="e">
        <f>BI25/#REF!</f>
        <v>#REF!</v>
      </c>
      <c r="BJ24" s="281"/>
      <c r="BK24" s="283" t="e">
        <f>BK25/#REF!</f>
        <v>#REF!</v>
      </c>
      <c r="BL24" s="281"/>
      <c r="BM24" s="283" t="e">
        <f>BM25/#REF!</f>
        <v>#REF!</v>
      </c>
      <c r="BN24" s="281"/>
      <c r="BO24" s="283" t="e">
        <f>BO25/#REF!</f>
        <v>#REF!</v>
      </c>
      <c r="BP24" s="281"/>
      <c r="BQ24" s="283" t="e">
        <f>BQ25/#REF!</f>
        <v>#REF!</v>
      </c>
      <c r="BR24" s="281"/>
      <c r="BS24" s="283" t="e">
        <f>BS25/#REF!</f>
        <v>#REF!</v>
      </c>
      <c r="BT24" s="281"/>
      <c r="BU24" s="283" t="e">
        <f>BU25/#REF!</f>
        <v>#REF!</v>
      </c>
      <c r="BV24" s="281"/>
      <c r="BW24" s="283" t="e">
        <f>BW25/#REF!</f>
        <v>#REF!</v>
      </c>
      <c r="BX24" s="281"/>
      <c r="BY24" s="283" t="e">
        <f>BY25/#REF!</f>
        <v>#REF!</v>
      </c>
      <c r="BZ24" s="281"/>
      <c r="CA24" s="283" t="e">
        <f>CA25/#REF!</f>
        <v>#REF!</v>
      </c>
      <c r="CB24" s="281"/>
      <c r="CC24" s="283" t="e">
        <f>CC25/#REF!</f>
        <v>#REF!</v>
      </c>
      <c r="CD24" s="281"/>
      <c r="CE24" s="339" t="e">
        <f>CE25/#REF!</f>
        <v>#REF!</v>
      </c>
      <c r="CF24" s="281"/>
      <c r="CG24" s="339" t="e">
        <f>CG25/#REF!</f>
        <v>#REF!</v>
      </c>
      <c r="CH24" s="281"/>
      <c r="CI24" s="339" t="e">
        <f>CI25/#REF!</f>
        <v>#REF!</v>
      </c>
      <c r="CJ24" s="281"/>
      <c r="CK24" s="339" t="e">
        <f>CK25/#REF!</f>
        <v>#REF!</v>
      </c>
      <c r="CL24" s="281"/>
      <c r="CM24" s="339" t="e">
        <f>CM25/#REF!</f>
        <v>#REF!</v>
      </c>
      <c r="CN24" s="281"/>
      <c r="CO24" s="339" t="e">
        <f>CO25/#REF!</f>
        <v>#REF!</v>
      </c>
      <c r="CP24" s="281"/>
      <c r="CQ24" s="339" t="e">
        <f>CQ25/#REF!</f>
        <v>#REF!</v>
      </c>
      <c r="CR24" s="281"/>
      <c r="CS24" s="339" t="e">
        <f>CS25/#REF!</f>
        <v>#REF!</v>
      </c>
      <c r="CT24" s="281"/>
      <c r="CU24" s="419" t="e">
        <f>CU25/#REF!</f>
        <v>#REF!</v>
      </c>
      <c r="CV24" s="420"/>
      <c r="CW24" s="419" t="e">
        <f>CW25/#REF!</f>
        <v>#REF!</v>
      </c>
      <c r="CX24" s="420"/>
      <c r="CY24" s="339" t="e">
        <f>CY25/#REF!</f>
        <v>#REF!</v>
      </c>
      <c r="CZ24" s="281"/>
      <c r="DA24" s="339" t="e">
        <f>DA25/#REF!</f>
        <v>#REF!</v>
      </c>
      <c r="DB24" s="281"/>
      <c r="DC24" s="205">
        <f>DC25/DC2</f>
        <v>0</v>
      </c>
      <c r="DD24" s="197"/>
      <c r="DE24" s="205">
        <f t="shared" ref="DE24" si="60">DE25/DE2</f>
        <v>0</v>
      </c>
      <c r="DF24" s="197"/>
      <c r="DG24" s="205">
        <f t="shared" ref="DG24" si="61">DG25/DG2</f>
        <v>0</v>
      </c>
      <c r="DH24" s="197"/>
      <c r="DI24" s="205">
        <f t="shared" ref="DI24" si="62">DI25/DI2</f>
        <v>0</v>
      </c>
      <c r="DJ24" s="197"/>
      <c r="DK24" s="205">
        <f t="shared" ref="DK24" si="63">DK25/DK2</f>
        <v>0</v>
      </c>
      <c r="DL24" s="197"/>
      <c r="DM24" s="205">
        <f t="shared" ref="DM24" si="64">DM25/DM2</f>
        <v>0</v>
      </c>
      <c r="DN24" s="197"/>
      <c r="DO24" s="205">
        <f t="shared" ref="DO24" si="65">DO25/DO2</f>
        <v>0</v>
      </c>
      <c r="DP24" s="197"/>
      <c r="DQ24" s="205">
        <f t="shared" ref="DQ24" si="66">DQ25/DQ2</f>
        <v>0</v>
      </c>
      <c r="DR24" s="197"/>
      <c r="DS24" s="205">
        <f t="shared" ref="DS24" si="67">DS25/DS2</f>
        <v>0</v>
      </c>
      <c r="DT24" s="197"/>
      <c r="DU24" s="181"/>
      <c r="DV24" s="181"/>
      <c r="DW24" s="181"/>
      <c r="DX24" s="181"/>
      <c r="DY24" s="181"/>
      <c r="DZ24" s="181"/>
      <c r="EA24" s="181"/>
      <c r="EB24" s="181"/>
      <c r="EC24" s="181"/>
      <c r="ED24" s="181"/>
      <c r="EE24" s="181"/>
      <c r="EF24" s="181"/>
      <c r="EG24" s="181"/>
      <c r="EH24" s="181"/>
      <c r="EI24" s="181"/>
      <c r="EJ24" s="181"/>
      <c r="EK24" s="181"/>
      <c r="EL24" s="181"/>
      <c r="EM24" s="181"/>
      <c r="EN24" s="205">
        <f>EN25/EN2</f>
        <v>9.8071663241949738E-3</v>
      </c>
      <c r="EO24" s="197"/>
      <c r="EP24" s="205">
        <f>EP25/EP2</f>
        <v>8.7944862843531493E-3</v>
      </c>
      <c r="EQ24" s="197"/>
      <c r="ER24" s="205">
        <f>ER25/ER2</f>
        <v>1.3118558186720744E-2</v>
      </c>
      <c r="ES24" s="197"/>
      <c r="ET24" s="205">
        <f>ET25/ET2</f>
        <v>2.4309994711538462E-2</v>
      </c>
      <c r="EU24" s="197"/>
      <c r="EV24" s="205">
        <f>EV25/EV2</f>
        <v>1.8053797769516731E-2</v>
      </c>
      <c r="EW24" s="197"/>
      <c r="EX24" s="205">
        <f>EX25/EX2</f>
        <v>1.817552139303483E-2</v>
      </c>
      <c r="EY24" s="197"/>
      <c r="EZ24" s="205">
        <f>EZ25/EZ2</f>
        <v>1.100772847157435E-2</v>
      </c>
      <c r="FA24" s="197"/>
      <c r="FB24" s="205">
        <f>FB25/FB2</f>
        <v>2.1736800722485773E-2</v>
      </c>
      <c r="FC24" s="197"/>
      <c r="FD24" s="205">
        <f>FD25/FD2</f>
        <v>5.390819541392437E-4</v>
      </c>
      <c r="FE24" s="197"/>
      <c r="FF24" s="205">
        <f>FF25/FF2</f>
        <v>1.239073380195671E-3</v>
      </c>
      <c r="FG24" s="197"/>
      <c r="FH24" s="205">
        <f>FH25/FH2</f>
        <v>1.7376628008563648E-2</v>
      </c>
      <c r="FI24" s="197"/>
      <c r="FJ24" s="205">
        <f>FJ25/FJ2</f>
        <v>1.4824057585274483E-2</v>
      </c>
      <c r="FK24" s="197"/>
      <c r="FL24" s="205">
        <f>FL25/FL2</f>
        <v>0</v>
      </c>
      <c r="FM24" s="197"/>
      <c r="FN24" s="205">
        <f>FN25/FN2</f>
        <v>1.7964922356749496E-2</v>
      </c>
      <c r="FO24" s="197"/>
      <c r="FP24" s="205">
        <f>FP25/FP2</f>
        <v>1.4809859047345936E-2</v>
      </c>
      <c r="FQ24" s="197"/>
      <c r="FR24" s="207"/>
      <c r="FS24" s="207"/>
      <c r="FT24" s="207"/>
      <c r="FU24" s="207"/>
      <c r="FV24" s="207"/>
      <c r="FW24" s="207"/>
      <c r="FX24" s="207"/>
      <c r="FY24" s="207"/>
      <c r="FZ24" s="207"/>
      <c r="GA24" s="207"/>
      <c r="GB24" s="207"/>
      <c r="GC24" s="207"/>
      <c r="GD24" s="207"/>
      <c r="GE24" s="207"/>
      <c r="GF24" s="278"/>
      <c r="GG24" s="278"/>
    </row>
    <row r="25" spans="1:189" ht="15" customHeight="1" outlineLevel="1" x14ac:dyDescent="0.3">
      <c r="A25" s="24"/>
      <c r="B25" s="301"/>
      <c r="C25" s="301"/>
      <c r="D25" s="301"/>
      <c r="E25" s="301"/>
      <c r="F25" s="301"/>
      <c r="G25" s="5" t="s">
        <v>43</v>
      </c>
      <c r="H25" s="5"/>
      <c r="I25" s="22">
        <f t="shared" ref="I25:AN25" si="68">I26-I27</f>
        <v>6991364.71</v>
      </c>
      <c r="J25" s="23">
        <f t="shared" si="68"/>
        <v>7169</v>
      </c>
      <c r="K25" s="22">
        <f t="shared" si="68"/>
        <v>587386</v>
      </c>
      <c r="L25" s="23">
        <f t="shared" si="68"/>
        <v>509</v>
      </c>
      <c r="M25" s="22">
        <f t="shared" si="68"/>
        <v>466708.58999999991</v>
      </c>
      <c r="N25" s="23">
        <f t="shared" si="68"/>
        <v>423</v>
      </c>
      <c r="O25" s="22">
        <f t="shared" si="68"/>
        <v>398301.69</v>
      </c>
      <c r="P25" s="23">
        <f t="shared" si="68"/>
        <v>435</v>
      </c>
      <c r="Q25" s="22">
        <f t="shared" si="68"/>
        <v>386312.47000000003</v>
      </c>
      <c r="R25" s="23">
        <f t="shared" si="68"/>
        <v>435</v>
      </c>
      <c r="S25" s="22">
        <f t="shared" si="68"/>
        <v>618731.41</v>
      </c>
      <c r="T25" s="23">
        <f t="shared" si="68"/>
        <v>521</v>
      </c>
      <c r="U25" s="22">
        <f t="shared" si="68"/>
        <v>483055.92</v>
      </c>
      <c r="V25" s="23">
        <f t="shared" si="68"/>
        <v>413</v>
      </c>
      <c r="W25" s="22">
        <f t="shared" si="68"/>
        <v>797538</v>
      </c>
      <c r="X25" s="23">
        <f t="shared" si="68"/>
        <v>740</v>
      </c>
      <c r="Y25" s="22">
        <f t="shared" si="68"/>
        <v>593956.66</v>
      </c>
      <c r="Z25" s="23">
        <f t="shared" si="68"/>
        <v>657</v>
      </c>
      <c r="AA25" s="22">
        <f t="shared" si="68"/>
        <v>886706</v>
      </c>
      <c r="AB25" s="23">
        <f t="shared" si="68"/>
        <v>1051</v>
      </c>
      <c r="AC25" s="22">
        <f t="shared" si="68"/>
        <v>956715</v>
      </c>
      <c r="AD25" s="23">
        <f t="shared" si="68"/>
        <v>1095</v>
      </c>
      <c r="AE25" s="22">
        <f t="shared" si="68"/>
        <v>603981</v>
      </c>
      <c r="AF25" s="23">
        <f t="shared" si="68"/>
        <v>671</v>
      </c>
      <c r="AG25" s="22">
        <f t="shared" si="68"/>
        <v>598284.43999999994</v>
      </c>
      <c r="AH25" s="23">
        <f t="shared" si="68"/>
        <v>654</v>
      </c>
      <c r="AI25" s="22">
        <f t="shared" si="68"/>
        <v>365329</v>
      </c>
      <c r="AJ25" s="23">
        <f t="shared" si="68"/>
        <v>382</v>
      </c>
      <c r="AK25" s="22">
        <f t="shared" si="68"/>
        <v>261145</v>
      </c>
      <c r="AL25" s="23">
        <f t="shared" si="68"/>
        <v>291</v>
      </c>
      <c r="AM25" s="22">
        <f t="shared" si="68"/>
        <v>261145</v>
      </c>
      <c r="AN25" s="23">
        <f t="shared" si="68"/>
        <v>383</v>
      </c>
      <c r="AO25" s="22">
        <f t="shared" ref="AO25:BT25" si="69">AO26-AO27</f>
        <v>330291</v>
      </c>
      <c r="AP25" s="23">
        <f t="shared" si="69"/>
        <v>329</v>
      </c>
      <c r="AQ25" s="22">
        <f t="shared" si="69"/>
        <v>356510</v>
      </c>
      <c r="AR25" s="23">
        <f t="shared" si="69"/>
        <v>298</v>
      </c>
      <c r="AS25" s="22">
        <f t="shared" si="69"/>
        <v>283586</v>
      </c>
      <c r="AT25" s="23">
        <f t="shared" si="69"/>
        <v>267</v>
      </c>
      <c r="AU25" s="22">
        <f t="shared" si="69"/>
        <v>289586</v>
      </c>
      <c r="AV25" s="23">
        <f t="shared" si="69"/>
        <v>376</v>
      </c>
      <c r="AW25" s="22">
        <f t="shared" si="69"/>
        <v>565990</v>
      </c>
      <c r="AX25" s="23">
        <f t="shared" si="69"/>
        <v>449</v>
      </c>
      <c r="AY25" s="22">
        <f t="shared" si="69"/>
        <v>381618</v>
      </c>
      <c r="AZ25" s="23">
        <f t="shared" si="69"/>
        <v>259</v>
      </c>
      <c r="BA25" s="22">
        <f t="shared" si="69"/>
        <v>425133</v>
      </c>
      <c r="BB25" s="23">
        <f t="shared" si="69"/>
        <v>315</v>
      </c>
      <c r="BC25" s="22">
        <f t="shared" si="69"/>
        <v>503960</v>
      </c>
      <c r="BD25" s="23">
        <f t="shared" si="69"/>
        <v>370</v>
      </c>
      <c r="BE25" s="22">
        <f t="shared" si="69"/>
        <v>572431</v>
      </c>
      <c r="BF25" s="23">
        <f t="shared" si="69"/>
        <v>420</v>
      </c>
      <c r="BG25" s="22">
        <f t="shared" si="69"/>
        <v>560766</v>
      </c>
      <c r="BH25" s="23">
        <f t="shared" si="69"/>
        <v>384</v>
      </c>
      <c r="BI25" s="22">
        <f t="shared" si="69"/>
        <v>464432</v>
      </c>
      <c r="BJ25" s="23">
        <f t="shared" si="69"/>
        <v>319</v>
      </c>
      <c r="BK25" s="22">
        <f t="shared" si="69"/>
        <v>466748</v>
      </c>
      <c r="BL25" s="23">
        <f t="shared" si="69"/>
        <v>294</v>
      </c>
      <c r="BM25" s="22">
        <f t="shared" si="69"/>
        <v>578524</v>
      </c>
      <c r="BN25" s="23">
        <f t="shared" si="69"/>
        <v>371</v>
      </c>
      <c r="BO25" s="22">
        <f t="shared" si="69"/>
        <v>618977</v>
      </c>
      <c r="BP25" s="23">
        <f t="shared" si="69"/>
        <v>395</v>
      </c>
      <c r="BQ25" s="22">
        <f t="shared" si="69"/>
        <v>733421</v>
      </c>
      <c r="BR25" s="23">
        <f t="shared" si="69"/>
        <v>514</v>
      </c>
      <c r="BS25" s="22">
        <f t="shared" si="69"/>
        <v>590091</v>
      </c>
      <c r="BT25" s="23">
        <f t="shared" si="69"/>
        <v>449</v>
      </c>
      <c r="BU25" s="22">
        <f t="shared" ref="BU25:CZ25" si="70">BU26-BU27</f>
        <v>661621</v>
      </c>
      <c r="BV25" s="23">
        <f t="shared" si="70"/>
        <v>470</v>
      </c>
      <c r="BW25" s="22">
        <f t="shared" si="70"/>
        <v>868871.03700000001</v>
      </c>
      <c r="BX25" s="23">
        <f t="shared" si="70"/>
        <v>688</v>
      </c>
      <c r="BY25" s="22">
        <f t="shared" si="70"/>
        <v>919981</v>
      </c>
      <c r="BZ25" s="23">
        <f t="shared" si="70"/>
        <v>723</v>
      </c>
      <c r="CA25" s="22">
        <f t="shared" si="70"/>
        <v>755298</v>
      </c>
      <c r="CB25" s="23">
        <f t="shared" si="70"/>
        <v>524</v>
      </c>
      <c r="CC25" s="22">
        <f t="shared" si="70"/>
        <v>845702</v>
      </c>
      <c r="CD25" s="23">
        <f t="shared" si="70"/>
        <v>550</v>
      </c>
      <c r="CE25" s="22">
        <f t="shared" si="70"/>
        <v>631573</v>
      </c>
      <c r="CF25" s="23">
        <f t="shared" si="70"/>
        <v>399</v>
      </c>
      <c r="CG25" s="22">
        <f t="shared" si="70"/>
        <v>815347</v>
      </c>
      <c r="CH25" s="23">
        <f t="shared" si="70"/>
        <v>554</v>
      </c>
      <c r="CI25" s="22">
        <f t="shared" si="70"/>
        <v>1039591</v>
      </c>
      <c r="CJ25" s="23">
        <f t="shared" si="70"/>
        <v>715</v>
      </c>
      <c r="CK25" s="22">
        <f t="shared" si="70"/>
        <v>967676</v>
      </c>
      <c r="CL25" s="23">
        <f t="shared" si="70"/>
        <v>791</v>
      </c>
      <c r="CM25" s="22">
        <f t="shared" si="70"/>
        <v>670970</v>
      </c>
      <c r="CN25" s="23">
        <f t="shared" si="70"/>
        <v>483</v>
      </c>
      <c r="CO25" s="22">
        <f t="shared" si="70"/>
        <v>749330</v>
      </c>
      <c r="CP25" s="23">
        <f t="shared" si="70"/>
        <v>539</v>
      </c>
      <c r="CQ25" s="22">
        <f t="shared" si="70"/>
        <v>769289</v>
      </c>
      <c r="CR25" s="23">
        <f t="shared" si="70"/>
        <v>581</v>
      </c>
      <c r="CS25" s="22">
        <f t="shared" si="70"/>
        <v>1208060</v>
      </c>
      <c r="CT25" s="23">
        <f t="shared" si="70"/>
        <v>855</v>
      </c>
      <c r="CU25" s="22">
        <f t="shared" si="70"/>
        <v>921041</v>
      </c>
      <c r="CV25" s="23">
        <f t="shared" si="70"/>
        <v>697</v>
      </c>
      <c r="CW25" s="22">
        <f t="shared" si="70"/>
        <v>785253</v>
      </c>
      <c r="CX25" s="23">
        <f t="shared" si="70"/>
        <v>652</v>
      </c>
      <c r="CY25" s="22">
        <f t="shared" si="70"/>
        <v>1019672</v>
      </c>
      <c r="CZ25" s="23">
        <f t="shared" si="70"/>
        <v>847</v>
      </c>
      <c r="DA25" s="22">
        <f t="shared" ref="DA25:DT25" si="71">DA26-DA27</f>
        <v>1190230</v>
      </c>
      <c r="DB25" s="23">
        <f t="shared" si="71"/>
        <v>948</v>
      </c>
      <c r="DC25" s="22">
        <f t="shared" si="71"/>
        <v>0</v>
      </c>
      <c r="DD25" s="23">
        <f t="shared" si="71"/>
        <v>0</v>
      </c>
      <c r="DE25" s="22">
        <f t="shared" si="71"/>
        <v>0</v>
      </c>
      <c r="DF25" s="23">
        <f t="shared" si="71"/>
        <v>0</v>
      </c>
      <c r="DG25" s="22">
        <f t="shared" si="71"/>
        <v>0</v>
      </c>
      <c r="DH25" s="23">
        <f t="shared" si="71"/>
        <v>0</v>
      </c>
      <c r="DI25" s="22">
        <f t="shared" si="71"/>
        <v>0</v>
      </c>
      <c r="DJ25" s="23">
        <f t="shared" si="71"/>
        <v>0</v>
      </c>
      <c r="DK25" s="22">
        <f t="shared" si="71"/>
        <v>0</v>
      </c>
      <c r="DL25" s="23">
        <f t="shared" si="71"/>
        <v>0</v>
      </c>
      <c r="DM25" s="22">
        <f t="shared" si="71"/>
        <v>0</v>
      </c>
      <c r="DN25" s="23">
        <f t="shared" si="71"/>
        <v>0</v>
      </c>
      <c r="DO25" s="22">
        <f t="shared" si="71"/>
        <v>0</v>
      </c>
      <c r="DP25" s="23">
        <f t="shared" si="71"/>
        <v>0</v>
      </c>
      <c r="DQ25" s="22">
        <f t="shared" si="71"/>
        <v>0</v>
      </c>
      <c r="DR25" s="23">
        <f t="shared" si="71"/>
        <v>0</v>
      </c>
      <c r="DS25" s="22">
        <f t="shared" si="71"/>
        <v>0</v>
      </c>
      <c r="DT25" s="23">
        <f t="shared" si="71"/>
        <v>0</v>
      </c>
      <c r="DU25" s="181"/>
      <c r="DV25" s="181"/>
      <c r="DW25" s="181"/>
      <c r="DX25" s="181"/>
      <c r="DY25" s="181"/>
      <c r="DZ25" s="181"/>
      <c r="EA25" s="181"/>
      <c r="EB25" s="181"/>
      <c r="EC25" s="181"/>
      <c r="ED25" s="181"/>
      <c r="EE25" s="181"/>
      <c r="EF25" s="181"/>
      <c r="EG25" s="181"/>
      <c r="EH25" s="181"/>
      <c r="EI25" s="181"/>
      <c r="EJ25" s="181"/>
      <c r="EK25" s="181"/>
      <c r="EL25" s="181"/>
      <c r="EM25" s="181"/>
      <c r="EN25" s="22">
        <f t="shared" ref="EN25:EO25" si="72">EN26-EN27</f>
        <v>319234.13999999996</v>
      </c>
      <c r="EO25" s="23">
        <f t="shared" si="72"/>
        <v>262</v>
      </c>
      <c r="EP25" s="22">
        <f>EP26-EP27</f>
        <v>343656.40890312195</v>
      </c>
      <c r="EQ25" s="23">
        <f t="shared" ref="EQ25:ES25" si="73">EQ26-EQ27</f>
        <v>297</v>
      </c>
      <c r="ER25" s="22">
        <f>ER26-ER27</f>
        <v>455834.48999999987</v>
      </c>
      <c r="ES25" s="23">
        <f t="shared" si="73"/>
        <v>367</v>
      </c>
      <c r="ET25" s="22">
        <f>ET26-ET27</f>
        <v>505647.89</v>
      </c>
      <c r="EU25" s="23">
        <f>EU26-EU27</f>
        <v>296</v>
      </c>
      <c r="EV25" s="22">
        <f>EV26-EV27</f>
        <v>485647.16000000003</v>
      </c>
      <c r="EW25" s="23">
        <f t="shared" ref="EW25" si="74">EW26-EW27</f>
        <v>326</v>
      </c>
      <c r="EX25" s="22">
        <f>EX26-EX27</f>
        <v>730655.9600000002</v>
      </c>
      <c r="EY25" s="23">
        <f t="shared" ref="EY25:FA25" si="75">EY26-EY27</f>
        <v>430</v>
      </c>
      <c r="EZ25" s="22">
        <f>EZ26-EZ27</f>
        <v>418357.89</v>
      </c>
      <c r="FA25" s="23">
        <f t="shared" si="75"/>
        <v>285</v>
      </c>
      <c r="FB25" s="22">
        <f>FB26-FB27</f>
        <v>829029.32</v>
      </c>
      <c r="FC25" s="23">
        <f t="shared" ref="FC25:FE25" si="76">FC26-FC27</f>
        <v>634</v>
      </c>
      <c r="FD25" s="22">
        <f>FD26-FD27</f>
        <v>20765.48</v>
      </c>
      <c r="FE25" s="23">
        <f t="shared" si="76"/>
        <v>13</v>
      </c>
      <c r="FF25" s="22">
        <f>FF26-FF27</f>
        <v>44139.06</v>
      </c>
      <c r="FG25" s="23">
        <f t="shared" ref="FG25:FI25" si="77">FG26-FG27</f>
        <v>34</v>
      </c>
      <c r="FH25" s="22">
        <f>FH26-FH27</f>
        <v>527058.48</v>
      </c>
      <c r="FI25" s="23">
        <f t="shared" si="77"/>
        <v>364</v>
      </c>
      <c r="FJ25" s="22">
        <f>FJ26-FJ27</f>
        <v>389191.89</v>
      </c>
      <c r="FK25" s="23">
        <f t="shared" ref="FK25" si="78">FK26-FK27</f>
        <v>274</v>
      </c>
      <c r="FL25" s="22">
        <f t="shared" ref="FL25:FQ25" si="79">FL26-FL27</f>
        <v>0</v>
      </c>
      <c r="FM25" s="23">
        <f t="shared" si="79"/>
        <v>0</v>
      </c>
      <c r="FN25" s="22">
        <f t="shared" si="79"/>
        <v>337833.9800000001</v>
      </c>
      <c r="FO25" s="23">
        <f t="shared" si="79"/>
        <v>227</v>
      </c>
      <c r="FP25" s="22">
        <f t="shared" si="79"/>
        <v>254262.00999999998</v>
      </c>
      <c r="FQ25" s="23">
        <f t="shared" si="79"/>
        <v>183</v>
      </c>
      <c r="FR25" s="208" t="s">
        <v>29</v>
      </c>
      <c r="FS25" s="208" t="s">
        <v>29</v>
      </c>
      <c r="FT25" s="208" t="s">
        <v>29</v>
      </c>
      <c r="FU25" s="208" t="s">
        <v>29</v>
      </c>
      <c r="FV25" s="208" t="s">
        <v>29</v>
      </c>
      <c r="FW25" s="208" t="s">
        <v>29</v>
      </c>
      <c r="FX25" s="208" t="s">
        <v>29</v>
      </c>
      <c r="FY25" s="208" t="s">
        <v>29</v>
      </c>
      <c r="FZ25" s="208"/>
      <c r="GA25" s="208"/>
      <c r="GB25" s="208"/>
      <c r="GC25" s="208"/>
      <c r="GD25" s="208"/>
      <c r="GE25" s="208"/>
      <c r="GF25" s="279" t="s">
        <v>443</v>
      </c>
      <c r="GG25" s="279" t="s">
        <v>443</v>
      </c>
    </row>
    <row r="26" spans="1:189" ht="15" customHeight="1" outlineLevel="1" x14ac:dyDescent="0.3">
      <c r="A26" s="24"/>
      <c r="B26" s="301"/>
      <c r="C26" s="301"/>
      <c r="D26" s="301"/>
      <c r="E26" s="301"/>
      <c r="F26" s="301"/>
      <c r="G26" s="5" t="s">
        <v>44</v>
      </c>
      <c r="H26" s="5"/>
      <c r="I26" s="22">
        <f t="shared" ref="I26" si="80">AG26+AE26+AC26+AA26+Y26+W26+U26+S26+O26+M26+K26</f>
        <v>8181624.8499999996</v>
      </c>
      <c r="J26" s="23">
        <f t="shared" ref="J26" si="81">AH26+AF26+AD26+AB26+Z26+X26+V26+T26+P26+N26+L26</f>
        <v>8554</v>
      </c>
      <c r="K26" s="22">
        <f t="shared" ref="K26" si="82">L26*$K$5</f>
        <v>730482</v>
      </c>
      <c r="L26" s="23">
        <v>633</v>
      </c>
      <c r="M26" s="22">
        <f t="shared" ref="M26" si="83">N26*$M$5</f>
        <v>557181.64999999991</v>
      </c>
      <c r="N26" s="23">
        <v>505</v>
      </c>
      <c r="O26" s="22">
        <v>486351.12</v>
      </c>
      <c r="P26" s="23">
        <v>533</v>
      </c>
      <c r="Q26" s="22">
        <v>464318.65</v>
      </c>
      <c r="R26" s="23">
        <v>536</v>
      </c>
      <c r="S26" s="22">
        <v>717551</v>
      </c>
      <c r="T26" s="23">
        <v>621</v>
      </c>
      <c r="U26" s="22">
        <v>555117</v>
      </c>
      <c r="V26" s="23">
        <v>492</v>
      </c>
      <c r="W26" s="22">
        <v>884693</v>
      </c>
      <c r="X26" s="23">
        <v>823</v>
      </c>
      <c r="Y26" s="22">
        <v>685689</v>
      </c>
      <c r="Z26" s="23">
        <v>770</v>
      </c>
      <c r="AA26" s="22">
        <v>1051837</v>
      </c>
      <c r="AB26" s="23">
        <v>1301</v>
      </c>
      <c r="AC26" s="22">
        <v>1118587</v>
      </c>
      <c r="AD26" s="23">
        <v>1309</v>
      </c>
      <c r="AE26" s="22">
        <v>714958</v>
      </c>
      <c r="AF26" s="23">
        <v>817</v>
      </c>
      <c r="AG26" s="22">
        <v>679178.08</v>
      </c>
      <c r="AH26" s="23">
        <v>750</v>
      </c>
      <c r="AI26" s="22">
        <v>424142</v>
      </c>
      <c r="AJ26" s="23">
        <v>439</v>
      </c>
      <c r="AK26" s="22">
        <v>312555</v>
      </c>
      <c r="AL26" s="23">
        <v>349</v>
      </c>
      <c r="AM26" s="22">
        <v>312555</v>
      </c>
      <c r="AN26" s="23">
        <v>465</v>
      </c>
      <c r="AO26" s="22">
        <v>385519</v>
      </c>
      <c r="AP26" s="23">
        <v>390</v>
      </c>
      <c r="AQ26" s="22">
        <v>385519</v>
      </c>
      <c r="AR26" s="23">
        <v>329</v>
      </c>
      <c r="AS26" s="22">
        <v>323298</v>
      </c>
      <c r="AT26" s="23">
        <v>297</v>
      </c>
      <c r="AU26" s="22">
        <v>329298</v>
      </c>
      <c r="AV26" s="23">
        <v>457</v>
      </c>
      <c r="AW26" s="22">
        <v>669132</v>
      </c>
      <c r="AX26" s="23">
        <v>529</v>
      </c>
      <c r="AY26" s="22">
        <v>442318</v>
      </c>
      <c r="AZ26" s="23">
        <v>306</v>
      </c>
      <c r="BA26" s="22">
        <v>496566</v>
      </c>
      <c r="BB26" s="23">
        <v>367</v>
      </c>
      <c r="BC26" s="22">
        <v>604069</v>
      </c>
      <c r="BD26" s="23">
        <v>448</v>
      </c>
      <c r="BE26" s="22">
        <v>698679</v>
      </c>
      <c r="BF26" s="23">
        <v>513</v>
      </c>
      <c r="BG26" s="22">
        <v>638683</v>
      </c>
      <c r="BH26" s="23">
        <v>435</v>
      </c>
      <c r="BI26" s="22">
        <v>531267</v>
      </c>
      <c r="BJ26" s="23">
        <v>358</v>
      </c>
      <c r="BK26" s="22">
        <v>531591</v>
      </c>
      <c r="BL26" s="23">
        <v>333</v>
      </c>
      <c r="BM26" s="22">
        <v>669314</v>
      </c>
      <c r="BN26" s="23">
        <v>423</v>
      </c>
      <c r="BO26" s="22">
        <v>724148</v>
      </c>
      <c r="BP26" s="23">
        <v>462</v>
      </c>
      <c r="BQ26" s="22">
        <v>815836</v>
      </c>
      <c r="BR26" s="23">
        <v>587</v>
      </c>
      <c r="BS26" s="22">
        <v>685660</v>
      </c>
      <c r="BT26" s="23">
        <v>515</v>
      </c>
      <c r="BU26" s="22">
        <v>756337</v>
      </c>
      <c r="BV26" s="23">
        <v>545</v>
      </c>
      <c r="BW26" s="22">
        <v>1003000.037</v>
      </c>
      <c r="BX26" s="23">
        <v>791</v>
      </c>
      <c r="BY26" s="22">
        <v>1058945</v>
      </c>
      <c r="BZ26" s="23">
        <v>832</v>
      </c>
      <c r="CA26" s="22">
        <v>876423</v>
      </c>
      <c r="CB26" s="23">
        <v>600</v>
      </c>
      <c r="CC26" s="22">
        <v>985747</v>
      </c>
      <c r="CD26" s="23">
        <v>638</v>
      </c>
      <c r="CE26" s="22">
        <v>727472</v>
      </c>
      <c r="CF26" s="23">
        <v>448</v>
      </c>
      <c r="CG26" s="22">
        <v>928742</v>
      </c>
      <c r="CH26" s="23">
        <v>631</v>
      </c>
      <c r="CI26" s="22">
        <v>1187445</v>
      </c>
      <c r="CJ26" s="23">
        <v>816</v>
      </c>
      <c r="CK26" s="22">
        <v>1197309</v>
      </c>
      <c r="CL26" s="23">
        <v>927</v>
      </c>
      <c r="CM26" s="22">
        <v>801377</v>
      </c>
      <c r="CN26" s="23">
        <v>572</v>
      </c>
      <c r="CO26" s="22">
        <v>858246</v>
      </c>
      <c r="CP26" s="23">
        <v>608</v>
      </c>
      <c r="CQ26" s="22">
        <v>860714</v>
      </c>
      <c r="CR26" s="23">
        <v>653</v>
      </c>
      <c r="CS26" s="22">
        <v>1364207</v>
      </c>
      <c r="CT26" s="23">
        <v>963</v>
      </c>
      <c r="CU26" s="22">
        <v>1113870</v>
      </c>
      <c r="CV26" s="23">
        <v>835</v>
      </c>
      <c r="CW26" s="22">
        <v>918830</v>
      </c>
      <c r="CX26" s="23">
        <v>763</v>
      </c>
      <c r="CY26" s="22">
        <v>1174833</v>
      </c>
      <c r="CZ26" s="23">
        <v>981</v>
      </c>
      <c r="DA26" s="22">
        <v>1319086</v>
      </c>
      <c r="DB26" s="23">
        <v>1064</v>
      </c>
      <c r="DC26" s="22"/>
      <c r="DD26" s="23"/>
      <c r="DE26" s="22"/>
      <c r="DF26" s="23"/>
      <c r="DG26" s="22"/>
      <c r="DH26" s="23"/>
      <c r="DI26" s="22"/>
      <c r="DJ26" s="23"/>
      <c r="DK26" s="22"/>
      <c r="DL26" s="23"/>
      <c r="DM26" s="22"/>
      <c r="DN26" s="23"/>
      <c r="DO26" s="22"/>
      <c r="DP26" s="23"/>
      <c r="DQ26" s="22"/>
      <c r="DR26" s="23"/>
      <c r="DS26" s="22"/>
      <c r="DT26" s="23"/>
      <c r="DU26" s="181"/>
      <c r="DV26" s="181"/>
      <c r="DW26" s="181"/>
      <c r="DX26" s="181"/>
      <c r="DY26" s="181"/>
      <c r="DZ26" s="181"/>
      <c r="EA26" s="181"/>
      <c r="EB26" s="181"/>
      <c r="EC26" s="181"/>
      <c r="ED26" s="181"/>
      <c r="EE26" s="181"/>
      <c r="EF26" s="181"/>
      <c r="EG26" s="181"/>
      <c r="EH26" s="181"/>
      <c r="EI26" s="181"/>
      <c r="EJ26" s="181"/>
      <c r="EK26" s="181"/>
      <c r="EL26" s="181"/>
      <c r="EM26" s="181"/>
      <c r="EN26" s="22">
        <v>335928.92</v>
      </c>
      <c r="EO26" s="23">
        <v>279</v>
      </c>
      <c r="EP26" s="22">
        <v>380831.55895423889</v>
      </c>
      <c r="EQ26" s="23">
        <v>331</v>
      </c>
      <c r="ER26" s="22">
        <v>467620.98999999987</v>
      </c>
      <c r="ES26" s="23">
        <v>380</v>
      </c>
      <c r="ET26" s="22">
        <v>505647.89</v>
      </c>
      <c r="EU26" s="23">
        <v>296</v>
      </c>
      <c r="EV26" s="22">
        <v>485647.16000000003</v>
      </c>
      <c r="EW26" s="23">
        <v>326</v>
      </c>
      <c r="EX26" s="22">
        <v>730655.9600000002</v>
      </c>
      <c r="EY26" s="23">
        <v>430</v>
      </c>
      <c r="EZ26" s="22">
        <v>418357.89</v>
      </c>
      <c r="FA26" s="23">
        <v>285</v>
      </c>
      <c r="FB26" s="22">
        <v>829029.32</v>
      </c>
      <c r="FC26" s="23">
        <v>634</v>
      </c>
      <c r="FD26" s="22">
        <v>20765.48</v>
      </c>
      <c r="FE26" s="23">
        <v>13</v>
      </c>
      <c r="FF26" s="22">
        <v>44139.06</v>
      </c>
      <c r="FG26" s="23">
        <v>34</v>
      </c>
      <c r="FH26" s="22">
        <v>527058.48</v>
      </c>
      <c r="FI26" s="23">
        <v>364</v>
      </c>
      <c r="FJ26" s="22">
        <v>389191.89</v>
      </c>
      <c r="FK26" s="23">
        <v>274</v>
      </c>
      <c r="FL26" s="22"/>
      <c r="FM26" s="23"/>
      <c r="FN26" s="22">
        <v>337833.9800000001</v>
      </c>
      <c r="FO26" s="23">
        <v>227</v>
      </c>
      <c r="FP26" s="22">
        <v>254262.00999999998</v>
      </c>
      <c r="FQ26" s="23">
        <v>183</v>
      </c>
      <c r="FR26" s="207"/>
      <c r="FS26" s="207"/>
      <c r="FT26" s="207"/>
      <c r="FU26" s="207"/>
      <c r="FV26" s="207"/>
      <c r="FW26" s="207"/>
      <c r="FX26" s="207"/>
      <c r="FY26" s="207"/>
      <c r="FZ26" s="208" t="s">
        <v>29</v>
      </c>
      <c r="GA26" s="208" t="s">
        <v>29</v>
      </c>
      <c r="GB26" s="208" t="s">
        <v>29</v>
      </c>
      <c r="GC26" s="208" t="s">
        <v>29</v>
      </c>
      <c r="GD26" s="208" t="s">
        <v>29</v>
      </c>
      <c r="GE26" s="208" t="s">
        <v>29</v>
      </c>
      <c r="GF26" s="279"/>
      <c r="GG26" s="279"/>
    </row>
    <row r="27" spans="1:189" ht="15" customHeight="1" outlineLevel="1" x14ac:dyDescent="0.3">
      <c r="A27" s="24"/>
      <c r="B27" s="302"/>
      <c r="C27" s="302"/>
      <c r="D27" s="302"/>
      <c r="E27" s="302"/>
      <c r="F27" s="302"/>
      <c r="G27" s="5" t="s">
        <v>45</v>
      </c>
      <c r="H27" s="5"/>
      <c r="I27" s="22">
        <f t="shared" ref="I27" si="84">AG27+AE27+AC27+AA27+Y27+W27+U27+S27+O27+M27+K27</f>
        <v>1190260.1399999999</v>
      </c>
      <c r="J27" s="23">
        <f t="shared" ref="J27" si="85">AH27+AF27+AD27+AB27+Z27+X27+V27+T27+P27+N27+L27</f>
        <v>1385</v>
      </c>
      <c r="K27" s="22">
        <f t="shared" ref="K27" si="86">L27*$K$5</f>
        <v>143096</v>
      </c>
      <c r="L27" s="23">
        <v>124</v>
      </c>
      <c r="M27" s="22">
        <f t="shared" ref="M27" si="87">N27*$M$5</f>
        <v>90473.06</v>
      </c>
      <c r="N27" s="23">
        <v>82</v>
      </c>
      <c r="O27" s="22">
        <v>88049.43</v>
      </c>
      <c r="P27" s="23">
        <v>98</v>
      </c>
      <c r="Q27" s="22">
        <v>78006.179999999993</v>
      </c>
      <c r="R27" s="23">
        <v>101</v>
      </c>
      <c r="S27" s="22">
        <v>98819.59</v>
      </c>
      <c r="T27" s="23">
        <v>100</v>
      </c>
      <c r="U27" s="22">
        <v>72061.08</v>
      </c>
      <c r="V27" s="23">
        <v>79</v>
      </c>
      <c r="W27" s="22">
        <v>87155</v>
      </c>
      <c r="X27" s="23">
        <v>83</v>
      </c>
      <c r="Y27" s="22">
        <v>91732.34</v>
      </c>
      <c r="Z27" s="23">
        <v>113</v>
      </c>
      <c r="AA27" s="22">
        <v>165131</v>
      </c>
      <c r="AB27" s="23">
        <v>250</v>
      </c>
      <c r="AC27" s="22">
        <v>161872</v>
      </c>
      <c r="AD27" s="23">
        <v>214</v>
      </c>
      <c r="AE27" s="22">
        <v>110977</v>
      </c>
      <c r="AF27" s="23">
        <v>146</v>
      </c>
      <c r="AG27" s="22">
        <v>80893.64</v>
      </c>
      <c r="AH27" s="23">
        <v>96</v>
      </c>
      <c r="AI27" s="22">
        <v>58813</v>
      </c>
      <c r="AJ27" s="23">
        <v>57</v>
      </c>
      <c r="AK27" s="22">
        <v>51410</v>
      </c>
      <c r="AL27" s="23">
        <v>58</v>
      </c>
      <c r="AM27" s="22">
        <v>51410</v>
      </c>
      <c r="AN27" s="23">
        <v>82</v>
      </c>
      <c r="AO27" s="22">
        <v>55228</v>
      </c>
      <c r="AP27" s="23">
        <v>61</v>
      </c>
      <c r="AQ27" s="22">
        <v>29009</v>
      </c>
      <c r="AR27" s="23">
        <v>31</v>
      </c>
      <c r="AS27" s="22">
        <v>39712</v>
      </c>
      <c r="AT27" s="23">
        <v>30</v>
      </c>
      <c r="AU27" s="22">
        <v>39712</v>
      </c>
      <c r="AV27" s="23">
        <v>81</v>
      </c>
      <c r="AW27" s="22">
        <v>103142</v>
      </c>
      <c r="AX27" s="23">
        <v>80</v>
      </c>
      <c r="AY27" s="22">
        <v>60700</v>
      </c>
      <c r="AZ27" s="23">
        <v>47</v>
      </c>
      <c r="BA27" s="22">
        <v>71433</v>
      </c>
      <c r="BB27" s="23">
        <v>52</v>
      </c>
      <c r="BC27" s="22">
        <v>100109</v>
      </c>
      <c r="BD27" s="23">
        <v>78</v>
      </c>
      <c r="BE27" s="22">
        <v>126248</v>
      </c>
      <c r="BF27" s="23">
        <v>93</v>
      </c>
      <c r="BG27" s="22">
        <v>77917</v>
      </c>
      <c r="BH27" s="23">
        <v>51</v>
      </c>
      <c r="BI27" s="22">
        <v>66835</v>
      </c>
      <c r="BJ27" s="23">
        <v>39</v>
      </c>
      <c r="BK27" s="22">
        <v>64843</v>
      </c>
      <c r="BL27" s="23">
        <v>39</v>
      </c>
      <c r="BM27" s="22">
        <v>90790</v>
      </c>
      <c r="BN27" s="23">
        <v>52</v>
      </c>
      <c r="BO27" s="22">
        <v>105171</v>
      </c>
      <c r="BP27" s="23">
        <v>67</v>
      </c>
      <c r="BQ27" s="22">
        <v>82415</v>
      </c>
      <c r="BR27" s="23">
        <v>73</v>
      </c>
      <c r="BS27" s="22">
        <v>95569</v>
      </c>
      <c r="BT27" s="23">
        <v>66</v>
      </c>
      <c r="BU27" s="22">
        <v>94716</v>
      </c>
      <c r="BV27" s="23">
        <v>75</v>
      </c>
      <c r="BW27" s="22">
        <v>134129</v>
      </c>
      <c r="BX27" s="23">
        <v>103</v>
      </c>
      <c r="BY27" s="22">
        <v>138964</v>
      </c>
      <c r="BZ27" s="23">
        <v>109</v>
      </c>
      <c r="CA27" s="22">
        <v>121125</v>
      </c>
      <c r="CB27" s="23">
        <v>76</v>
      </c>
      <c r="CC27" s="22">
        <v>140045</v>
      </c>
      <c r="CD27" s="23">
        <v>88</v>
      </c>
      <c r="CE27" s="22">
        <v>95899</v>
      </c>
      <c r="CF27" s="23">
        <v>49</v>
      </c>
      <c r="CG27" s="22">
        <v>113395</v>
      </c>
      <c r="CH27" s="23">
        <v>77</v>
      </c>
      <c r="CI27" s="22">
        <v>147854</v>
      </c>
      <c r="CJ27" s="23">
        <v>101</v>
      </c>
      <c r="CK27" s="22">
        <v>229633</v>
      </c>
      <c r="CL27" s="23">
        <v>136</v>
      </c>
      <c r="CM27" s="22">
        <v>130407</v>
      </c>
      <c r="CN27" s="23">
        <v>89</v>
      </c>
      <c r="CO27" s="22">
        <v>108916</v>
      </c>
      <c r="CP27" s="23">
        <v>69</v>
      </c>
      <c r="CQ27" s="22">
        <v>91425</v>
      </c>
      <c r="CR27" s="23">
        <v>72</v>
      </c>
      <c r="CS27" s="22">
        <v>156147</v>
      </c>
      <c r="CT27" s="23">
        <v>108</v>
      </c>
      <c r="CU27" s="22">
        <v>192829</v>
      </c>
      <c r="CV27" s="23">
        <v>138</v>
      </c>
      <c r="CW27" s="22">
        <v>133577</v>
      </c>
      <c r="CX27" s="23">
        <v>111</v>
      </c>
      <c r="CY27" s="22">
        <v>155161</v>
      </c>
      <c r="CZ27" s="23">
        <v>134</v>
      </c>
      <c r="DA27" s="22">
        <v>128856</v>
      </c>
      <c r="DB27" s="23">
        <v>116</v>
      </c>
      <c r="DC27" s="22"/>
      <c r="DD27" s="23"/>
      <c r="DE27" s="22"/>
      <c r="DF27" s="23"/>
      <c r="DG27" s="22"/>
      <c r="DH27" s="23"/>
      <c r="DI27" s="22"/>
      <c r="DJ27" s="23"/>
      <c r="DK27" s="22"/>
      <c r="DL27" s="23"/>
      <c r="DM27" s="22"/>
      <c r="DN27" s="23"/>
      <c r="DO27" s="22"/>
      <c r="DP27" s="23"/>
      <c r="DQ27" s="22"/>
      <c r="DR27" s="23"/>
      <c r="DS27" s="22"/>
      <c r="DT27" s="23"/>
      <c r="DU27" s="181"/>
      <c r="DV27" s="181"/>
      <c r="DW27" s="181"/>
      <c r="DX27" s="181"/>
      <c r="DY27" s="181"/>
      <c r="DZ27" s="181"/>
      <c r="EA27" s="181"/>
      <c r="EB27" s="181"/>
      <c r="EC27" s="181"/>
      <c r="ED27" s="181"/>
      <c r="EE27" s="181"/>
      <c r="EF27" s="181"/>
      <c r="EG27" s="181"/>
      <c r="EH27" s="181"/>
      <c r="EI27" s="181"/>
      <c r="EJ27" s="181"/>
      <c r="EK27" s="181"/>
      <c r="EL27" s="181"/>
      <c r="EM27" s="181"/>
      <c r="EN27" s="22">
        <v>16694.780000000002</v>
      </c>
      <c r="EO27" s="23">
        <v>17</v>
      </c>
      <c r="EP27" s="22">
        <v>37175.150051116943</v>
      </c>
      <c r="EQ27" s="23">
        <v>34</v>
      </c>
      <c r="ER27" s="22">
        <v>11786.5</v>
      </c>
      <c r="ES27" s="23">
        <v>13</v>
      </c>
      <c r="ET27" s="22">
        <v>0</v>
      </c>
      <c r="EU27" s="23">
        <v>0</v>
      </c>
      <c r="EV27" s="22">
        <v>0</v>
      </c>
      <c r="EW27" s="23">
        <v>0</v>
      </c>
      <c r="EX27" s="22">
        <v>0</v>
      </c>
      <c r="EY27" s="23">
        <v>0</v>
      </c>
      <c r="EZ27" s="22">
        <v>0</v>
      </c>
      <c r="FA27" s="23">
        <v>0</v>
      </c>
      <c r="FB27" s="22">
        <v>0</v>
      </c>
      <c r="FC27" s="23">
        <v>0</v>
      </c>
      <c r="FD27" s="22">
        <v>0</v>
      </c>
      <c r="FE27" s="23">
        <v>0</v>
      </c>
      <c r="FF27" s="22">
        <v>0</v>
      </c>
      <c r="FG27" s="23">
        <v>0</v>
      </c>
      <c r="FH27" s="22">
        <v>0</v>
      </c>
      <c r="FI27" s="23">
        <v>0</v>
      </c>
      <c r="FJ27" s="22">
        <v>0</v>
      </c>
      <c r="FK27" s="23">
        <v>0</v>
      </c>
      <c r="FL27" s="22">
        <v>0</v>
      </c>
      <c r="FM27" s="23">
        <v>0</v>
      </c>
      <c r="FN27" s="22">
        <v>0</v>
      </c>
      <c r="FO27" s="23">
        <v>0</v>
      </c>
      <c r="FP27" s="22">
        <v>0</v>
      </c>
      <c r="FQ27" s="23">
        <v>0</v>
      </c>
      <c r="FR27" s="207"/>
      <c r="FS27" s="207"/>
      <c r="FT27" s="207"/>
      <c r="FU27" s="207"/>
      <c r="FV27" s="207"/>
      <c r="FW27" s="207"/>
      <c r="FX27" s="207"/>
      <c r="FY27" s="207"/>
      <c r="FZ27" s="207"/>
      <c r="GA27" s="207"/>
      <c r="GB27" s="207"/>
      <c r="GC27" s="207"/>
      <c r="GD27" s="207"/>
      <c r="GE27" s="207"/>
      <c r="GF27" s="278"/>
      <c r="GG27" s="278"/>
    </row>
    <row r="28" spans="1:189" ht="8.25" customHeight="1" outlineLevel="1" x14ac:dyDescent="0.3">
      <c r="A28" s="24"/>
      <c r="B28" s="18"/>
      <c r="C28" s="18"/>
      <c r="D28" s="18"/>
      <c r="E28" s="18"/>
      <c r="F28" s="18"/>
      <c r="G28" s="3"/>
      <c r="H28" s="3"/>
      <c r="I28" s="19"/>
      <c r="J28" s="20"/>
      <c r="K28" s="19"/>
      <c r="L28" s="20"/>
      <c r="M28" s="19"/>
      <c r="N28" s="20"/>
      <c r="O28" s="19"/>
      <c r="P28" s="20"/>
      <c r="Q28" s="19"/>
      <c r="R28" s="20"/>
      <c r="S28" s="19"/>
      <c r="T28" s="20"/>
      <c r="U28" s="19"/>
      <c r="V28" s="20"/>
      <c r="W28" s="19"/>
      <c r="X28" s="20"/>
      <c r="Y28" s="19"/>
      <c r="Z28" s="20"/>
      <c r="AA28" s="19"/>
      <c r="AB28" s="20"/>
      <c r="AC28" s="19"/>
      <c r="AD28" s="20"/>
      <c r="AE28" s="19"/>
      <c r="AF28" s="20"/>
      <c r="AG28" s="19"/>
      <c r="AH28" s="20"/>
      <c r="AI28" s="19"/>
      <c r="AJ28" s="20"/>
      <c r="AK28" s="19"/>
      <c r="AL28" s="20"/>
      <c r="AM28" s="19"/>
      <c r="AN28" s="20"/>
      <c r="AO28" s="19"/>
      <c r="AP28" s="20"/>
      <c r="AQ28" s="19"/>
      <c r="AR28" s="20"/>
      <c r="AS28" s="19"/>
      <c r="AT28" s="20"/>
      <c r="AU28" s="19"/>
      <c r="AV28" s="20"/>
      <c r="AW28" s="19"/>
      <c r="AX28" s="20"/>
      <c r="AY28" s="19"/>
      <c r="AZ28" s="20"/>
      <c r="BA28" s="19"/>
      <c r="BB28" s="20"/>
      <c r="BC28" s="19"/>
      <c r="BD28" s="20"/>
      <c r="BE28" s="19"/>
      <c r="BF28" s="20"/>
      <c r="BG28" s="19"/>
      <c r="BH28" s="20"/>
      <c r="BI28" s="19"/>
      <c r="BJ28" s="20"/>
      <c r="BK28" s="19"/>
      <c r="BL28" s="20"/>
      <c r="BM28" s="19"/>
      <c r="BN28" s="20"/>
      <c r="BO28" s="19"/>
      <c r="BP28" s="20"/>
      <c r="BQ28" s="19"/>
      <c r="BR28" s="20"/>
      <c r="BS28" s="19"/>
      <c r="BT28" s="20"/>
      <c r="BU28" s="19"/>
      <c r="BV28" s="20"/>
      <c r="BW28" s="19"/>
      <c r="BX28" s="20"/>
      <c r="BY28" s="19"/>
      <c r="BZ28" s="20"/>
      <c r="CA28" s="19"/>
      <c r="CB28" s="20"/>
      <c r="CC28" s="19"/>
      <c r="CD28" s="20"/>
      <c r="CE28" s="19"/>
      <c r="CF28" s="20"/>
      <c r="CG28" s="19"/>
      <c r="CH28" s="20"/>
      <c r="CI28" s="19"/>
      <c r="CJ28" s="20"/>
      <c r="CK28" s="19"/>
      <c r="CL28" s="20"/>
      <c r="CM28" s="19"/>
      <c r="CN28" s="20"/>
      <c r="CO28" s="19"/>
      <c r="CP28" s="20"/>
      <c r="CQ28" s="19"/>
      <c r="CR28" s="20"/>
      <c r="CS28" s="19"/>
      <c r="CT28" s="20"/>
      <c r="CU28" s="19"/>
      <c r="CV28" s="20"/>
      <c r="CW28" s="19"/>
      <c r="CX28" s="20"/>
      <c r="CY28" s="19"/>
      <c r="CZ28" s="20"/>
      <c r="DA28" s="19"/>
      <c r="DB28" s="20"/>
      <c r="DC28" s="19"/>
      <c r="DD28" s="20"/>
      <c r="DE28" s="19"/>
      <c r="DF28" s="20"/>
      <c r="DG28" s="19"/>
      <c r="DH28" s="20"/>
      <c r="DI28" s="19"/>
      <c r="DJ28" s="20"/>
      <c r="DK28" s="19"/>
      <c r="DL28" s="20"/>
      <c r="DM28" s="192"/>
      <c r="DN28" s="193"/>
      <c r="DO28" s="19"/>
      <c r="DP28" s="20"/>
      <c r="DQ28" s="19"/>
      <c r="DR28" s="20"/>
      <c r="DS28" s="19"/>
      <c r="DT28" s="20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19"/>
      <c r="EO28" s="20"/>
      <c r="EP28" s="19"/>
      <c r="EQ28" s="20"/>
      <c r="ER28" s="19"/>
      <c r="ES28" s="20"/>
      <c r="ET28" s="19"/>
      <c r="EU28" s="20"/>
      <c r="EV28" s="19"/>
      <c r="EW28" s="20"/>
      <c r="EX28" s="19"/>
      <c r="EY28" s="20"/>
      <c r="EZ28" s="19"/>
      <c r="FA28" s="20"/>
      <c r="FB28" s="19"/>
      <c r="FC28" s="20"/>
      <c r="FD28" s="19"/>
      <c r="FE28" s="20"/>
      <c r="FF28" s="19"/>
      <c r="FG28" s="20"/>
      <c r="FH28" s="19"/>
      <c r="FI28" s="20"/>
      <c r="FJ28" s="19"/>
      <c r="FK28" s="20"/>
      <c r="FL28" s="19"/>
      <c r="FM28" s="20"/>
      <c r="FN28" s="19"/>
      <c r="FO28" s="20"/>
      <c r="FP28" s="19"/>
      <c r="FQ28" s="20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</row>
    <row r="29" spans="1:189" ht="8.25" customHeight="1" outlineLevel="1" x14ac:dyDescent="0.3">
      <c r="A29" s="24"/>
      <c r="B29" s="18"/>
      <c r="C29" s="18"/>
      <c r="D29" s="18"/>
      <c r="E29" s="18"/>
      <c r="F29" s="18"/>
      <c r="G29" s="3"/>
      <c r="H29" s="3"/>
      <c r="I29" s="19"/>
      <c r="J29" s="20"/>
      <c r="K29" s="19"/>
      <c r="L29" s="20"/>
      <c r="M29" s="19"/>
      <c r="N29" s="20"/>
      <c r="O29" s="19"/>
      <c r="P29" s="20"/>
      <c r="Q29" s="19"/>
      <c r="R29" s="20"/>
      <c r="S29" s="19"/>
      <c r="T29" s="20"/>
      <c r="U29" s="19"/>
      <c r="V29" s="20"/>
      <c r="W29" s="19"/>
      <c r="X29" s="20"/>
      <c r="Y29" s="19"/>
      <c r="Z29" s="20"/>
      <c r="AA29" s="19"/>
      <c r="AB29" s="20"/>
      <c r="AC29" s="19"/>
      <c r="AD29" s="20"/>
      <c r="AE29" s="19"/>
      <c r="AF29" s="20"/>
      <c r="AG29" s="19"/>
      <c r="AH29" s="20"/>
      <c r="AI29" s="19"/>
      <c r="AJ29" s="20"/>
      <c r="AK29" s="19"/>
      <c r="AL29" s="20"/>
      <c r="AM29" s="19"/>
      <c r="AN29" s="20"/>
      <c r="AO29" s="19"/>
      <c r="AP29" s="20"/>
      <c r="AQ29" s="19"/>
      <c r="AR29" s="20"/>
      <c r="AS29" s="19"/>
      <c r="AT29" s="20"/>
      <c r="AU29" s="19"/>
      <c r="AV29" s="20"/>
      <c r="AW29" s="19"/>
      <c r="AX29" s="20"/>
      <c r="AY29" s="19"/>
      <c r="AZ29" s="20"/>
      <c r="BA29" s="19"/>
      <c r="BB29" s="20"/>
      <c r="BC29" s="19"/>
      <c r="BD29" s="20"/>
      <c r="BE29" s="19"/>
      <c r="BF29" s="20"/>
      <c r="BG29" s="19"/>
      <c r="BH29" s="20"/>
      <c r="BI29" s="19"/>
      <c r="BJ29" s="20"/>
      <c r="BK29" s="19"/>
      <c r="BL29" s="20"/>
      <c r="BM29" s="19"/>
      <c r="BN29" s="20"/>
      <c r="BO29" s="19"/>
      <c r="BP29" s="20"/>
      <c r="BQ29" s="19"/>
      <c r="BR29" s="20"/>
      <c r="BS29" s="19"/>
      <c r="BT29" s="20"/>
      <c r="BU29" s="19"/>
      <c r="BV29" s="20"/>
      <c r="BW29" s="19"/>
      <c r="BX29" s="20"/>
      <c r="BY29" s="19"/>
      <c r="BZ29" s="20"/>
      <c r="CA29" s="19"/>
      <c r="CB29" s="20"/>
      <c r="CC29" s="19"/>
      <c r="CD29" s="20"/>
      <c r="CE29" s="19"/>
      <c r="CF29" s="20"/>
      <c r="CG29" s="19"/>
      <c r="CH29" s="20"/>
      <c r="CI29" s="19"/>
      <c r="CJ29" s="20"/>
      <c r="CK29" s="19"/>
      <c r="CL29" s="20"/>
      <c r="CM29" s="19"/>
      <c r="CN29" s="20"/>
      <c r="CO29" s="19"/>
      <c r="CP29" s="20"/>
      <c r="CQ29" s="19"/>
      <c r="CR29" s="20"/>
      <c r="CS29" s="19"/>
      <c r="CT29" s="20"/>
      <c r="CU29" s="19"/>
      <c r="CV29" s="20"/>
      <c r="CW29" s="19"/>
      <c r="CX29" s="20"/>
      <c r="CY29" s="19"/>
      <c r="CZ29" s="20"/>
      <c r="DA29" s="19"/>
      <c r="DB29" s="20"/>
      <c r="DC29" s="19"/>
      <c r="DD29" s="20"/>
      <c r="DE29" s="19"/>
      <c r="DF29" s="20"/>
      <c r="DG29" s="19"/>
      <c r="DH29" s="20"/>
      <c r="DI29" s="19"/>
      <c r="DJ29" s="20"/>
      <c r="DK29" s="19"/>
      <c r="DL29" s="20"/>
      <c r="DM29" s="192"/>
      <c r="DN29" s="193"/>
      <c r="DO29" s="19"/>
      <c r="DP29" s="20"/>
      <c r="DQ29" s="19"/>
      <c r="DR29" s="20"/>
      <c r="DS29" s="19"/>
      <c r="DT29" s="20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19"/>
      <c r="EO29" s="20"/>
      <c r="EP29" s="19"/>
      <c r="EQ29" s="20"/>
      <c r="ER29" s="19"/>
      <c r="ES29" s="20"/>
      <c r="ET29" s="19"/>
      <c r="EU29" s="20"/>
      <c r="EV29" s="19"/>
      <c r="EW29" s="20"/>
      <c r="EX29" s="19"/>
      <c r="EY29" s="20"/>
      <c r="EZ29" s="19"/>
      <c r="FA29" s="20"/>
      <c r="FB29" s="19"/>
      <c r="FC29" s="20"/>
      <c r="FD29" s="19"/>
      <c r="FE29" s="20"/>
      <c r="FF29" s="19"/>
      <c r="FG29" s="20"/>
      <c r="FH29" s="19"/>
      <c r="FI29" s="20"/>
      <c r="FJ29" s="19"/>
      <c r="FK29" s="20"/>
      <c r="FL29" s="19"/>
      <c r="FM29" s="20"/>
      <c r="FN29" s="19"/>
      <c r="FO29" s="20"/>
      <c r="FP29" s="19"/>
      <c r="FQ29" s="20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</row>
    <row r="30" spans="1:189" ht="14.4" outlineLevel="1" x14ac:dyDescent="0.3">
      <c r="A30" s="24"/>
      <c r="B30" s="413" t="s">
        <v>414</v>
      </c>
      <c r="C30" s="416" t="s">
        <v>24</v>
      </c>
      <c r="D30" s="313" t="s">
        <v>25</v>
      </c>
      <c r="E30" s="313" t="s">
        <v>42</v>
      </c>
      <c r="F30" s="313" t="s">
        <v>27</v>
      </c>
      <c r="G30" s="5" t="s">
        <v>30</v>
      </c>
      <c r="H30" s="5"/>
      <c r="I30" s="283" t="e">
        <f>I31/#REF!</f>
        <v>#REF!</v>
      </c>
      <c r="J30" s="281"/>
      <c r="K30" s="283" t="e">
        <f>K31/#REF!</f>
        <v>#REF!</v>
      </c>
      <c r="L30" s="281"/>
      <c r="M30" s="283" t="e">
        <f>M31/#REF!</f>
        <v>#REF!</v>
      </c>
      <c r="N30" s="281"/>
      <c r="O30" s="283" t="e">
        <f>O31/#REF!</f>
        <v>#REF!</v>
      </c>
      <c r="P30" s="281"/>
      <c r="Q30" s="283" t="e">
        <f>Q31/#REF!</f>
        <v>#REF!</v>
      </c>
      <c r="R30" s="281"/>
      <c r="S30" s="283" t="e">
        <f>S31/#REF!</f>
        <v>#REF!</v>
      </c>
      <c r="T30" s="281"/>
      <c r="U30" s="283" t="e">
        <f>U31/#REF!</f>
        <v>#REF!</v>
      </c>
      <c r="V30" s="281"/>
      <c r="W30" s="283" t="e">
        <f>W31/#REF!</f>
        <v>#REF!</v>
      </c>
      <c r="X30" s="281"/>
      <c r="Y30" s="283" t="e">
        <f>Y31/#REF!</f>
        <v>#REF!</v>
      </c>
      <c r="Z30" s="281"/>
      <c r="AA30" s="283" t="e">
        <f>AA31/#REF!</f>
        <v>#REF!</v>
      </c>
      <c r="AB30" s="281"/>
      <c r="AC30" s="283" t="e">
        <f>AC31/#REF!</f>
        <v>#REF!</v>
      </c>
      <c r="AD30" s="281"/>
      <c r="AE30" s="283" t="e">
        <f>AE31/#REF!</f>
        <v>#REF!</v>
      </c>
      <c r="AF30" s="281"/>
      <c r="AG30" s="283" t="e">
        <f>AG31/#REF!</f>
        <v>#REF!</v>
      </c>
      <c r="AH30" s="281"/>
      <c r="AI30" s="283" t="e">
        <f>AI31/#REF!</f>
        <v>#REF!</v>
      </c>
      <c r="AJ30" s="281"/>
      <c r="AK30" s="283" t="e">
        <f>AK31/#REF!</f>
        <v>#REF!</v>
      </c>
      <c r="AL30" s="281"/>
      <c r="AM30" s="283" t="e">
        <f>AM31/#REF!</f>
        <v>#REF!</v>
      </c>
      <c r="AN30" s="281"/>
      <c r="AO30" s="283" t="e">
        <f>AO31/#REF!</f>
        <v>#REF!</v>
      </c>
      <c r="AP30" s="281"/>
      <c r="AQ30" s="283" t="e">
        <f>AQ31/#REF!</f>
        <v>#REF!</v>
      </c>
      <c r="AR30" s="281"/>
      <c r="AS30" s="283" t="e">
        <f>AS31/#REF!</f>
        <v>#REF!</v>
      </c>
      <c r="AT30" s="281"/>
      <c r="AU30" s="283" t="e">
        <f>AU31/#REF!</f>
        <v>#REF!</v>
      </c>
      <c r="AV30" s="281"/>
      <c r="AW30" s="283" t="e">
        <f>AW31/#REF!</f>
        <v>#REF!</v>
      </c>
      <c r="AX30" s="281"/>
      <c r="AY30" s="283" t="e">
        <f>AY31/#REF!</f>
        <v>#REF!</v>
      </c>
      <c r="AZ30" s="281"/>
      <c r="BA30" s="283" t="e">
        <f>BA31/#REF!</f>
        <v>#REF!</v>
      </c>
      <c r="BB30" s="281"/>
      <c r="BC30" s="283" t="e">
        <f>BC31/#REF!</f>
        <v>#REF!</v>
      </c>
      <c r="BD30" s="281"/>
      <c r="BE30" s="283" t="e">
        <f>BE31/#REF!</f>
        <v>#REF!</v>
      </c>
      <c r="BF30" s="281"/>
      <c r="BG30" s="283" t="e">
        <f>BG31/#REF!</f>
        <v>#REF!</v>
      </c>
      <c r="BH30" s="281"/>
      <c r="BI30" s="283" t="e">
        <f>BI31/#REF!</f>
        <v>#REF!</v>
      </c>
      <c r="BJ30" s="281"/>
      <c r="BK30" s="283" t="e">
        <f>BK31/#REF!</f>
        <v>#REF!</v>
      </c>
      <c r="BL30" s="281"/>
      <c r="BM30" s="283" t="e">
        <f>BM31/#REF!</f>
        <v>#REF!</v>
      </c>
      <c r="BN30" s="281"/>
      <c r="BO30" s="283" t="e">
        <f>BO31/#REF!</f>
        <v>#REF!</v>
      </c>
      <c r="BP30" s="281"/>
      <c r="BQ30" s="283" t="e">
        <f>BQ31/#REF!</f>
        <v>#REF!</v>
      </c>
      <c r="BR30" s="281"/>
      <c r="BS30" s="283" t="e">
        <f>BS31/#REF!</f>
        <v>#REF!</v>
      </c>
      <c r="BT30" s="281"/>
      <c r="BU30" s="283" t="e">
        <f>BU31/#REF!</f>
        <v>#REF!</v>
      </c>
      <c r="BV30" s="281"/>
      <c r="BW30" s="283" t="e">
        <f>BW31/#REF!</f>
        <v>#REF!</v>
      </c>
      <c r="BX30" s="281"/>
      <c r="BY30" s="283" t="e">
        <f>BY31/#REF!</f>
        <v>#REF!</v>
      </c>
      <c r="BZ30" s="281"/>
      <c r="CA30" s="283" t="e">
        <f>CA31/#REF!</f>
        <v>#REF!</v>
      </c>
      <c r="CB30" s="281"/>
      <c r="CC30" s="283" t="e">
        <f>CC31/#REF!</f>
        <v>#REF!</v>
      </c>
      <c r="CD30" s="281"/>
      <c r="CE30" s="339" t="e">
        <f>CE31/#REF!</f>
        <v>#REF!</v>
      </c>
      <c r="CF30" s="281"/>
      <c r="CG30" s="339" t="e">
        <f>CG31/#REF!</f>
        <v>#REF!</v>
      </c>
      <c r="CH30" s="281"/>
      <c r="CI30" s="339" t="e">
        <f>CI31/#REF!</f>
        <v>#REF!</v>
      </c>
      <c r="CJ30" s="281"/>
      <c r="CK30" s="339" t="e">
        <f>CK31/#REF!</f>
        <v>#REF!</v>
      </c>
      <c r="CL30" s="281"/>
      <c r="CM30" s="339" t="e">
        <f>CM31/#REF!</f>
        <v>#REF!</v>
      </c>
      <c r="CN30" s="281"/>
      <c r="CO30" s="339" t="e">
        <f>CO31/#REF!</f>
        <v>#REF!</v>
      </c>
      <c r="CP30" s="281"/>
      <c r="CQ30" s="339" t="e">
        <f>CQ31/#REF!</f>
        <v>#REF!</v>
      </c>
      <c r="CR30" s="281"/>
      <c r="CS30" s="339" t="e">
        <f>CS31/#REF!</f>
        <v>#REF!</v>
      </c>
      <c r="CT30" s="281"/>
      <c r="CU30" s="419" t="e">
        <f>CU31/#REF!</f>
        <v>#REF!</v>
      </c>
      <c r="CV30" s="420"/>
      <c r="CW30" s="419" t="e">
        <f>CW31/#REF!</f>
        <v>#REF!</v>
      </c>
      <c r="CX30" s="420"/>
      <c r="CY30" s="339" t="e">
        <f>CY31/#REF!</f>
        <v>#REF!</v>
      </c>
      <c r="CZ30" s="281"/>
      <c r="DA30" s="339" t="e">
        <f>DA31/#REF!</f>
        <v>#REF!</v>
      </c>
      <c r="DB30" s="281"/>
      <c r="DC30" s="205">
        <f>DC31/DC2</f>
        <v>0</v>
      </c>
      <c r="DD30" s="197"/>
      <c r="DE30" s="205">
        <f>DE31/DE2</f>
        <v>0</v>
      </c>
      <c r="DF30" s="197"/>
      <c r="DG30" s="205">
        <f t="shared" ref="DG30" si="88">DG31/DG2</f>
        <v>0</v>
      </c>
      <c r="DH30" s="197"/>
      <c r="DI30" s="205">
        <f t="shared" ref="DI30" si="89">DI31/DI2</f>
        <v>0</v>
      </c>
      <c r="DJ30" s="197"/>
      <c r="DK30" s="205">
        <f t="shared" ref="DK30" si="90">DK31/DK2</f>
        <v>0</v>
      </c>
      <c r="DL30" s="197"/>
      <c r="DM30" s="205">
        <f t="shared" ref="DM30" si="91">DM31/DM2</f>
        <v>0</v>
      </c>
      <c r="DN30" s="197"/>
      <c r="DO30" s="205">
        <f t="shared" ref="DO30" si="92">DO31/DO2</f>
        <v>0</v>
      </c>
      <c r="DP30" s="197"/>
      <c r="DQ30" s="205">
        <f t="shared" ref="DQ30" si="93">DQ31/DQ2</f>
        <v>0</v>
      </c>
      <c r="DR30" s="197"/>
      <c r="DS30" s="205">
        <f>DS31/DS2</f>
        <v>4.1592698709079348E-5</v>
      </c>
      <c r="DT30" s="197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205">
        <f t="shared" ref="EN30:EP30" si="94">EN31/EN2</f>
        <v>1.7380160534622652E-3</v>
      </c>
      <c r="EO30" s="197"/>
      <c r="EP30" s="205">
        <f t="shared" si="94"/>
        <v>1.1407908357246299E-3</v>
      </c>
      <c r="EQ30" s="197"/>
      <c r="ER30" s="205">
        <f t="shared" ref="ER30:ET30" si="95">ER31/ER2</f>
        <v>2.0691376864062049E-3</v>
      </c>
      <c r="ES30" s="197"/>
      <c r="ET30" s="205">
        <f t="shared" si="95"/>
        <v>4.778526923076923E-3</v>
      </c>
      <c r="EU30" s="197"/>
      <c r="EV30" s="205">
        <f t="shared" ref="EV30:EX30" si="96">EV31/EV2</f>
        <v>2.0915490706319706E-3</v>
      </c>
      <c r="EW30" s="197"/>
      <c r="EX30" s="205">
        <f t="shared" si="96"/>
        <v>1.0274300995024874E-3</v>
      </c>
      <c r="EY30" s="197"/>
      <c r="EZ30" s="205">
        <f t="shared" ref="EZ30:FB30" si="97">EZ31/EZ2</f>
        <v>1.6406436875097566E-3</v>
      </c>
      <c r="FA30" s="197"/>
      <c r="FB30" s="205">
        <f t="shared" si="97"/>
        <v>3.7941594102230566E-3</v>
      </c>
      <c r="FC30" s="197"/>
      <c r="FD30" s="205">
        <f t="shared" ref="FD30:FF30" si="98">FD31/FD2</f>
        <v>2.9308565818139515E-3</v>
      </c>
      <c r="FE30" s="197"/>
      <c r="FF30" s="205">
        <f t="shared" si="98"/>
        <v>4.2872439310779826E-3</v>
      </c>
      <c r="FG30" s="197"/>
      <c r="FH30" s="205">
        <f t="shared" ref="FH30:FL30" si="99">FH31/FH2</f>
        <v>4.6785823919647243E-3</v>
      </c>
      <c r="FI30" s="197"/>
      <c r="FJ30" s="205">
        <f t="shared" ref="FJ30" si="100">FJ31/FJ2</f>
        <v>3.0180939925016585E-3</v>
      </c>
      <c r="FK30" s="197"/>
      <c r="FL30" s="205">
        <f t="shared" si="99"/>
        <v>4.7269254166666663E-3</v>
      </c>
      <c r="FM30" s="197"/>
      <c r="FN30" s="257">
        <f>FN31/FN2</f>
        <v>4.5083271890092932E-4</v>
      </c>
      <c r="FO30" s="255"/>
      <c r="FP30" s="257">
        <f>FP31/FP2</f>
        <v>1.1212609068134672E-2</v>
      </c>
      <c r="FQ30" s="255"/>
      <c r="FR30" s="207"/>
      <c r="FS30" s="207"/>
      <c r="FT30" s="207"/>
      <c r="FU30" s="207"/>
      <c r="FV30" s="388" t="s">
        <v>29</v>
      </c>
      <c r="FW30" s="388" t="s">
        <v>29</v>
      </c>
      <c r="FX30" s="388" t="s">
        <v>29</v>
      </c>
      <c r="FY30" s="388" t="s">
        <v>29</v>
      </c>
      <c r="FZ30" s="388"/>
      <c r="GA30" s="388"/>
      <c r="GB30" s="388"/>
      <c r="GC30" s="388"/>
      <c r="GD30" s="388"/>
      <c r="GE30" s="388"/>
      <c r="GF30" s="291" t="s">
        <v>443</v>
      </c>
      <c r="GG30" s="291" t="s">
        <v>443</v>
      </c>
    </row>
    <row r="31" spans="1:189" ht="14.4" outlineLevel="1" x14ac:dyDescent="0.3">
      <c r="A31" s="24"/>
      <c r="B31" s="414"/>
      <c r="C31" s="417"/>
      <c r="D31" s="301"/>
      <c r="E31" s="301"/>
      <c r="F31" s="301"/>
      <c r="G31" s="5" t="s">
        <v>445</v>
      </c>
      <c r="H31" s="5"/>
      <c r="I31" s="22">
        <f t="shared" ref="I31:AN31" si="101">I32-I33</f>
        <v>0</v>
      </c>
      <c r="J31" s="23">
        <f t="shared" si="101"/>
        <v>0</v>
      </c>
      <c r="K31" s="22">
        <f t="shared" si="101"/>
        <v>0</v>
      </c>
      <c r="L31" s="23">
        <f t="shared" si="101"/>
        <v>0</v>
      </c>
      <c r="M31" s="22">
        <f t="shared" si="101"/>
        <v>0</v>
      </c>
      <c r="N31" s="23">
        <f t="shared" si="101"/>
        <v>0</v>
      </c>
      <c r="O31" s="22">
        <f t="shared" si="101"/>
        <v>0</v>
      </c>
      <c r="P31" s="23">
        <f t="shared" si="101"/>
        <v>0</v>
      </c>
      <c r="Q31" s="22">
        <f t="shared" si="101"/>
        <v>0</v>
      </c>
      <c r="R31" s="23">
        <f t="shared" si="101"/>
        <v>0</v>
      </c>
      <c r="S31" s="22">
        <f t="shared" si="101"/>
        <v>0</v>
      </c>
      <c r="T31" s="23">
        <f t="shared" si="101"/>
        <v>0</v>
      </c>
      <c r="U31" s="22">
        <f t="shared" si="101"/>
        <v>0</v>
      </c>
      <c r="V31" s="23">
        <f t="shared" si="101"/>
        <v>0</v>
      </c>
      <c r="W31" s="22">
        <f t="shared" si="101"/>
        <v>0</v>
      </c>
      <c r="X31" s="23">
        <f t="shared" si="101"/>
        <v>0</v>
      </c>
      <c r="Y31" s="22">
        <f t="shared" si="101"/>
        <v>0</v>
      </c>
      <c r="Z31" s="23">
        <f t="shared" si="101"/>
        <v>0</v>
      </c>
      <c r="AA31" s="22">
        <f t="shared" si="101"/>
        <v>0</v>
      </c>
      <c r="AB31" s="23">
        <f t="shared" si="101"/>
        <v>0</v>
      </c>
      <c r="AC31" s="22">
        <f t="shared" si="101"/>
        <v>0</v>
      </c>
      <c r="AD31" s="23">
        <f t="shared" si="101"/>
        <v>0</v>
      </c>
      <c r="AE31" s="22">
        <f t="shared" si="101"/>
        <v>0</v>
      </c>
      <c r="AF31" s="23">
        <f t="shared" si="101"/>
        <v>0</v>
      </c>
      <c r="AG31" s="22">
        <f t="shared" si="101"/>
        <v>0</v>
      </c>
      <c r="AH31" s="23">
        <f t="shared" si="101"/>
        <v>0</v>
      </c>
      <c r="AI31" s="22">
        <f t="shared" si="101"/>
        <v>0</v>
      </c>
      <c r="AJ31" s="23">
        <f t="shared" si="101"/>
        <v>0</v>
      </c>
      <c r="AK31" s="22">
        <f t="shared" si="101"/>
        <v>0</v>
      </c>
      <c r="AL31" s="23">
        <f t="shared" si="101"/>
        <v>0</v>
      </c>
      <c r="AM31" s="22">
        <f t="shared" si="101"/>
        <v>0</v>
      </c>
      <c r="AN31" s="23">
        <f t="shared" si="101"/>
        <v>0</v>
      </c>
      <c r="AO31" s="22">
        <f t="shared" ref="AO31:BT31" si="102">AO32-AO33</f>
        <v>0</v>
      </c>
      <c r="AP31" s="23">
        <f t="shared" si="102"/>
        <v>0</v>
      </c>
      <c r="AQ31" s="22">
        <f t="shared" si="102"/>
        <v>0</v>
      </c>
      <c r="AR31" s="23">
        <f t="shared" si="102"/>
        <v>0</v>
      </c>
      <c r="AS31" s="22">
        <f t="shared" si="102"/>
        <v>0</v>
      </c>
      <c r="AT31" s="23">
        <f t="shared" si="102"/>
        <v>0</v>
      </c>
      <c r="AU31" s="22">
        <f t="shared" si="102"/>
        <v>0</v>
      </c>
      <c r="AV31" s="23">
        <f t="shared" si="102"/>
        <v>0</v>
      </c>
      <c r="AW31" s="22">
        <f t="shared" si="102"/>
        <v>0</v>
      </c>
      <c r="AX31" s="23">
        <f t="shared" si="102"/>
        <v>0</v>
      </c>
      <c r="AY31" s="22">
        <f t="shared" si="102"/>
        <v>0</v>
      </c>
      <c r="AZ31" s="23">
        <f t="shared" si="102"/>
        <v>0</v>
      </c>
      <c r="BA31" s="22">
        <f t="shared" si="102"/>
        <v>0</v>
      </c>
      <c r="BB31" s="23">
        <f t="shared" si="102"/>
        <v>0</v>
      </c>
      <c r="BC31" s="22">
        <f t="shared" si="102"/>
        <v>0</v>
      </c>
      <c r="BD31" s="23">
        <f t="shared" si="102"/>
        <v>0</v>
      </c>
      <c r="BE31" s="22">
        <f t="shared" si="102"/>
        <v>0</v>
      </c>
      <c r="BF31" s="23">
        <f t="shared" si="102"/>
        <v>0</v>
      </c>
      <c r="BG31" s="22">
        <f t="shared" si="102"/>
        <v>0</v>
      </c>
      <c r="BH31" s="23">
        <f t="shared" si="102"/>
        <v>0</v>
      </c>
      <c r="BI31" s="22">
        <f t="shared" si="102"/>
        <v>0</v>
      </c>
      <c r="BJ31" s="23">
        <f t="shared" si="102"/>
        <v>0</v>
      </c>
      <c r="BK31" s="22">
        <f t="shared" si="102"/>
        <v>0</v>
      </c>
      <c r="BL31" s="23">
        <f t="shared" si="102"/>
        <v>0</v>
      </c>
      <c r="BM31" s="22">
        <f t="shared" si="102"/>
        <v>0</v>
      </c>
      <c r="BN31" s="23">
        <f t="shared" si="102"/>
        <v>0</v>
      </c>
      <c r="BO31" s="22">
        <f t="shared" si="102"/>
        <v>0</v>
      </c>
      <c r="BP31" s="23">
        <f t="shared" si="102"/>
        <v>0</v>
      </c>
      <c r="BQ31" s="22">
        <f t="shared" si="102"/>
        <v>0</v>
      </c>
      <c r="BR31" s="23">
        <f t="shared" si="102"/>
        <v>0</v>
      </c>
      <c r="BS31" s="22">
        <f t="shared" si="102"/>
        <v>0</v>
      </c>
      <c r="BT31" s="23">
        <f t="shared" si="102"/>
        <v>0</v>
      </c>
      <c r="BU31" s="22">
        <f t="shared" ref="BU31:CZ31" si="103">BU32-BU33</f>
        <v>0</v>
      </c>
      <c r="BV31" s="23">
        <f t="shared" si="103"/>
        <v>0</v>
      </c>
      <c r="BW31" s="22">
        <f t="shared" si="103"/>
        <v>0</v>
      </c>
      <c r="BX31" s="23">
        <f t="shared" si="103"/>
        <v>0</v>
      </c>
      <c r="BY31" s="22">
        <f t="shared" si="103"/>
        <v>0</v>
      </c>
      <c r="BZ31" s="23">
        <f t="shared" si="103"/>
        <v>0</v>
      </c>
      <c r="CA31" s="22">
        <f t="shared" si="103"/>
        <v>0</v>
      </c>
      <c r="CB31" s="23">
        <f t="shared" si="103"/>
        <v>0</v>
      </c>
      <c r="CC31" s="22">
        <f t="shared" si="103"/>
        <v>0</v>
      </c>
      <c r="CD31" s="23">
        <f t="shared" si="103"/>
        <v>0</v>
      </c>
      <c r="CE31" s="22">
        <f t="shared" si="103"/>
        <v>0</v>
      </c>
      <c r="CF31" s="23">
        <f t="shared" si="103"/>
        <v>0</v>
      </c>
      <c r="CG31" s="22">
        <f t="shared" si="103"/>
        <v>0</v>
      </c>
      <c r="CH31" s="23">
        <f t="shared" si="103"/>
        <v>0</v>
      </c>
      <c r="CI31" s="22">
        <f t="shared" si="103"/>
        <v>0</v>
      </c>
      <c r="CJ31" s="23">
        <f t="shared" si="103"/>
        <v>0</v>
      </c>
      <c r="CK31" s="22">
        <f t="shared" si="103"/>
        <v>0</v>
      </c>
      <c r="CL31" s="23">
        <f t="shared" si="103"/>
        <v>0</v>
      </c>
      <c r="CM31" s="22">
        <f t="shared" si="103"/>
        <v>0</v>
      </c>
      <c r="CN31" s="23">
        <f t="shared" si="103"/>
        <v>0</v>
      </c>
      <c r="CO31" s="22">
        <f t="shared" si="103"/>
        <v>0</v>
      </c>
      <c r="CP31" s="23">
        <f t="shared" si="103"/>
        <v>0</v>
      </c>
      <c r="CQ31" s="22">
        <f t="shared" si="103"/>
        <v>0</v>
      </c>
      <c r="CR31" s="23">
        <f t="shared" si="103"/>
        <v>0</v>
      </c>
      <c r="CS31" s="22">
        <f t="shared" si="103"/>
        <v>0</v>
      </c>
      <c r="CT31" s="23">
        <f t="shared" si="103"/>
        <v>0</v>
      </c>
      <c r="CU31" s="22">
        <f t="shared" si="103"/>
        <v>0</v>
      </c>
      <c r="CV31" s="23">
        <f t="shared" si="103"/>
        <v>0</v>
      </c>
      <c r="CW31" s="22">
        <f t="shared" si="103"/>
        <v>0</v>
      </c>
      <c r="CX31" s="23">
        <f t="shared" si="103"/>
        <v>0</v>
      </c>
      <c r="CY31" s="22">
        <f t="shared" si="103"/>
        <v>0</v>
      </c>
      <c r="CZ31" s="23">
        <f t="shared" si="103"/>
        <v>0</v>
      </c>
      <c r="DA31" s="22">
        <f t="shared" ref="DA31:DT31" si="104">DA32-DA33</f>
        <v>0</v>
      </c>
      <c r="DB31" s="23">
        <f t="shared" si="104"/>
        <v>0</v>
      </c>
      <c r="DC31" s="22">
        <f t="shared" si="104"/>
        <v>0</v>
      </c>
      <c r="DD31" s="23">
        <f t="shared" si="104"/>
        <v>0</v>
      </c>
      <c r="DE31" s="22">
        <f t="shared" si="104"/>
        <v>0</v>
      </c>
      <c r="DF31" s="23">
        <f t="shared" si="104"/>
        <v>0</v>
      </c>
      <c r="DG31" s="22">
        <f t="shared" si="104"/>
        <v>0</v>
      </c>
      <c r="DH31" s="23">
        <f t="shared" si="104"/>
        <v>0</v>
      </c>
      <c r="DI31" s="22">
        <f t="shared" si="104"/>
        <v>0</v>
      </c>
      <c r="DJ31" s="23">
        <f t="shared" si="104"/>
        <v>0</v>
      </c>
      <c r="DK31" s="22">
        <f t="shared" si="104"/>
        <v>0</v>
      </c>
      <c r="DL31" s="23">
        <f t="shared" si="104"/>
        <v>0</v>
      </c>
      <c r="DM31" s="22">
        <f t="shared" si="104"/>
        <v>0</v>
      </c>
      <c r="DN31" s="23">
        <f t="shared" si="104"/>
        <v>0</v>
      </c>
      <c r="DO31" s="22">
        <f t="shared" si="104"/>
        <v>0</v>
      </c>
      <c r="DP31" s="23">
        <f t="shared" si="104"/>
        <v>0</v>
      </c>
      <c r="DQ31" s="22">
        <f t="shared" si="104"/>
        <v>0</v>
      </c>
      <c r="DR31" s="23">
        <f t="shared" si="104"/>
        <v>0</v>
      </c>
      <c r="DS31" s="22">
        <f t="shared" si="104"/>
        <v>1261.77</v>
      </c>
      <c r="DT31" s="23">
        <f t="shared" si="104"/>
        <v>1</v>
      </c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22">
        <f t="shared" ref="EN31:FO31" si="105">EN32-EN33</f>
        <v>56574.35000000002</v>
      </c>
      <c r="EO31" s="23">
        <f t="shared" si="105"/>
        <v>42</v>
      </c>
      <c r="EP31" s="22">
        <f t="shared" si="105"/>
        <v>44577.94</v>
      </c>
      <c r="EQ31" s="23">
        <f t="shared" si="105"/>
        <v>32</v>
      </c>
      <c r="ER31" s="22">
        <f t="shared" si="105"/>
        <v>71896.950000000012</v>
      </c>
      <c r="ES31" s="23">
        <f t="shared" si="105"/>
        <v>40</v>
      </c>
      <c r="ET31" s="22">
        <f t="shared" si="105"/>
        <v>99393.36</v>
      </c>
      <c r="EU31" s="23">
        <f t="shared" si="105"/>
        <v>34</v>
      </c>
      <c r="EV31" s="22">
        <f t="shared" si="105"/>
        <v>56262.670000000006</v>
      </c>
      <c r="EW31" s="23">
        <f t="shared" si="105"/>
        <v>35</v>
      </c>
      <c r="EX31" s="22">
        <f t="shared" si="105"/>
        <v>41302.689999999995</v>
      </c>
      <c r="EY31" s="23">
        <f t="shared" si="105"/>
        <v>24</v>
      </c>
      <c r="EZ31" s="22">
        <f t="shared" si="105"/>
        <v>62354.03</v>
      </c>
      <c r="FA31" s="23">
        <f t="shared" si="105"/>
        <v>32</v>
      </c>
      <c r="FB31" s="22">
        <f t="shared" si="105"/>
        <v>144707.1</v>
      </c>
      <c r="FC31" s="23">
        <f t="shared" si="105"/>
        <v>82</v>
      </c>
      <c r="FD31" s="22">
        <f t="shared" si="105"/>
        <v>112896.82999999996</v>
      </c>
      <c r="FE31" s="23">
        <f t="shared" si="105"/>
        <v>76</v>
      </c>
      <c r="FF31" s="22">
        <f t="shared" si="105"/>
        <v>152722.93000000005</v>
      </c>
      <c r="FG31" s="23">
        <f t="shared" si="105"/>
        <v>96</v>
      </c>
      <c r="FH31" s="22">
        <f t="shared" si="105"/>
        <v>141908.22999999995</v>
      </c>
      <c r="FI31" s="23">
        <f t="shared" si="105"/>
        <v>93</v>
      </c>
      <c r="FJ31" s="22">
        <f t="shared" si="105"/>
        <v>79237.259999999995</v>
      </c>
      <c r="FK31" s="23">
        <f t="shared" si="105"/>
        <v>48</v>
      </c>
      <c r="FL31" s="22">
        <f t="shared" si="105"/>
        <v>113446.20999999999</v>
      </c>
      <c r="FM31" s="23">
        <f t="shared" si="105"/>
        <v>75</v>
      </c>
      <c r="FN31" s="22">
        <f t="shared" si="105"/>
        <v>8478</v>
      </c>
      <c r="FO31" s="23">
        <f t="shared" si="105"/>
        <v>6</v>
      </c>
      <c r="FP31" s="22">
        <f t="shared" ref="FP31" si="106">FP32-FP33</f>
        <v>192502.87999999995</v>
      </c>
      <c r="FQ31" s="23">
        <f t="shared" ref="FQ31" si="107">FQ32-FQ33</f>
        <v>123</v>
      </c>
      <c r="FR31" s="208" t="s">
        <v>29</v>
      </c>
      <c r="FS31" s="208" t="s">
        <v>29</v>
      </c>
      <c r="FT31" s="208" t="s">
        <v>29</v>
      </c>
      <c r="FU31" s="208" t="s">
        <v>29</v>
      </c>
      <c r="FV31" s="301"/>
      <c r="FW31" s="301"/>
      <c r="FX31" s="301"/>
      <c r="FY31" s="301"/>
      <c r="FZ31" s="301"/>
      <c r="GA31" s="301"/>
      <c r="GB31" s="301"/>
      <c r="GC31" s="301"/>
      <c r="GD31" s="301"/>
      <c r="GE31" s="301"/>
      <c r="GF31" s="289"/>
      <c r="GG31" s="289"/>
    </row>
    <row r="32" spans="1:189" ht="14.4" outlineLevel="1" x14ac:dyDescent="0.3">
      <c r="A32" s="24"/>
      <c r="B32" s="414"/>
      <c r="C32" s="417"/>
      <c r="D32" s="301"/>
      <c r="E32" s="301"/>
      <c r="F32" s="301"/>
      <c r="G32" s="5" t="s">
        <v>444</v>
      </c>
      <c r="H32" s="5"/>
      <c r="I32" s="22">
        <f t="shared" ref="I32" si="108">AG32+AE32+AC32+AA32+Y32+W32+U32+S32+O32+M32+K32</f>
        <v>0</v>
      </c>
      <c r="J32" s="23"/>
      <c r="K32" s="22"/>
      <c r="L32" s="23"/>
      <c r="M32" s="22"/>
      <c r="N32" s="23"/>
      <c r="O32" s="22"/>
      <c r="P32" s="23"/>
      <c r="Q32" s="22"/>
      <c r="R32" s="23"/>
      <c r="S32" s="22"/>
      <c r="T32" s="23"/>
      <c r="U32" s="22"/>
      <c r="V32" s="23"/>
      <c r="W32" s="22"/>
      <c r="X32" s="23"/>
      <c r="Y32" s="22"/>
      <c r="Z32" s="23"/>
      <c r="AA32" s="22"/>
      <c r="AB32" s="23"/>
      <c r="AC32" s="22"/>
      <c r="AD32" s="23"/>
      <c r="AE32" s="22"/>
      <c r="AF32" s="23"/>
      <c r="AG32" s="22"/>
      <c r="AH32" s="23"/>
      <c r="AI32" s="22"/>
      <c r="AJ32" s="23"/>
      <c r="AK32" s="22"/>
      <c r="AL32" s="23"/>
      <c r="AM32" s="22"/>
      <c r="AN32" s="23"/>
      <c r="AO32" s="22"/>
      <c r="AP32" s="23"/>
      <c r="AQ32" s="22"/>
      <c r="AR32" s="23"/>
      <c r="AS32" s="22"/>
      <c r="AT32" s="23"/>
      <c r="AU32" s="22"/>
      <c r="AV32" s="23"/>
      <c r="AW32" s="22"/>
      <c r="AX32" s="23"/>
      <c r="AY32" s="22"/>
      <c r="AZ32" s="23"/>
      <c r="BA32" s="22"/>
      <c r="BB32" s="23"/>
      <c r="BC32" s="22"/>
      <c r="BD32" s="23"/>
      <c r="BE32" s="22"/>
      <c r="BF32" s="23"/>
      <c r="BG32" s="22"/>
      <c r="BH32" s="23"/>
      <c r="BI32" s="22"/>
      <c r="BJ32" s="23"/>
      <c r="BK32" s="22"/>
      <c r="BL32" s="23"/>
      <c r="BM32" s="22"/>
      <c r="BN32" s="23"/>
      <c r="BO32" s="22"/>
      <c r="BP32" s="23"/>
      <c r="BQ32" s="22"/>
      <c r="BR32" s="23"/>
      <c r="BS32" s="22"/>
      <c r="BT32" s="23"/>
      <c r="BU32" s="22"/>
      <c r="BV32" s="23"/>
      <c r="BW32" s="22"/>
      <c r="BX32" s="23"/>
      <c r="BY32" s="22"/>
      <c r="BZ32" s="23"/>
      <c r="CA32" s="22"/>
      <c r="CB32" s="23"/>
      <c r="CC32" s="22"/>
      <c r="CD32" s="23"/>
      <c r="CE32" s="22"/>
      <c r="CF32" s="23"/>
      <c r="CG32" s="22"/>
      <c r="CH32" s="23"/>
      <c r="CI32" s="22"/>
      <c r="CJ32" s="23"/>
      <c r="CK32" s="22"/>
      <c r="CL32" s="23"/>
      <c r="CM32" s="22"/>
      <c r="CN32" s="23"/>
      <c r="CO32" s="22"/>
      <c r="CP32" s="23"/>
      <c r="CQ32" s="22"/>
      <c r="CR32" s="23"/>
      <c r="CS32" s="22"/>
      <c r="CT32" s="23"/>
      <c r="CU32" s="22"/>
      <c r="CV32" s="23"/>
      <c r="CW32" s="22"/>
      <c r="CX32" s="23"/>
      <c r="CY32" s="22"/>
      <c r="CZ32" s="23"/>
      <c r="DA32" s="22"/>
      <c r="DB32" s="23"/>
      <c r="DC32" s="22"/>
      <c r="DD32" s="23"/>
      <c r="DE32" s="22"/>
      <c r="DF32" s="23"/>
      <c r="DG32" s="22"/>
      <c r="DH32" s="23"/>
      <c r="DI32" s="22"/>
      <c r="DJ32" s="23"/>
      <c r="DK32" s="22"/>
      <c r="DL32" s="23"/>
      <c r="DM32" s="22"/>
      <c r="DN32" s="23"/>
      <c r="DO32" s="22"/>
      <c r="DP32" s="23"/>
      <c r="DQ32" s="22"/>
      <c r="DR32" s="23"/>
      <c r="DS32" s="22">
        <v>1718.77</v>
      </c>
      <c r="DT32" s="23">
        <v>2</v>
      </c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22">
        <v>64975.450000000019</v>
      </c>
      <c r="EO32" s="23">
        <v>48</v>
      </c>
      <c r="EP32" s="22">
        <v>46696.4</v>
      </c>
      <c r="EQ32" s="23">
        <v>34</v>
      </c>
      <c r="ER32" s="22">
        <v>72620.460000000006</v>
      </c>
      <c r="ES32" s="23">
        <v>42</v>
      </c>
      <c r="ET32" s="22">
        <v>103592.36</v>
      </c>
      <c r="EU32" s="23">
        <v>35</v>
      </c>
      <c r="EV32" s="22">
        <v>56262.670000000006</v>
      </c>
      <c r="EW32" s="23">
        <v>35</v>
      </c>
      <c r="EX32" s="22">
        <v>41302.689999999995</v>
      </c>
      <c r="EY32" s="23">
        <v>24</v>
      </c>
      <c r="EZ32" s="22">
        <v>62354.03</v>
      </c>
      <c r="FA32" s="23">
        <v>32</v>
      </c>
      <c r="FB32" s="22">
        <v>144707.1</v>
      </c>
      <c r="FC32" s="23">
        <v>82</v>
      </c>
      <c r="FD32" s="22">
        <v>112896.82999999996</v>
      </c>
      <c r="FE32" s="23">
        <v>76</v>
      </c>
      <c r="FF32" s="22">
        <v>152722.93000000005</v>
      </c>
      <c r="FG32" s="23">
        <v>96</v>
      </c>
      <c r="FH32" s="22">
        <v>141908.22999999995</v>
      </c>
      <c r="FI32" s="23">
        <v>93</v>
      </c>
      <c r="FJ32" s="22">
        <v>79237.259999999995</v>
      </c>
      <c r="FK32" s="23">
        <v>48</v>
      </c>
      <c r="FL32" s="22">
        <v>113446.20999999999</v>
      </c>
      <c r="FM32" s="23">
        <v>75</v>
      </c>
      <c r="FN32" s="22">
        <v>8478</v>
      </c>
      <c r="FO32" s="23">
        <v>6</v>
      </c>
      <c r="FP32" s="22">
        <v>192502.87999999995</v>
      </c>
      <c r="FQ32" s="23">
        <v>123</v>
      </c>
      <c r="FR32" s="207"/>
      <c r="FS32" s="207"/>
      <c r="FT32" s="207"/>
      <c r="FU32" s="207"/>
      <c r="FV32" s="301"/>
      <c r="FW32" s="301"/>
      <c r="FX32" s="301"/>
      <c r="FY32" s="301"/>
      <c r="FZ32" s="301"/>
      <c r="GA32" s="301"/>
      <c r="GB32" s="301"/>
      <c r="GC32" s="301"/>
      <c r="GD32" s="301"/>
      <c r="GE32" s="301"/>
      <c r="GF32" s="289"/>
      <c r="GG32" s="289"/>
    </row>
    <row r="33" spans="1:189" ht="14.4" hidden="1" customHeight="1" outlineLevel="1" x14ac:dyDescent="0.3">
      <c r="A33" s="24"/>
      <c r="B33" s="415"/>
      <c r="C33" s="418"/>
      <c r="D33" s="302"/>
      <c r="E33" s="302"/>
      <c r="F33" s="302"/>
      <c r="G33" s="5" t="s">
        <v>45</v>
      </c>
      <c r="H33" s="5"/>
      <c r="I33" s="22">
        <f t="shared" ref="I33" si="109">AG33+AE33+AC33+AA33+Y33+W33+U33+S33+O33+M33+K33</f>
        <v>0</v>
      </c>
      <c r="J33" s="23"/>
      <c r="K33" s="22"/>
      <c r="L33" s="23"/>
      <c r="M33" s="22"/>
      <c r="N33" s="23"/>
      <c r="O33" s="22"/>
      <c r="P33" s="23"/>
      <c r="Q33" s="22"/>
      <c r="R33" s="23"/>
      <c r="S33" s="22"/>
      <c r="T33" s="23"/>
      <c r="U33" s="22"/>
      <c r="V33" s="23"/>
      <c r="W33" s="22"/>
      <c r="X33" s="23"/>
      <c r="Y33" s="22"/>
      <c r="Z33" s="23"/>
      <c r="AA33" s="22"/>
      <c r="AB33" s="23"/>
      <c r="AC33" s="22"/>
      <c r="AD33" s="23"/>
      <c r="AE33" s="22"/>
      <c r="AF33" s="23"/>
      <c r="AG33" s="22"/>
      <c r="AH33" s="23"/>
      <c r="AI33" s="22"/>
      <c r="AJ33" s="23"/>
      <c r="AK33" s="22"/>
      <c r="AL33" s="23"/>
      <c r="AM33" s="22"/>
      <c r="AN33" s="23"/>
      <c r="AO33" s="22"/>
      <c r="AP33" s="23"/>
      <c r="AQ33" s="22"/>
      <c r="AR33" s="23"/>
      <c r="AS33" s="22"/>
      <c r="AT33" s="23"/>
      <c r="AU33" s="22"/>
      <c r="AV33" s="23"/>
      <c r="AW33" s="22"/>
      <c r="AX33" s="23"/>
      <c r="AY33" s="22"/>
      <c r="AZ33" s="23"/>
      <c r="BA33" s="22"/>
      <c r="BB33" s="23"/>
      <c r="BC33" s="22"/>
      <c r="BD33" s="23"/>
      <c r="BE33" s="22"/>
      <c r="BF33" s="23"/>
      <c r="BG33" s="22"/>
      <c r="BH33" s="23"/>
      <c r="BI33" s="22"/>
      <c r="BJ33" s="23"/>
      <c r="BK33" s="22"/>
      <c r="BL33" s="23"/>
      <c r="BM33" s="22"/>
      <c r="BN33" s="23"/>
      <c r="BO33" s="22"/>
      <c r="BP33" s="23"/>
      <c r="BQ33" s="22"/>
      <c r="BR33" s="23"/>
      <c r="BS33" s="22"/>
      <c r="BT33" s="23"/>
      <c r="BU33" s="22"/>
      <c r="BV33" s="23"/>
      <c r="BW33" s="22"/>
      <c r="BX33" s="23"/>
      <c r="BY33" s="22"/>
      <c r="BZ33" s="23"/>
      <c r="CA33" s="22"/>
      <c r="CB33" s="23"/>
      <c r="CC33" s="22"/>
      <c r="CD33" s="23"/>
      <c r="CE33" s="22"/>
      <c r="CF33" s="23"/>
      <c r="CG33" s="22"/>
      <c r="CH33" s="23"/>
      <c r="CI33" s="22"/>
      <c r="CJ33" s="23"/>
      <c r="CK33" s="22"/>
      <c r="CL33" s="23"/>
      <c r="CM33" s="22"/>
      <c r="CN33" s="23"/>
      <c r="CO33" s="22"/>
      <c r="CP33" s="23"/>
      <c r="CQ33" s="22"/>
      <c r="CR33" s="23"/>
      <c r="CS33" s="22"/>
      <c r="CT33" s="23"/>
      <c r="CU33" s="22"/>
      <c r="CV33" s="23"/>
      <c r="CW33" s="22"/>
      <c r="CX33" s="23"/>
      <c r="CY33" s="22"/>
      <c r="CZ33" s="23"/>
      <c r="DA33" s="22"/>
      <c r="DB33" s="23"/>
      <c r="DC33" s="22"/>
      <c r="DD33" s="23"/>
      <c r="DE33" s="22"/>
      <c r="DF33" s="23"/>
      <c r="DG33" s="22"/>
      <c r="DH33" s="23"/>
      <c r="DI33" s="22"/>
      <c r="DJ33" s="23"/>
      <c r="DK33" s="22"/>
      <c r="DL33" s="23"/>
      <c r="DM33" s="22"/>
      <c r="DN33" s="23"/>
      <c r="DO33" s="22"/>
      <c r="DP33" s="23"/>
      <c r="DQ33" s="22"/>
      <c r="DR33" s="23"/>
      <c r="DS33" s="22">
        <v>457</v>
      </c>
      <c r="DT33" s="23">
        <v>1</v>
      </c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22">
        <v>8401.1</v>
      </c>
      <c r="EO33" s="23">
        <v>6</v>
      </c>
      <c r="EP33" s="22">
        <v>2118.46</v>
      </c>
      <c r="EQ33" s="23">
        <v>2</v>
      </c>
      <c r="ER33" s="22">
        <v>723.51</v>
      </c>
      <c r="ES33" s="23">
        <v>2</v>
      </c>
      <c r="ET33" s="22">
        <v>4199</v>
      </c>
      <c r="EU33" s="23">
        <v>1</v>
      </c>
      <c r="EV33" s="22">
        <v>0</v>
      </c>
      <c r="EW33" s="23">
        <v>0</v>
      </c>
      <c r="EX33" s="22">
        <v>0</v>
      </c>
      <c r="EY33" s="23">
        <v>0</v>
      </c>
      <c r="EZ33" s="22">
        <v>0</v>
      </c>
      <c r="FA33" s="23">
        <v>0</v>
      </c>
      <c r="FB33" s="22">
        <v>0</v>
      </c>
      <c r="FC33" s="23">
        <v>0</v>
      </c>
      <c r="FD33" s="22">
        <v>0</v>
      </c>
      <c r="FE33" s="23">
        <v>0</v>
      </c>
      <c r="FF33" s="22">
        <v>0</v>
      </c>
      <c r="FG33" s="23">
        <v>0</v>
      </c>
      <c r="FH33" s="22">
        <v>0</v>
      </c>
      <c r="FI33" s="23">
        <v>0</v>
      </c>
      <c r="FJ33" s="22">
        <v>0</v>
      </c>
      <c r="FK33" s="23">
        <v>0</v>
      </c>
      <c r="FL33" s="22">
        <v>0</v>
      </c>
      <c r="FM33" s="23">
        <v>0</v>
      </c>
      <c r="FN33" s="22">
        <v>0</v>
      </c>
      <c r="FO33" s="23">
        <v>0</v>
      </c>
      <c r="FP33" s="22">
        <v>0</v>
      </c>
      <c r="FQ33" s="23">
        <v>0</v>
      </c>
      <c r="FR33" s="207"/>
      <c r="FS33" s="207"/>
      <c r="FT33" s="207"/>
      <c r="FU33" s="207"/>
      <c r="FV33" s="322"/>
      <c r="FW33" s="322"/>
      <c r="FX33" s="322"/>
      <c r="FY33" s="322"/>
      <c r="FZ33" s="322"/>
      <c r="GA33" s="322"/>
      <c r="GB33" s="322"/>
      <c r="GC33" s="322"/>
      <c r="GD33" s="322"/>
      <c r="GE33" s="322"/>
      <c r="GF33" s="292"/>
      <c r="GG33" s="292"/>
    </row>
    <row r="34" spans="1:189" ht="8.25" customHeight="1" outlineLevel="1" x14ac:dyDescent="0.3">
      <c r="A34" s="24"/>
      <c r="B34" s="267"/>
      <c r="C34" s="18"/>
      <c r="D34" s="18"/>
      <c r="E34" s="18"/>
      <c r="F34" s="18"/>
      <c r="G34" s="3"/>
      <c r="H34" s="3"/>
      <c r="I34" s="19"/>
      <c r="J34" s="20"/>
      <c r="K34" s="19"/>
      <c r="L34" s="20"/>
      <c r="M34" s="19"/>
      <c r="N34" s="20"/>
      <c r="O34" s="19"/>
      <c r="P34" s="20"/>
      <c r="Q34" s="19"/>
      <c r="R34" s="20"/>
      <c r="S34" s="19"/>
      <c r="T34" s="20"/>
      <c r="U34" s="19"/>
      <c r="V34" s="20"/>
      <c r="W34" s="19"/>
      <c r="X34" s="20"/>
      <c r="Y34" s="19"/>
      <c r="Z34" s="20"/>
      <c r="AA34" s="19"/>
      <c r="AB34" s="20"/>
      <c r="AC34" s="19"/>
      <c r="AD34" s="20"/>
      <c r="AE34" s="19"/>
      <c r="AF34" s="20"/>
      <c r="AG34" s="19"/>
      <c r="AH34" s="20"/>
      <c r="AI34" s="19"/>
      <c r="AJ34" s="20"/>
      <c r="AK34" s="19"/>
      <c r="AL34" s="20"/>
      <c r="AM34" s="19"/>
      <c r="AN34" s="20"/>
      <c r="AO34" s="19"/>
      <c r="AP34" s="20"/>
      <c r="AQ34" s="19"/>
      <c r="AR34" s="20"/>
      <c r="AS34" s="19"/>
      <c r="AT34" s="20"/>
      <c r="AU34" s="19"/>
      <c r="AV34" s="20"/>
      <c r="AW34" s="19"/>
      <c r="AX34" s="20"/>
      <c r="AY34" s="19"/>
      <c r="AZ34" s="20"/>
      <c r="BA34" s="19"/>
      <c r="BB34" s="20"/>
      <c r="BC34" s="19"/>
      <c r="BD34" s="20"/>
      <c r="BE34" s="19"/>
      <c r="BF34" s="20"/>
      <c r="BG34" s="19"/>
      <c r="BH34" s="20"/>
      <c r="BI34" s="19"/>
      <c r="BJ34" s="20"/>
      <c r="BK34" s="19"/>
      <c r="BL34" s="20"/>
      <c r="BM34" s="19"/>
      <c r="BN34" s="20"/>
      <c r="BO34" s="19"/>
      <c r="BP34" s="20"/>
      <c r="BQ34" s="19"/>
      <c r="BR34" s="20"/>
      <c r="BS34" s="19"/>
      <c r="BT34" s="20"/>
      <c r="BU34" s="19"/>
      <c r="BV34" s="20"/>
      <c r="BW34" s="19"/>
      <c r="BX34" s="20"/>
      <c r="BY34" s="19"/>
      <c r="BZ34" s="20"/>
      <c r="CA34" s="19"/>
      <c r="CB34" s="20"/>
      <c r="CC34" s="19"/>
      <c r="CD34" s="20"/>
      <c r="CE34" s="19"/>
      <c r="CF34" s="20"/>
      <c r="CG34" s="19"/>
      <c r="CH34" s="20"/>
      <c r="CI34" s="19"/>
      <c r="CJ34" s="20"/>
      <c r="CK34" s="19"/>
      <c r="CL34" s="20"/>
      <c r="CM34" s="19"/>
      <c r="CN34" s="20"/>
      <c r="CO34" s="19"/>
      <c r="CP34" s="20"/>
      <c r="CQ34" s="19"/>
      <c r="CR34" s="20"/>
      <c r="CS34" s="19"/>
      <c r="CT34" s="20"/>
      <c r="CU34" s="19"/>
      <c r="CV34" s="20"/>
      <c r="CW34" s="19"/>
      <c r="CX34" s="20"/>
      <c r="CY34" s="19"/>
      <c r="CZ34" s="20"/>
      <c r="DA34" s="19"/>
      <c r="DB34" s="20"/>
      <c r="DC34" s="19"/>
      <c r="DD34" s="20"/>
      <c r="DE34" s="19"/>
      <c r="DF34" s="20"/>
      <c r="DG34" s="19"/>
      <c r="DH34" s="20"/>
      <c r="DI34" s="19"/>
      <c r="DJ34" s="20"/>
      <c r="DK34" s="19"/>
      <c r="DL34" s="20"/>
      <c r="DM34" s="192"/>
      <c r="DN34" s="193"/>
      <c r="DO34" s="19"/>
      <c r="DP34" s="20"/>
      <c r="DQ34" s="19"/>
      <c r="DR34" s="20"/>
      <c r="DS34" s="19"/>
      <c r="DT34" s="20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19"/>
      <c r="EO34" s="20"/>
      <c r="EP34" s="19"/>
      <c r="EQ34" s="20"/>
      <c r="ER34" s="19"/>
      <c r="ES34" s="20"/>
      <c r="ET34" s="19"/>
      <c r="EU34" s="20"/>
      <c r="EV34" s="19"/>
      <c r="EW34" s="20"/>
      <c r="EX34" s="19"/>
      <c r="EY34" s="20"/>
      <c r="EZ34" s="19"/>
      <c r="FA34" s="20"/>
      <c r="FB34" s="19"/>
      <c r="FC34" s="20"/>
      <c r="FD34" s="19"/>
      <c r="FE34" s="20"/>
      <c r="FF34" s="19"/>
      <c r="FG34" s="20"/>
      <c r="FH34" s="19"/>
      <c r="FI34" s="20"/>
      <c r="FJ34" s="19"/>
      <c r="FK34" s="20"/>
      <c r="FL34" s="19"/>
      <c r="FM34" s="20"/>
      <c r="FN34" s="19"/>
      <c r="FO34" s="20"/>
      <c r="FP34" s="19"/>
      <c r="FQ34" s="20"/>
      <c r="FR34" s="3"/>
      <c r="FS34" s="3"/>
      <c r="FT34" s="3"/>
      <c r="FU34" s="3"/>
      <c r="FV34" s="302"/>
      <c r="FW34" s="302"/>
      <c r="FX34" s="302"/>
      <c r="FY34" s="302"/>
      <c r="FZ34" s="302"/>
      <c r="GA34" s="302"/>
      <c r="GB34" s="302"/>
      <c r="GC34" s="302"/>
      <c r="GD34" s="302"/>
      <c r="GE34" s="302"/>
      <c r="GF34" s="290"/>
      <c r="GG34" s="290"/>
    </row>
    <row r="35" spans="1:189" ht="8.25" customHeight="1" outlineLevel="1" x14ac:dyDescent="0.3">
      <c r="A35" s="24"/>
      <c r="B35" s="18"/>
      <c r="C35" s="18"/>
      <c r="D35" s="18"/>
      <c r="E35" s="18"/>
      <c r="F35" s="18"/>
      <c r="G35" s="3"/>
      <c r="H35" s="3"/>
      <c r="I35" s="19"/>
      <c r="J35" s="20"/>
      <c r="K35" s="19"/>
      <c r="L35" s="20"/>
      <c r="M35" s="19"/>
      <c r="N35" s="20"/>
      <c r="O35" s="19"/>
      <c r="P35" s="20"/>
      <c r="Q35" s="19"/>
      <c r="R35" s="20"/>
      <c r="S35" s="19"/>
      <c r="T35" s="20"/>
      <c r="U35" s="19"/>
      <c r="V35" s="20"/>
      <c r="W35" s="19"/>
      <c r="X35" s="20"/>
      <c r="Y35" s="19"/>
      <c r="Z35" s="20"/>
      <c r="AA35" s="19"/>
      <c r="AB35" s="20"/>
      <c r="AC35" s="19"/>
      <c r="AD35" s="20"/>
      <c r="AE35" s="19"/>
      <c r="AF35" s="20"/>
      <c r="AG35" s="19"/>
      <c r="AH35" s="20"/>
      <c r="AI35" s="19"/>
      <c r="AJ35" s="20"/>
      <c r="AK35" s="19"/>
      <c r="AL35" s="20"/>
      <c r="AM35" s="19"/>
      <c r="AN35" s="20"/>
      <c r="AO35" s="19"/>
      <c r="AP35" s="20"/>
      <c r="AQ35" s="19"/>
      <c r="AR35" s="20"/>
      <c r="AS35" s="19"/>
      <c r="AT35" s="20"/>
      <c r="AU35" s="19"/>
      <c r="AV35" s="20"/>
      <c r="AW35" s="19"/>
      <c r="AX35" s="20"/>
      <c r="AY35" s="19"/>
      <c r="AZ35" s="20"/>
      <c r="BA35" s="19"/>
      <c r="BB35" s="20"/>
      <c r="BC35" s="19"/>
      <c r="BD35" s="20"/>
      <c r="BE35" s="19"/>
      <c r="BF35" s="20"/>
      <c r="BG35" s="19"/>
      <c r="BH35" s="20"/>
      <c r="BI35" s="19"/>
      <c r="BJ35" s="20"/>
      <c r="BK35" s="19"/>
      <c r="BL35" s="20"/>
      <c r="BM35" s="19"/>
      <c r="BN35" s="20"/>
      <c r="BO35" s="19"/>
      <c r="BP35" s="20"/>
      <c r="BQ35" s="19"/>
      <c r="BR35" s="20"/>
      <c r="BS35" s="19"/>
      <c r="BT35" s="20"/>
      <c r="BU35" s="19"/>
      <c r="BV35" s="20"/>
      <c r="BW35" s="19"/>
      <c r="BX35" s="20"/>
      <c r="BY35" s="19"/>
      <c r="BZ35" s="20"/>
      <c r="CA35" s="19"/>
      <c r="CB35" s="20"/>
      <c r="CC35" s="19"/>
      <c r="CD35" s="20"/>
      <c r="CE35" s="19"/>
      <c r="CF35" s="20"/>
      <c r="CG35" s="19"/>
      <c r="CH35" s="20"/>
      <c r="CI35" s="19"/>
      <c r="CJ35" s="20"/>
      <c r="CK35" s="19"/>
      <c r="CL35" s="20"/>
      <c r="CM35" s="19"/>
      <c r="CN35" s="20"/>
      <c r="CO35" s="19"/>
      <c r="CP35" s="20"/>
      <c r="CQ35" s="19"/>
      <c r="CR35" s="20"/>
      <c r="CS35" s="19"/>
      <c r="CT35" s="20"/>
      <c r="CU35" s="19"/>
      <c r="CV35" s="20"/>
      <c r="CW35" s="19"/>
      <c r="CX35" s="20"/>
      <c r="CY35" s="19"/>
      <c r="CZ35" s="20"/>
      <c r="DA35" s="19"/>
      <c r="DB35" s="20"/>
      <c r="DC35" s="19"/>
      <c r="DD35" s="20"/>
      <c r="DE35" s="19"/>
      <c r="DF35" s="20"/>
      <c r="DG35" s="19"/>
      <c r="DH35" s="20"/>
      <c r="DI35" s="19"/>
      <c r="DJ35" s="20"/>
      <c r="DK35" s="19"/>
      <c r="DL35" s="20"/>
      <c r="DM35" s="192"/>
      <c r="DN35" s="193"/>
      <c r="DO35" s="19"/>
      <c r="DP35" s="20"/>
      <c r="DQ35" s="19"/>
      <c r="DR35" s="20"/>
      <c r="DS35" s="19"/>
      <c r="DT35" s="20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19"/>
      <c r="EO35" s="20"/>
      <c r="EP35" s="19"/>
      <c r="EQ35" s="20"/>
      <c r="ER35" s="19"/>
      <c r="ES35" s="20"/>
      <c r="ET35" s="19"/>
      <c r="EU35" s="20"/>
      <c r="EV35" s="19"/>
      <c r="EW35" s="20"/>
      <c r="EX35" s="19"/>
      <c r="EY35" s="20"/>
      <c r="EZ35" s="19"/>
      <c r="FA35" s="20"/>
      <c r="FB35" s="19"/>
      <c r="FC35" s="20"/>
      <c r="FD35" s="19"/>
      <c r="FE35" s="20"/>
      <c r="FF35" s="19"/>
      <c r="FG35" s="20"/>
      <c r="FH35" s="19"/>
      <c r="FI35" s="20"/>
      <c r="FJ35" s="19"/>
      <c r="FK35" s="20"/>
      <c r="FL35" s="19"/>
      <c r="FM35" s="20"/>
      <c r="FN35" s="19"/>
      <c r="FO35" s="20"/>
      <c r="FP35" s="19"/>
      <c r="FQ35" s="20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</row>
    <row r="36" spans="1:189" ht="8.25" customHeight="1" outlineLevel="1" x14ac:dyDescent="0.3">
      <c r="A36" s="24"/>
      <c r="B36" s="18"/>
      <c r="C36" s="18"/>
      <c r="D36" s="18"/>
      <c r="E36" s="18"/>
      <c r="F36" s="18"/>
      <c r="G36" s="3"/>
      <c r="H36" s="3"/>
      <c r="I36" s="19"/>
      <c r="J36" s="20"/>
      <c r="K36" s="19"/>
      <c r="L36" s="20"/>
      <c r="M36" s="19"/>
      <c r="N36" s="20"/>
      <c r="O36" s="19"/>
      <c r="P36" s="20"/>
      <c r="Q36" s="19"/>
      <c r="R36" s="20"/>
      <c r="S36" s="19"/>
      <c r="T36" s="20"/>
      <c r="U36" s="19"/>
      <c r="V36" s="20"/>
      <c r="W36" s="19"/>
      <c r="X36" s="20"/>
      <c r="Y36" s="19"/>
      <c r="Z36" s="20"/>
      <c r="AA36" s="19"/>
      <c r="AB36" s="20"/>
      <c r="AC36" s="19"/>
      <c r="AD36" s="20"/>
      <c r="AE36" s="19"/>
      <c r="AF36" s="20"/>
      <c r="AG36" s="19"/>
      <c r="AH36" s="20"/>
      <c r="AI36" s="19"/>
      <c r="AJ36" s="20"/>
      <c r="AK36" s="19"/>
      <c r="AL36" s="20"/>
      <c r="AM36" s="19"/>
      <c r="AN36" s="20"/>
      <c r="AO36" s="19"/>
      <c r="AP36" s="20"/>
      <c r="AQ36" s="19"/>
      <c r="AR36" s="20"/>
      <c r="AS36" s="19"/>
      <c r="AT36" s="20"/>
      <c r="AU36" s="19"/>
      <c r="AV36" s="20"/>
      <c r="AW36" s="19"/>
      <c r="AX36" s="20"/>
      <c r="AY36" s="19"/>
      <c r="AZ36" s="20"/>
      <c r="BA36" s="19"/>
      <c r="BB36" s="20"/>
      <c r="BC36" s="19"/>
      <c r="BD36" s="20"/>
      <c r="BE36" s="19"/>
      <c r="BF36" s="20"/>
      <c r="BG36" s="19"/>
      <c r="BH36" s="20"/>
      <c r="BI36" s="19"/>
      <c r="BJ36" s="20"/>
      <c r="BK36" s="19"/>
      <c r="BL36" s="20"/>
      <c r="BM36" s="19"/>
      <c r="BN36" s="20"/>
      <c r="BO36" s="19"/>
      <c r="BP36" s="20"/>
      <c r="BQ36" s="19"/>
      <c r="BR36" s="20"/>
      <c r="BS36" s="19"/>
      <c r="BT36" s="20"/>
      <c r="BU36" s="19"/>
      <c r="BV36" s="20"/>
      <c r="BW36" s="19"/>
      <c r="BX36" s="20"/>
      <c r="BY36" s="19"/>
      <c r="BZ36" s="20"/>
      <c r="CA36" s="19"/>
      <c r="CB36" s="20"/>
      <c r="CC36" s="19"/>
      <c r="CD36" s="20"/>
      <c r="CE36" s="19"/>
      <c r="CF36" s="20"/>
      <c r="CG36" s="19"/>
      <c r="CH36" s="20"/>
      <c r="CI36" s="19"/>
      <c r="CJ36" s="20"/>
      <c r="CK36" s="19"/>
      <c r="CL36" s="20"/>
      <c r="CM36" s="19"/>
      <c r="CN36" s="20"/>
      <c r="CO36" s="19"/>
      <c r="CP36" s="20"/>
      <c r="CQ36" s="19"/>
      <c r="CR36" s="20"/>
      <c r="CS36" s="19"/>
      <c r="CT36" s="20"/>
      <c r="CU36" s="19"/>
      <c r="CV36" s="20"/>
      <c r="CW36" s="19"/>
      <c r="CX36" s="20"/>
      <c r="CY36" s="19"/>
      <c r="CZ36" s="20"/>
      <c r="DA36" s="19"/>
      <c r="DB36" s="20"/>
      <c r="DC36" s="19"/>
      <c r="DD36" s="20"/>
      <c r="DE36" s="19"/>
      <c r="DF36" s="20"/>
      <c r="DG36" s="19"/>
      <c r="DH36" s="20"/>
      <c r="DI36" s="19"/>
      <c r="DJ36" s="20"/>
      <c r="DK36" s="19"/>
      <c r="DL36" s="20"/>
      <c r="DM36" s="192"/>
      <c r="DN36" s="193"/>
      <c r="DO36" s="19"/>
      <c r="DP36" s="20"/>
      <c r="DQ36" s="19"/>
      <c r="DR36" s="20"/>
      <c r="DS36" s="19"/>
      <c r="DT36" s="20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19"/>
      <c r="EO36" s="20"/>
      <c r="EP36" s="19"/>
      <c r="EQ36" s="20"/>
      <c r="ER36" s="19"/>
      <c r="ES36" s="20"/>
      <c r="ET36" s="19"/>
      <c r="EU36" s="20"/>
      <c r="EV36" s="19"/>
      <c r="EW36" s="20"/>
      <c r="EX36" s="19"/>
      <c r="EY36" s="20"/>
      <c r="EZ36" s="19"/>
      <c r="FA36" s="20"/>
      <c r="FB36" s="19"/>
      <c r="FC36" s="20"/>
      <c r="FD36" s="19"/>
      <c r="FE36" s="20"/>
      <c r="FF36" s="19"/>
      <c r="FG36" s="20"/>
      <c r="FH36" s="19"/>
      <c r="FI36" s="20"/>
      <c r="FJ36" s="19"/>
      <c r="FK36" s="20"/>
      <c r="FL36" s="19"/>
      <c r="FM36" s="20"/>
      <c r="FN36" s="19"/>
      <c r="FO36" s="20"/>
      <c r="FP36" s="19"/>
      <c r="FQ36" s="20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</row>
    <row r="37" spans="1:189" ht="15" customHeight="1" outlineLevel="1" x14ac:dyDescent="0.3">
      <c r="A37" s="24"/>
      <c r="B37" s="313" t="s">
        <v>401</v>
      </c>
      <c r="C37" s="313" t="s">
        <v>24</v>
      </c>
      <c r="D37" s="313" t="s">
        <v>25</v>
      </c>
      <c r="E37" s="313" t="s">
        <v>42</v>
      </c>
      <c r="F37" s="313" t="s">
        <v>27</v>
      </c>
      <c r="G37" s="5" t="s">
        <v>30</v>
      </c>
      <c r="H37" s="5"/>
      <c r="I37" s="283">
        <f>I38/I2</f>
        <v>2.651567782624991E-2</v>
      </c>
      <c r="J37" s="281"/>
      <c r="K37" s="283">
        <f>K38/K2</f>
        <v>3.12406097598192E-2</v>
      </c>
      <c r="L37" s="281"/>
      <c r="M37" s="283">
        <f>M38/M2</f>
        <v>2.9707575612209772E-2</v>
      </c>
      <c r="N37" s="281"/>
      <c r="O37" s="283">
        <f>O38/O2</f>
        <v>2.2060511121540994E-2</v>
      </c>
      <c r="P37" s="281"/>
      <c r="Q37" s="283">
        <f>Q38/Q2</f>
        <v>2.0515577581164558E-2</v>
      </c>
      <c r="R37" s="281"/>
      <c r="S37" s="283">
        <f>S38/S2</f>
        <v>3.1338267547247375E-2</v>
      </c>
      <c r="T37" s="281"/>
      <c r="U37" s="283">
        <f>U38/U2</f>
        <v>2.0163387177119484E-2</v>
      </c>
      <c r="V37" s="281"/>
      <c r="W37" s="283">
        <f>W38/W2</f>
        <v>3.4449611711981624E-2</v>
      </c>
      <c r="X37" s="281"/>
      <c r="Y37" s="283">
        <f>Y38/Y2</f>
        <v>2.3730882859650592E-2</v>
      </c>
      <c r="Z37" s="281"/>
      <c r="AA37" s="283">
        <f>AA38/AA2</f>
        <v>3.3053133475120018E-2</v>
      </c>
      <c r="AB37" s="281"/>
      <c r="AC37" s="283">
        <f>AC38/AC2</f>
        <v>3.832111986119216E-2</v>
      </c>
      <c r="AD37" s="281"/>
      <c r="AE37" s="283">
        <f>AE38/AE2</f>
        <v>2.0850911020149795E-2</v>
      </c>
      <c r="AF37" s="281"/>
      <c r="AG37" s="283">
        <f>AG38/AG2</f>
        <v>3.0474424197699038E-2</v>
      </c>
      <c r="AH37" s="281"/>
      <c r="AI37" s="283">
        <f>AI38/AI2</f>
        <v>1.8252264340154832E-2</v>
      </c>
      <c r="AJ37" s="281"/>
      <c r="AK37" s="283">
        <f>AK38/AK2</f>
        <v>1.3457308878335147E-2</v>
      </c>
      <c r="AL37" s="281"/>
      <c r="AM37" s="283">
        <f>AM38/AM2</f>
        <v>1.5255570901966461E-2</v>
      </c>
      <c r="AN37" s="281"/>
      <c r="AO37" s="283">
        <f>AO38/AO2</f>
        <v>1.8255545805119972E-2</v>
      </c>
      <c r="AP37" s="281"/>
      <c r="AQ37" s="283">
        <f>AQ38/AQ2</f>
        <v>1.9540247587998119E-2</v>
      </c>
      <c r="AR37" s="281"/>
      <c r="AS37" s="283">
        <f>AS38/AS2</f>
        <v>1.7381134384621081E-2</v>
      </c>
      <c r="AT37" s="281"/>
      <c r="AU37" s="283">
        <f>AU38/AU2</f>
        <v>1.4438696220423736E-2</v>
      </c>
      <c r="AV37" s="281"/>
      <c r="AW37" s="283">
        <f>AW38/AW2</f>
        <v>2.6271312630801884E-2</v>
      </c>
      <c r="AX37" s="281"/>
      <c r="AY37" s="283">
        <f>AY38/AY2</f>
        <v>1.6840646849802417E-2</v>
      </c>
      <c r="AZ37" s="281"/>
      <c r="BA37" s="283">
        <f>BA38/BA2</f>
        <v>1.8282796785006227E-2</v>
      </c>
      <c r="BB37" s="281"/>
      <c r="BC37" s="283">
        <f>BC38/BC2</f>
        <v>1.6035597779758912E-2</v>
      </c>
      <c r="BD37" s="281"/>
      <c r="BE37" s="283">
        <f>BE38/BE2</f>
        <v>2.1617330601379017E-2</v>
      </c>
      <c r="BF37" s="281"/>
      <c r="BG37" s="283">
        <f>BG38/BG2</f>
        <v>2.7531382548532529E-2</v>
      </c>
      <c r="BH37" s="281"/>
      <c r="BI37" s="283">
        <f>BI38/BI2</f>
        <v>2.2010387106365735E-2</v>
      </c>
      <c r="BJ37" s="281"/>
      <c r="BK37" s="283">
        <f>BK38/BK2</f>
        <v>1.966693196948387E-2</v>
      </c>
      <c r="BL37" s="281"/>
      <c r="BM37" s="283">
        <f>BM38/BM2</f>
        <v>2.5858215786507693E-2</v>
      </c>
      <c r="BN37" s="281"/>
      <c r="BO37" s="283">
        <f>BO38/BO2</f>
        <v>2.6815799242969222E-2</v>
      </c>
      <c r="BP37" s="281"/>
      <c r="BQ37" s="283">
        <f>BQ38/BQ2</f>
        <v>3.3918430314420489E-2</v>
      </c>
      <c r="BR37" s="281"/>
      <c r="BS37" s="283">
        <f>BS38/BS2</f>
        <v>2.5802198926575422E-2</v>
      </c>
      <c r="BT37" s="281"/>
      <c r="BU37" s="283">
        <f>BU38/BU2</f>
        <v>2.5560033226988528E-2</v>
      </c>
      <c r="BV37" s="281"/>
      <c r="BW37" s="283">
        <f>BW38/BW2</f>
        <v>3.5804534474644177E-2</v>
      </c>
      <c r="BX37" s="281"/>
      <c r="BY37" s="283">
        <f>BY38/BY2</f>
        <v>3.9080214561605667E-2</v>
      </c>
      <c r="BZ37" s="281"/>
      <c r="CA37" s="283">
        <f>CA38/CA2</f>
        <v>2.7292720130933132E-2</v>
      </c>
      <c r="CB37" s="281"/>
      <c r="CC37" s="283">
        <f>CC38/CC2</f>
        <v>2.7720399930641803E-2</v>
      </c>
      <c r="CD37" s="281"/>
      <c r="CE37" s="339">
        <f>CE38/CE2</f>
        <v>2.3644770284006945E-2</v>
      </c>
      <c r="CF37" s="281"/>
      <c r="CG37" s="339">
        <f>CG38/CG2</f>
        <v>2.8942907486647379E-2</v>
      </c>
      <c r="CH37" s="281"/>
      <c r="CI37" s="339">
        <f>CI38/CI2</f>
        <v>3.0132873324779187E-2</v>
      </c>
      <c r="CJ37" s="281"/>
      <c r="CK37" s="339">
        <f>CK38/CK2</f>
        <v>3.124105009852781E-2</v>
      </c>
      <c r="CL37" s="281"/>
      <c r="CM37" s="339">
        <f>CM38/CM2</f>
        <v>2.1887021580426477E-2</v>
      </c>
      <c r="CN37" s="281"/>
      <c r="CO37" s="339">
        <f>CO38/CO2</f>
        <v>2.8952850588252931E-2</v>
      </c>
      <c r="CP37" s="281"/>
      <c r="CQ37" s="339">
        <f>CQ38/CQ2</f>
        <v>3.1458728098034863E-2</v>
      </c>
      <c r="CR37" s="281"/>
      <c r="CS37" s="339">
        <f>CS38/CS2</f>
        <v>3.669611180871437E-2</v>
      </c>
      <c r="CT37" s="281"/>
      <c r="CU37" s="419">
        <f>CU38/CU2</f>
        <v>2.948689861930302E-2</v>
      </c>
      <c r="CV37" s="420"/>
      <c r="CW37" s="419">
        <f>CW38/CW2</f>
        <v>2.5593445443440558E-2</v>
      </c>
      <c r="CX37" s="420"/>
      <c r="CY37" s="339">
        <f>CY38/CY2</f>
        <v>2.7507503061598753E-2</v>
      </c>
      <c r="CZ37" s="281"/>
      <c r="DA37" s="339">
        <f>DA38/DA2</f>
        <v>3.4009924807157414E-2</v>
      </c>
      <c r="DB37" s="281"/>
      <c r="DC37" s="339">
        <f>DC38/DC2</f>
        <v>3.0639563725296252E-2</v>
      </c>
      <c r="DD37" s="281"/>
      <c r="DE37" s="339">
        <f>DE38/DE2</f>
        <v>3.0126166125909425E-2</v>
      </c>
      <c r="DF37" s="281"/>
      <c r="DG37" s="339">
        <f>DG38/DG2</f>
        <v>3.7491589783549266E-2</v>
      </c>
      <c r="DH37" s="281"/>
      <c r="DI37" s="339">
        <f>DI38/DI2</f>
        <v>2.4955991787273098E-2</v>
      </c>
      <c r="DJ37" s="281"/>
      <c r="DK37" s="339">
        <f>DK38/DK2</f>
        <v>3.2206802023271766E-2</v>
      </c>
      <c r="DL37" s="281"/>
      <c r="DM37" s="339">
        <f>DM38/DM2</f>
        <v>3.3352587231048801E-2</v>
      </c>
      <c r="DN37" s="281"/>
      <c r="DO37" s="339">
        <f>DO38/DO2</f>
        <v>2.3686760258437387E-2</v>
      </c>
      <c r="DP37" s="281"/>
      <c r="DQ37" s="339">
        <f>DQ38/DQ2</f>
        <v>2.5202840498497966E-2</v>
      </c>
      <c r="DR37" s="281"/>
      <c r="DS37" s="339">
        <f>DS38/DS2</f>
        <v>3.2855046361238031E-2</v>
      </c>
      <c r="DT37" s="281"/>
      <c r="DU37" s="388" t="s">
        <v>29</v>
      </c>
      <c r="DV37" s="388" t="s">
        <v>29</v>
      </c>
      <c r="DW37" s="388" t="s">
        <v>29</v>
      </c>
      <c r="DX37" s="388" t="s">
        <v>29</v>
      </c>
      <c r="DY37" s="388" t="s">
        <v>29</v>
      </c>
      <c r="DZ37" s="388" t="s">
        <v>29</v>
      </c>
      <c r="EA37" s="388" t="s">
        <v>29</v>
      </c>
      <c r="EB37" s="388" t="s">
        <v>29</v>
      </c>
      <c r="EC37" s="388" t="s">
        <v>29</v>
      </c>
      <c r="ED37" s="388" t="s">
        <v>29</v>
      </c>
      <c r="EE37" s="388" t="s">
        <v>29</v>
      </c>
      <c r="EF37" s="388" t="s">
        <v>29</v>
      </c>
      <c r="EG37" s="388" t="s">
        <v>29</v>
      </c>
      <c r="EH37" s="388" t="s">
        <v>29</v>
      </c>
      <c r="EI37" s="388" t="s">
        <v>29</v>
      </c>
      <c r="EJ37" s="388" t="s">
        <v>29</v>
      </c>
      <c r="EK37" s="388" t="s">
        <v>29</v>
      </c>
      <c r="EL37" s="388" t="s">
        <v>29</v>
      </c>
      <c r="EM37" s="388" t="s">
        <v>29</v>
      </c>
      <c r="EN37" s="339">
        <f>EN38/EN2</f>
        <v>3.0960806281592444E-2</v>
      </c>
      <c r="EO37" s="281"/>
      <c r="EP37" s="339">
        <f>EP38/EP2</f>
        <v>2.5527689080834869E-2</v>
      </c>
      <c r="EQ37" s="281"/>
      <c r="ER37" s="339">
        <f>ER38/ER2</f>
        <v>3.2883319484296077E-2</v>
      </c>
      <c r="ES37" s="281"/>
      <c r="ET37" s="339">
        <f>ET38/ET2</f>
        <v>2.4917454326923088E-2</v>
      </c>
      <c r="EU37" s="281"/>
      <c r="EV37" s="339">
        <f>EV38/EV2</f>
        <v>1.7232398884758381E-2</v>
      </c>
      <c r="EW37" s="281"/>
      <c r="EX37" s="339">
        <f>EX38/EX2</f>
        <v>1.9120152985074627E-2</v>
      </c>
      <c r="EY37" s="281"/>
      <c r="EZ37" s="339">
        <f>EZ38/EZ2</f>
        <v>4.94229583127411E-2</v>
      </c>
      <c r="FA37" s="281"/>
      <c r="FB37" s="339">
        <f>FB38/FB2</f>
        <v>4.5604473542817985E-2</v>
      </c>
      <c r="FC37" s="281"/>
      <c r="FD37" s="339">
        <f>FD38/FD2</f>
        <v>4.2723042112062071E-2</v>
      </c>
      <c r="FE37" s="281"/>
      <c r="FF37" s="339">
        <f>FF38/FF2</f>
        <v>4.246413404106314E-2</v>
      </c>
      <c r="FG37" s="281"/>
      <c r="FH37" s="339">
        <f>FH38/FH2</f>
        <v>0</v>
      </c>
      <c r="FI37" s="281"/>
      <c r="FJ37" s="339">
        <f>FJ38/FJ2</f>
        <v>0</v>
      </c>
      <c r="FK37" s="281"/>
      <c r="FL37" s="339">
        <f>FL38/FL2</f>
        <v>0</v>
      </c>
      <c r="FM37" s="281"/>
      <c r="FN37" s="339">
        <f>FN38/FN2</f>
        <v>0</v>
      </c>
      <c r="FO37" s="281"/>
      <c r="FP37" s="339">
        <f>FP38/FP2</f>
        <v>0</v>
      </c>
      <c r="FQ37" s="281"/>
      <c r="FR37" s="388" t="s">
        <v>29</v>
      </c>
      <c r="FS37" s="388" t="s">
        <v>29</v>
      </c>
      <c r="FT37" s="388" t="s">
        <v>29</v>
      </c>
      <c r="FU37" s="388" t="s">
        <v>29</v>
      </c>
      <c r="FV37" s="388" t="s">
        <v>29</v>
      </c>
      <c r="FW37" s="388" t="s">
        <v>29</v>
      </c>
      <c r="FX37" s="388" t="s">
        <v>29</v>
      </c>
      <c r="FY37" s="388" t="s">
        <v>29</v>
      </c>
      <c r="FZ37" s="388" t="s">
        <v>29</v>
      </c>
      <c r="GA37" s="388" t="s">
        <v>29</v>
      </c>
      <c r="GB37" s="388" t="s">
        <v>29</v>
      </c>
      <c r="GC37" s="388"/>
      <c r="GD37" s="388"/>
      <c r="GE37" s="388"/>
      <c r="GF37" s="285"/>
      <c r="GG37" s="285"/>
    </row>
    <row r="38" spans="1:189" ht="15" customHeight="1" outlineLevel="1" x14ac:dyDescent="0.3">
      <c r="A38" s="24"/>
      <c r="B38" s="301"/>
      <c r="C38" s="301"/>
      <c r="D38" s="301"/>
      <c r="E38" s="301"/>
      <c r="F38" s="301"/>
      <c r="G38" s="5" t="s">
        <v>43</v>
      </c>
      <c r="H38" s="5"/>
      <c r="I38" s="22">
        <f t="shared" ref="I38:CZ38" si="110">I39-I41</f>
        <v>6991364.71</v>
      </c>
      <c r="J38" s="23">
        <f t="shared" si="110"/>
        <v>7169</v>
      </c>
      <c r="K38" s="22">
        <f t="shared" si="110"/>
        <v>587386</v>
      </c>
      <c r="L38" s="23">
        <f t="shared" si="110"/>
        <v>509</v>
      </c>
      <c r="M38" s="22">
        <f t="shared" si="110"/>
        <v>466708.58999999991</v>
      </c>
      <c r="N38" s="23">
        <f t="shared" si="110"/>
        <v>423</v>
      </c>
      <c r="O38" s="22">
        <f t="shared" si="110"/>
        <v>398301.69</v>
      </c>
      <c r="P38" s="23">
        <f t="shared" si="110"/>
        <v>435</v>
      </c>
      <c r="Q38" s="22">
        <f t="shared" si="110"/>
        <v>386312.47000000003</v>
      </c>
      <c r="R38" s="23">
        <f t="shared" si="110"/>
        <v>435</v>
      </c>
      <c r="S38" s="22">
        <f t="shared" si="110"/>
        <v>618731.41</v>
      </c>
      <c r="T38" s="23">
        <f t="shared" si="110"/>
        <v>521</v>
      </c>
      <c r="U38" s="22">
        <f t="shared" si="110"/>
        <v>483055.92</v>
      </c>
      <c r="V38" s="23">
        <f t="shared" si="110"/>
        <v>413</v>
      </c>
      <c r="W38" s="22">
        <f t="shared" si="110"/>
        <v>797538</v>
      </c>
      <c r="X38" s="23">
        <f t="shared" si="110"/>
        <v>740</v>
      </c>
      <c r="Y38" s="22">
        <f t="shared" si="110"/>
        <v>593956.66</v>
      </c>
      <c r="Z38" s="23">
        <f t="shared" si="110"/>
        <v>657</v>
      </c>
      <c r="AA38" s="22">
        <f t="shared" si="110"/>
        <v>886706</v>
      </c>
      <c r="AB38" s="23">
        <f t="shared" si="110"/>
        <v>1051</v>
      </c>
      <c r="AC38" s="22">
        <f t="shared" si="110"/>
        <v>956715</v>
      </c>
      <c r="AD38" s="23">
        <f t="shared" si="110"/>
        <v>1095</v>
      </c>
      <c r="AE38" s="22">
        <f t="shared" si="110"/>
        <v>603981</v>
      </c>
      <c r="AF38" s="23">
        <f t="shared" si="110"/>
        <v>671</v>
      </c>
      <c r="AG38" s="22">
        <f t="shared" si="110"/>
        <v>598284.43999999994</v>
      </c>
      <c r="AH38" s="23">
        <f t="shared" si="110"/>
        <v>654</v>
      </c>
      <c r="AI38" s="22">
        <f t="shared" si="110"/>
        <v>365329</v>
      </c>
      <c r="AJ38" s="23">
        <f t="shared" si="110"/>
        <v>382</v>
      </c>
      <c r="AK38" s="22">
        <f t="shared" si="110"/>
        <v>261145</v>
      </c>
      <c r="AL38" s="23">
        <f t="shared" si="110"/>
        <v>291</v>
      </c>
      <c r="AM38" s="22">
        <f t="shared" si="110"/>
        <v>261145</v>
      </c>
      <c r="AN38" s="23">
        <f t="shared" si="110"/>
        <v>383</v>
      </c>
      <c r="AO38" s="22">
        <f t="shared" si="110"/>
        <v>330291</v>
      </c>
      <c r="AP38" s="23">
        <f t="shared" si="110"/>
        <v>329</v>
      </c>
      <c r="AQ38" s="22">
        <f t="shared" si="110"/>
        <v>356510</v>
      </c>
      <c r="AR38" s="23">
        <f t="shared" si="110"/>
        <v>298</v>
      </c>
      <c r="AS38" s="22">
        <f t="shared" si="110"/>
        <v>283586</v>
      </c>
      <c r="AT38" s="23">
        <f t="shared" si="110"/>
        <v>267</v>
      </c>
      <c r="AU38" s="22">
        <f t="shared" si="110"/>
        <v>289586</v>
      </c>
      <c r="AV38" s="23">
        <f t="shared" si="110"/>
        <v>376</v>
      </c>
      <c r="AW38" s="22">
        <f t="shared" si="110"/>
        <v>565990</v>
      </c>
      <c r="AX38" s="23">
        <f t="shared" si="110"/>
        <v>449</v>
      </c>
      <c r="AY38" s="22">
        <f t="shared" si="110"/>
        <v>381618</v>
      </c>
      <c r="AZ38" s="23">
        <f t="shared" si="110"/>
        <v>259</v>
      </c>
      <c r="BA38" s="22">
        <f t="shared" si="110"/>
        <v>425133</v>
      </c>
      <c r="BB38" s="23">
        <f t="shared" si="110"/>
        <v>315</v>
      </c>
      <c r="BC38" s="22">
        <f t="shared" si="110"/>
        <v>503960</v>
      </c>
      <c r="BD38" s="23">
        <f t="shared" si="110"/>
        <v>370</v>
      </c>
      <c r="BE38" s="22">
        <f t="shared" si="110"/>
        <v>572431</v>
      </c>
      <c r="BF38" s="23">
        <f t="shared" si="110"/>
        <v>420</v>
      </c>
      <c r="BG38" s="22">
        <f t="shared" si="110"/>
        <v>560766</v>
      </c>
      <c r="BH38" s="23">
        <f t="shared" si="110"/>
        <v>384</v>
      </c>
      <c r="BI38" s="22">
        <f t="shared" si="110"/>
        <v>464432</v>
      </c>
      <c r="BJ38" s="23">
        <f t="shared" si="110"/>
        <v>319</v>
      </c>
      <c r="BK38" s="22">
        <f t="shared" si="110"/>
        <v>466748</v>
      </c>
      <c r="BL38" s="23">
        <f t="shared" si="110"/>
        <v>294</v>
      </c>
      <c r="BM38" s="22">
        <f t="shared" si="110"/>
        <v>578524</v>
      </c>
      <c r="BN38" s="23">
        <f t="shared" si="110"/>
        <v>371</v>
      </c>
      <c r="BO38" s="22">
        <f t="shared" si="110"/>
        <v>618977</v>
      </c>
      <c r="BP38" s="23">
        <f t="shared" si="110"/>
        <v>395</v>
      </c>
      <c r="BQ38" s="22">
        <f t="shared" si="110"/>
        <v>733421</v>
      </c>
      <c r="BR38" s="23">
        <f t="shared" si="110"/>
        <v>514</v>
      </c>
      <c r="BS38" s="22">
        <f t="shared" si="110"/>
        <v>590091</v>
      </c>
      <c r="BT38" s="23">
        <f t="shared" si="110"/>
        <v>449</v>
      </c>
      <c r="BU38" s="22">
        <f t="shared" si="110"/>
        <v>661621</v>
      </c>
      <c r="BV38" s="23">
        <f t="shared" si="110"/>
        <v>470</v>
      </c>
      <c r="BW38" s="22">
        <f t="shared" si="110"/>
        <v>868871.03700000001</v>
      </c>
      <c r="BX38" s="23">
        <f t="shared" si="110"/>
        <v>688</v>
      </c>
      <c r="BY38" s="22">
        <f t="shared" si="110"/>
        <v>919981</v>
      </c>
      <c r="BZ38" s="23">
        <f t="shared" si="110"/>
        <v>723</v>
      </c>
      <c r="CA38" s="22">
        <f t="shared" si="110"/>
        <v>755298</v>
      </c>
      <c r="CB38" s="23">
        <f t="shared" si="110"/>
        <v>524</v>
      </c>
      <c r="CC38" s="22">
        <f t="shared" si="110"/>
        <v>845702</v>
      </c>
      <c r="CD38" s="23">
        <f t="shared" si="110"/>
        <v>550</v>
      </c>
      <c r="CE38" s="22">
        <f t="shared" si="110"/>
        <v>631573</v>
      </c>
      <c r="CF38" s="23">
        <f t="shared" si="110"/>
        <v>399</v>
      </c>
      <c r="CG38" s="22">
        <f t="shared" si="110"/>
        <v>815347</v>
      </c>
      <c r="CH38" s="23">
        <f t="shared" si="110"/>
        <v>554</v>
      </c>
      <c r="CI38" s="22">
        <f t="shared" si="110"/>
        <v>1039591</v>
      </c>
      <c r="CJ38" s="23">
        <f t="shared" si="110"/>
        <v>715</v>
      </c>
      <c r="CK38" s="22">
        <f t="shared" si="110"/>
        <v>967676</v>
      </c>
      <c r="CL38" s="23">
        <f t="shared" si="110"/>
        <v>791</v>
      </c>
      <c r="CM38" s="22">
        <f t="shared" si="110"/>
        <v>670970</v>
      </c>
      <c r="CN38" s="23">
        <f t="shared" si="110"/>
        <v>483</v>
      </c>
      <c r="CO38" s="22">
        <f t="shared" si="110"/>
        <v>749330</v>
      </c>
      <c r="CP38" s="23">
        <f t="shared" si="110"/>
        <v>539</v>
      </c>
      <c r="CQ38" s="22">
        <f t="shared" si="110"/>
        <v>769289</v>
      </c>
      <c r="CR38" s="23">
        <f t="shared" si="110"/>
        <v>581</v>
      </c>
      <c r="CS38" s="22">
        <f t="shared" si="110"/>
        <v>1208060</v>
      </c>
      <c r="CT38" s="23">
        <f t="shared" si="110"/>
        <v>855</v>
      </c>
      <c r="CU38" s="22">
        <f t="shared" si="110"/>
        <v>921041</v>
      </c>
      <c r="CV38" s="23">
        <f t="shared" si="110"/>
        <v>697</v>
      </c>
      <c r="CW38" s="22">
        <f t="shared" si="110"/>
        <v>785253</v>
      </c>
      <c r="CX38" s="23">
        <f t="shared" si="110"/>
        <v>652</v>
      </c>
      <c r="CY38" s="22">
        <f t="shared" si="110"/>
        <v>1019672</v>
      </c>
      <c r="CZ38" s="23">
        <f t="shared" si="110"/>
        <v>847</v>
      </c>
      <c r="DA38" s="22">
        <f t="shared" ref="DA38:DD38" si="111">DA39-DA41</f>
        <v>1190230</v>
      </c>
      <c r="DB38" s="23">
        <f t="shared" si="111"/>
        <v>948</v>
      </c>
      <c r="DC38" s="22">
        <f>DC39-DC41</f>
        <v>948385.65000000177</v>
      </c>
      <c r="DD38" s="23">
        <f t="shared" si="111"/>
        <v>756</v>
      </c>
      <c r="DE38" s="22">
        <f t="shared" ref="DE38:DF38" si="112">DE39-DE41</f>
        <v>813641.59000000102</v>
      </c>
      <c r="DF38" s="23">
        <f t="shared" si="112"/>
        <v>696</v>
      </c>
      <c r="DG38" s="22">
        <f>DG39-DG41</f>
        <v>1295153.9799999988</v>
      </c>
      <c r="DH38" s="23">
        <f t="shared" ref="DH38" si="113">DH39-DH41</f>
        <v>960</v>
      </c>
      <c r="DI38" s="22">
        <f>DI39-DI41</f>
        <v>791629.28999999957</v>
      </c>
      <c r="DJ38" s="23">
        <f t="shared" ref="DJ38" si="114">DJ39-DJ41</f>
        <v>634</v>
      </c>
      <c r="DK38" s="22">
        <f t="shared" ref="DK38:DL38" si="115">DK39-DK41</f>
        <v>1131298.6400000018</v>
      </c>
      <c r="DL38" s="23">
        <f t="shared" si="115"/>
        <v>888</v>
      </c>
      <c r="DM38" s="22">
        <f t="shared" ref="DM38:DN38" si="116">DM39-DM41</f>
        <v>1128076.6200000027</v>
      </c>
      <c r="DN38" s="23">
        <f t="shared" si="116"/>
        <v>962</v>
      </c>
      <c r="DO38" s="22">
        <f>DO39-DO41</f>
        <v>822009.59999999951</v>
      </c>
      <c r="DP38" s="23">
        <f t="shared" ref="DP38:DR38" si="117">DP39-DP41</f>
        <v>669</v>
      </c>
      <c r="DQ38" s="22">
        <f>DQ39-DQ41</f>
        <v>891637.12999999942</v>
      </c>
      <c r="DR38" s="23">
        <f t="shared" si="117"/>
        <v>698</v>
      </c>
      <c r="DS38" s="22">
        <f>DS39-DS41</f>
        <v>996701.66000000155</v>
      </c>
      <c r="DT38" s="23">
        <f t="shared" ref="DT38" si="118">DT39-DT41</f>
        <v>816</v>
      </c>
      <c r="DU38" s="301"/>
      <c r="DV38" s="301"/>
      <c r="DW38" s="301"/>
      <c r="DX38" s="301"/>
      <c r="DY38" s="301"/>
      <c r="DZ38" s="301"/>
      <c r="EA38" s="301"/>
      <c r="EB38" s="301"/>
      <c r="EC38" s="301"/>
      <c r="ED38" s="301"/>
      <c r="EE38" s="301"/>
      <c r="EF38" s="301"/>
      <c r="EG38" s="301"/>
      <c r="EH38" s="301"/>
      <c r="EI38" s="301"/>
      <c r="EJ38" s="301"/>
      <c r="EK38" s="301"/>
      <c r="EL38" s="301"/>
      <c r="EM38" s="301"/>
      <c r="EN38" s="22">
        <f>EN39-EN41</f>
        <v>1007808.5800000003</v>
      </c>
      <c r="EO38" s="23">
        <f t="shared" ref="EO38:EQ38" si="119">EO39-EO41</f>
        <v>812</v>
      </c>
      <c r="EP38" s="22">
        <f>EP39-EP41</f>
        <v>997528.86905097961</v>
      </c>
      <c r="EQ38" s="23">
        <f t="shared" si="119"/>
        <v>890</v>
      </c>
      <c r="ER38" s="22">
        <f>ER39-ER41</f>
        <v>1142606.6000000006</v>
      </c>
      <c r="ES38" s="23">
        <f t="shared" ref="ES38:EU38" si="120">ES39-ES41</f>
        <v>946</v>
      </c>
      <c r="ET38" s="22">
        <f>ET39-ET41</f>
        <v>518283.05000000022</v>
      </c>
      <c r="EU38" s="23">
        <f t="shared" si="120"/>
        <v>412</v>
      </c>
      <c r="EV38" s="22">
        <f>EV39-EV41</f>
        <v>463551.53000000044</v>
      </c>
      <c r="EW38" s="23">
        <f t="shared" ref="EW38:EY38" si="121">EW39-EW41</f>
        <v>308</v>
      </c>
      <c r="EX38" s="22">
        <f>EX39-EX41</f>
        <v>768630.15</v>
      </c>
      <c r="EY38" s="23">
        <f t="shared" si="121"/>
        <v>488</v>
      </c>
      <c r="EZ38" s="22">
        <f>EZ39-EZ41</f>
        <v>1878360.7</v>
      </c>
      <c r="FA38" s="23">
        <f t="shared" ref="FA38:FC38" si="122">FA39-FA41</f>
        <v>1077</v>
      </c>
      <c r="FB38" s="22">
        <f>FB39-FB41</f>
        <v>1739328.9</v>
      </c>
      <c r="FC38" s="23">
        <f t="shared" si="122"/>
        <v>1112</v>
      </c>
      <c r="FD38" s="22">
        <f>FD39-FD41</f>
        <v>1645695</v>
      </c>
      <c r="FE38" s="23">
        <f t="shared" ref="FE38:FG38" si="123">FE39-FE41</f>
        <v>1112</v>
      </c>
      <c r="FF38" s="22">
        <f>FF39-FF41</f>
        <v>1512684.3900000013</v>
      </c>
      <c r="FG38" s="23">
        <f t="shared" si="123"/>
        <v>939</v>
      </c>
      <c r="FH38" s="22">
        <f>FH39-FH41</f>
        <v>0</v>
      </c>
      <c r="FI38" s="23">
        <f t="shared" ref="FI38:FM38" si="124">FI39-FI41</f>
        <v>0</v>
      </c>
      <c r="FJ38" s="22">
        <f>FJ39-FJ41</f>
        <v>0</v>
      </c>
      <c r="FK38" s="23">
        <f t="shared" ref="FK38" si="125">FK39-FK41</f>
        <v>0</v>
      </c>
      <c r="FL38" s="22">
        <f>FL39-FL41</f>
        <v>0</v>
      </c>
      <c r="FM38" s="23">
        <f t="shared" si="124"/>
        <v>0</v>
      </c>
      <c r="FN38" s="22">
        <f>FN39-FN41</f>
        <v>0</v>
      </c>
      <c r="FO38" s="23">
        <f t="shared" ref="FO38:FQ38" si="126">FO39-FO41</f>
        <v>0</v>
      </c>
      <c r="FP38" s="22">
        <f>FP39-FP41</f>
        <v>0</v>
      </c>
      <c r="FQ38" s="23">
        <f t="shared" si="126"/>
        <v>0</v>
      </c>
      <c r="FR38" s="301"/>
      <c r="FS38" s="301"/>
      <c r="FT38" s="301"/>
      <c r="FU38" s="301"/>
      <c r="FV38" s="301"/>
      <c r="FW38" s="301"/>
      <c r="FX38" s="301"/>
      <c r="FY38" s="301"/>
      <c r="FZ38" s="301"/>
      <c r="GA38" s="301"/>
      <c r="GB38" s="301"/>
      <c r="GC38" s="301"/>
      <c r="GD38" s="301"/>
      <c r="GE38" s="301"/>
      <c r="GF38" s="286"/>
      <c r="GG38" s="286"/>
    </row>
    <row r="39" spans="1:189" ht="15" customHeight="1" outlineLevel="1" x14ac:dyDescent="0.3">
      <c r="A39" s="24"/>
      <c r="B39" s="301"/>
      <c r="C39" s="301"/>
      <c r="D39" s="301"/>
      <c r="E39" s="301"/>
      <c r="F39" s="301"/>
      <c r="G39" s="5" t="s">
        <v>44</v>
      </c>
      <c r="H39" s="5"/>
      <c r="I39" s="22">
        <f t="shared" ref="I39:J39" si="127">AG39+AE39+AC39+AA39+Y39+W39+U39+S39+O39+M39+K39</f>
        <v>8181624.8499999996</v>
      </c>
      <c r="J39" s="23">
        <f t="shared" si="127"/>
        <v>8554</v>
      </c>
      <c r="K39" s="22">
        <f t="shared" ref="K39:K41" si="128">L39*$K$5</f>
        <v>730482</v>
      </c>
      <c r="L39" s="23">
        <v>633</v>
      </c>
      <c r="M39" s="22">
        <f t="shared" ref="M39:M41" si="129">N39*$M$5</f>
        <v>557181.64999999991</v>
      </c>
      <c r="N39" s="23">
        <v>505</v>
      </c>
      <c r="O39" s="22">
        <v>486351.12</v>
      </c>
      <c r="P39" s="23">
        <v>533</v>
      </c>
      <c r="Q39" s="22">
        <v>464318.65</v>
      </c>
      <c r="R39" s="23">
        <v>536</v>
      </c>
      <c r="S39" s="22">
        <v>717551</v>
      </c>
      <c r="T39" s="23">
        <v>621</v>
      </c>
      <c r="U39" s="22">
        <v>555117</v>
      </c>
      <c r="V39" s="23">
        <v>492</v>
      </c>
      <c r="W39" s="22">
        <v>884693</v>
      </c>
      <c r="X39" s="23">
        <v>823</v>
      </c>
      <c r="Y39" s="22">
        <v>685689</v>
      </c>
      <c r="Z39" s="23">
        <v>770</v>
      </c>
      <c r="AA39" s="22">
        <v>1051837</v>
      </c>
      <c r="AB39" s="23">
        <v>1301</v>
      </c>
      <c r="AC39" s="22">
        <v>1118587</v>
      </c>
      <c r="AD39" s="23">
        <v>1309</v>
      </c>
      <c r="AE39" s="22">
        <v>714958</v>
      </c>
      <c r="AF39" s="23">
        <v>817</v>
      </c>
      <c r="AG39" s="22">
        <v>679178.08</v>
      </c>
      <c r="AH39" s="23">
        <v>750</v>
      </c>
      <c r="AI39" s="22">
        <v>424142</v>
      </c>
      <c r="AJ39" s="23">
        <v>439</v>
      </c>
      <c r="AK39" s="22">
        <v>312555</v>
      </c>
      <c r="AL39" s="23">
        <v>349</v>
      </c>
      <c r="AM39" s="22">
        <v>312555</v>
      </c>
      <c r="AN39" s="23">
        <v>465</v>
      </c>
      <c r="AO39" s="22">
        <v>385519</v>
      </c>
      <c r="AP39" s="23">
        <v>390</v>
      </c>
      <c r="AQ39" s="22">
        <v>385519</v>
      </c>
      <c r="AR39" s="23">
        <v>329</v>
      </c>
      <c r="AS39" s="22">
        <v>323298</v>
      </c>
      <c r="AT39" s="23">
        <v>297</v>
      </c>
      <c r="AU39" s="22">
        <v>329298</v>
      </c>
      <c r="AV39" s="23">
        <v>457</v>
      </c>
      <c r="AW39" s="22">
        <v>669132</v>
      </c>
      <c r="AX39" s="23">
        <v>529</v>
      </c>
      <c r="AY39" s="22">
        <v>442318</v>
      </c>
      <c r="AZ39" s="23">
        <v>306</v>
      </c>
      <c r="BA39" s="22">
        <v>496566</v>
      </c>
      <c r="BB39" s="23">
        <v>367</v>
      </c>
      <c r="BC39" s="22">
        <v>604069</v>
      </c>
      <c r="BD39" s="23">
        <v>448</v>
      </c>
      <c r="BE39" s="22">
        <v>698679</v>
      </c>
      <c r="BF39" s="23">
        <v>513</v>
      </c>
      <c r="BG39" s="22">
        <v>638683</v>
      </c>
      <c r="BH39" s="23">
        <v>435</v>
      </c>
      <c r="BI39" s="22">
        <v>531267</v>
      </c>
      <c r="BJ39" s="23">
        <v>358</v>
      </c>
      <c r="BK39" s="22">
        <v>531591</v>
      </c>
      <c r="BL39" s="23">
        <v>333</v>
      </c>
      <c r="BM39" s="22">
        <v>669314</v>
      </c>
      <c r="BN39" s="23">
        <v>423</v>
      </c>
      <c r="BO39" s="22">
        <v>724148</v>
      </c>
      <c r="BP39" s="23">
        <v>462</v>
      </c>
      <c r="BQ39" s="22">
        <v>815836</v>
      </c>
      <c r="BR39" s="23">
        <v>587</v>
      </c>
      <c r="BS39" s="22">
        <v>685660</v>
      </c>
      <c r="BT39" s="23">
        <v>515</v>
      </c>
      <c r="BU39" s="22">
        <v>756337</v>
      </c>
      <c r="BV39" s="23">
        <v>545</v>
      </c>
      <c r="BW39" s="22">
        <v>1003000.037</v>
      </c>
      <c r="BX39" s="23">
        <v>791</v>
      </c>
      <c r="BY39" s="22">
        <v>1058945</v>
      </c>
      <c r="BZ39" s="23">
        <v>832</v>
      </c>
      <c r="CA39" s="22">
        <v>876423</v>
      </c>
      <c r="CB39" s="23">
        <v>600</v>
      </c>
      <c r="CC39" s="22">
        <v>985747</v>
      </c>
      <c r="CD39" s="23">
        <v>638</v>
      </c>
      <c r="CE39" s="22">
        <v>727472</v>
      </c>
      <c r="CF39" s="23">
        <v>448</v>
      </c>
      <c r="CG39" s="22">
        <v>928742</v>
      </c>
      <c r="CH39" s="23">
        <v>631</v>
      </c>
      <c r="CI39" s="22">
        <v>1187445</v>
      </c>
      <c r="CJ39" s="23">
        <v>816</v>
      </c>
      <c r="CK39" s="22">
        <v>1197309</v>
      </c>
      <c r="CL39" s="23">
        <v>927</v>
      </c>
      <c r="CM39" s="22">
        <v>801377</v>
      </c>
      <c r="CN39" s="23">
        <v>572</v>
      </c>
      <c r="CO39" s="22">
        <v>858246</v>
      </c>
      <c r="CP39" s="23">
        <v>608</v>
      </c>
      <c r="CQ39" s="22">
        <v>860714</v>
      </c>
      <c r="CR39" s="23">
        <v>653</v>
      </c>
      <c r="CS39" s="22">
        <v>1364207</v>
      </c>
      <c r="CT39" s="23">
        <v>963</v>
      </c>
      <c r="CU39" s="22">
        <v>1113870</v>
      </c>
      <c r="CV39" s="23">
        <v>835</v>
      </c>
      <c r="CW39" s="22">
        <v>918830</v>
      </c>
      <c r="CX39" s="23">
        <v>763</v>
      </c>
      <c r="CY39" s="22">
        <v>1174833</v>
      </c>
      <c r="CZ39" s="23">
        <v>981</v>
      </c>
      <c r="DA39" s="22">
        <v>1319086</v>
      </c>
      <c r="DB39" s="23">
        <v>1064</v>
      </c>
      <c r="DC39" s="22">
        <v>1027834.6500000018</v>
      </c>
      <c r="DD39" s="23">
        <v>819</v>
      </c>
      <c r="DE39" s="22">
        <v>872563.59000000102</v>
      </c>
      <c r="DF39" s="23">
        <v>746</v>
      </c>
      <c r="DG39" s="22">
        <v>1525209.9799999988</v>
      </c>
      <c r="DH39" s="23">
        <v>1182</v>
      </c>
      <c r="DI39" s="22">
        <v>900643.28999999957</v>
      </c>
      <c r="DJ39" s="23">
        <v>706</v>
      </c>
      <c r="DK39" s="22">
        <v>1351781.7200000021</v>
      </c>
      <c r="DL39" s="23">
        <v>1081</v>
      </c>
      <c r="DM39" s="22">
        <v>1256059.1600000027</v>
      </c>
      <c r="DN39" s="23">
        <v>1069</v>
      </c>
      <c r="DO39" s="22">
        <v>907287.48999999953</v>
      </c>
      <c r="DP39" s="23">
        <v>740</v>
      </c>
      <c r="DQ39" s="22">
        <v>1015230.2999999993</v>
      </c>
      <c r="DR39" s="23">
        <v>816</v>
      </c>
      <c r="DS39" s="22">
        <v>1063406.4500000016</v>
      </c>
      <c r="DT39" s="23">
        <v>895</v>
      </c>
      <c r="DU39" s="301"/>
      <c r="DV39" s="301"/>
      <c r="DW39" s="301"/>
      <c r="DX39" s="301"/>
      <c r="DY39" s="301"/>
      <c r="DZ39" s="301"/>
      <c r="EA39" s="301"/>
      <c r="EB39" s="301"/>
      <c r="EC39" s="301"/>
      <c r="ED39" s="301"/>
      <c r="EE39" s="301"/>
      <c r="EF39" s="301"/>
      <c r="EG39" s="301"/>
      <c r="EH39" s="301"/>
      <c r="EI39" s="301"/>
      <c r="EJ39" s="301"/>
      <c r="EK39" s="301"/>
      <c r="EL39" s="301"/>
      <c r="EM39" s="301"/>
      <c r="EN39" s="22">
        <v>1128642.1500000004</v>
      </c>
      <c r="EO39" s="23">
        <v>907</v>
      </c>
      <c r="EP39" s="22">
        <v>1104139.0893268585</v>
      </c>
      <c r="EQ39" s="23">
        <v>1003</v>
      </c>
      <c r="ER39" s="22">
        <v>1259142.5600000005</v>
      </c>
      <c r="ES39" s="23">
        <v>1040</v>
      </c>
      <c r="ET39" s="22">
        <v>558043.36000000022</v>
      </c>
      <c r="EU39" s="23">
        <v>440</v>
      </c>
      <c r="EV39" s="22">
        <v>463551.53000000044</v>
      </c>
      <c r="EW39" s="23">
        <v>308</v>
      </c>
      <c r="EX39" s="22">
        <v>768630.15</v>
      </c>
      <c r="EY39" s="23">
        <v>488</v>
      </c>
      <c r="EZ39" s="22">
        <v>1878360.7</v>
      </c>
      <c r="FA39" s="23">
        <v>1077</v>
      </c>
      <c r="FB39" s="22">
        <v>1739328.9</v>
      </c>
      <c r="FC39" s="23">
        <v>1112</v>
      </c>
      <c r="FD39" s="22">
        <v>1645695</v>
      </c>
      <c r="FE39" s="23">
        <v>1112</v>
      </c>
      <c r="FF39" s="22">
        <v>1512684.3900000013</v>
      </c>
      <c r="FG39" s="23">
        <v>939</v>
      </c>
      <c r="FH39" s="22"/>
      <c r="FI39" s="23"/>
      <c r="FJ39" s="22"/>
      <c r="FK39" s="23"/>
      <c r="FL39" s="22"/>
      <c r="FM39" s="23"/>
      <c r="FN39" s="22"/>
      <c r="FO39" s="23"/>
      <c r="FP39" s="22"/>
      <c r="FQ39" s="23"/>
      <c r="FR39" s="301"/>
      <c r="FS39" s="301"/>
      <c r="FT39" s="301"/>
      <c r="FU39" s="301"/>
      <c r="FV39" s="301"/>
      <c r="FW39" s="301"/>
      <c r="FX39" s="301"/>
      <c r="FY39" s="301"/>
      <c r="FZ39" s="301"/>
      <c r="GA39" s="301"/>
      <c r="GB39" s="301"/>
      <c r="GC39" s="301"/>
      <c r="GD39" s="301"/>
      <c r="GE39" s="301"/>
      <c r="GF39" s="286"/>
      <c r="GG39" s="286"/>
    </row>
    <row r="40" spans="1:189" ht="15" customHeight="1" outlineLevel="1" x14ac:dyDescent="0.3">
      <c r="A40" s="24"/>
      <c r="B40" s="322"/>
      <c r="C40" s="322"/>
      <c r="D40" s="322"/>
      <c r="E40" s="322"/>
      <c r="F40" s="322"/>
      <c r="G40" s="5" t="s">
        <v>412</v>
      </c>
      <c r="H40" s="5"/>
      <c r="I40" s="22"/>
      <c r="J40" s="23"/>
      <c r="K40" s="22"/>
      <c r="L40" s="23"/>
      <c r="M40" s="22"/>
      <c r="N40" s="23"/>
      <c r="O40" s="22"/>
      <c r="P40" s="23"/>
      <c r="Q40" s="22"/>
      <c r="R40" s="23"/>
      <c r="S40" s="22"/>
      <c r="T40" s="23"/>
      <c r="U40" s="22"/>
      <c r="V40" s="23"/>
      <c r="W40" s="22"/>
      <c r="X40" s="23"/>
      <c r="Y40" s="22"/>
      <c r="Z40" s="23"/>
      <c r="AA40" s="22"/>
      <c r="AB40" s="23"/>
      <c r="AC40" s="22"/>
      <c r="AD40" s="23"/>
      <c r="AE40" s="22"/>
      <c r="AF40" s="23"/>
      <c r="AG40" s="22"/>
      <c r="AH40" s="23"/>
      <c r="AI40" s="22"/>
      <c r="AJ40" s="23"/>
      <c r="AK40" s="22"/>
      <c r="AL40" s="23"/>
      <c r="AM40" s="22"/>
      <c r="AN40" s="23"/>
      <c r="AO40" s="22"/>
      <c r="AP40" s="23"/>
      <c r="AQ40" s="22"/>
      <c r="AR40" s="23"/>
      <c r="AS40" s="22"/>
      <c r="AT40" s="23"/>
      <c r="AU40" s="22"/>
      <c r="AV40" s="23"/>
      <c r="AW40" s="22"/>
      <c r="AX40" s="23"/>
      <c r="AY40" s="22"/>
      <c r="AZ40" s="23"/>
      <c r="BA40" s="22"/>
      <c r="BB40" s="23"/>
      <c r="BC40" s="22"/>
      <c r="BD40" s="23"/>
      <c r="BE40" s="22"/>
      <c r="BF40" s="23"/>
      <c r="BG40" s="22"/>
      <c r="BH40" s="23"/>
      <c r="BI40" s="22"/>
      <c r="BJ40" s="23"/>
      <c r="BK40" s="22"/>
      <c r="BL40" s="23"/>
      <c r="BM40" s="22"/>
      <c r="BN40" s="23"/>
      <c r="BO40" s="22"/>
      <c r="BP40" s="23"/>
      <c r="BQ40" s="22"/>
      <c r="BR40" s="23"/>
      <c r="BS40" s="22"/>
      <c r="BT40" s="23"/>
      <c r="BU40" s="22"/>
      <c r="BV40" s="23"/>
      <c r="BW40" s="22"/>
      <c r="BX40" s="23"/>
      <c r="BY40" s="22"/>
      <c r="BZ40" s="23"/>
      <c r="CA40" s="22"/>
      <c r="CB40" s="23"/>
      <c r="CC40" s="22"/>
      <c r="CD40" s="23"/>
      <c r="CE40" s="22"/>
      <c r="CF40" s="23"/>
      <c r="CG40" s="22"/>
      <c r="CH40" s="23"/>
      <c r="CI40" s="22"/>
      <c r="CJ40" s="23"/>
      <c r="CK40" s="22"/>
      <c r="CL40" s="23"/>
      <c r="CM40" s="22"/>
      <c r="CN40" s="23"/>
      <c r="CO40" s="22"/>
      <c r="CP40" s="23"/>
      <c r="CQ40" s="22"/>
      <c r="CR40" s="23"/>
      <c r="CS40" s="22"/>
      <c r="CT40" s="23"/>
      <c r="CU40" s="22"/>
      <c r="CV40" s="23"/>
      <c r="CW40" s="22"/>
      <c r="CX40" s="23"/>
      <c r="CY40" s="22"/>
      <c r="CZ40" s="23"/>
      <c r="DA40" s="22"/>
      <c r="DB40" s="23"/>
      <c r="DC40" s="22"/>
      <c r="DD40" s="23"/>
      <c r="DE40" s="22"/>
      <c r="DF40" s="23"/>
      <c r="DG40" s="22"/>
      <c r="DH40" s="23"/>
      <c r="DI40" s="22"/>
      <c r="DJ40" s="23"/>
      <c r="DK40" s="22"/>
      <c r="DL40" s="23"/>
      <c r="DM40" s="22"/>
      <c r="DN40" s="23"/>
      <c r="DO40" s="22"/>
      <c r="DP40" s="23"/>
      <c r="DQ40" s="22"/>
      <c r="DR40" s="23"/>
      <c r="DS40" s="22">
        <v>11858.91</v>
      </c>
      <c r="DT40" s="23">
        <v>10</v>
      </c>
      <c r="DU40" s="322"/>
      <c r="DV40" s="322"/>
      <c r="DW40" s="322"/>
      <c r="DX40" s="322"/>
      <c r="DY40" s="322"/>
      <c r="DZ40" s="322"/>
      <c r="EA40" s="322"/>
      <c r="EB40" s="322"/>
      <c r="EC40" s="322"/>
      <c r="ED40" s="322"/>
      <c r="EE40" s="322"/>
      <c r="EF40" s="322"/>
      <c r="EG40" s="322"/>
      <c r="EH40" s="322"/>
      <c r="EI40" s="322"/>
      <c r="EJ40" s="322"/>
      <c r="EK40" s="322"/>
      <c r="EL40" s="322"/>
      <c r="EM40" s="322"/>
      <c r="EN40" s="22">
        <v>8102.49</v>
      </c>
      <c r="EO40" s="23">
        <v>10</v>
      </c>
      <c r="EP40" s="22">
        <v>8660.1500244140625</v>
      </c>
      <c r="EQ40" s="23">
        <v>7</v>
      </c>
      <c r="ER40" s="22">
        <v>9604.0299999999988</v>
      </c>
      <c r="ES40" s="23">
        <v>7</v>
      </c>
      <c r="ET40" s="22">
        <v>237.89</v>
      </c>
      <c r="EU40" s="23">
        <v>1</v>
      </c>
      <c r="EV40" s="22">
        <v>340</v>
      </c>
      <c r="EW40" s="23">
        <v>1</v>
      </c>
      <c r="EX40" s="22">
        <v>0</v>
      </c>
      <c r="EY40" s="23">
        <v>0</v>
      </c>
      <c r="EZ40" s="22">
        <v>0</v>
      </c>
      <c r="FA40" s="23">
        <v>0</v>
      </c>
      <c r="FB40" s="22">
        <v>0</v>
      </c>
      <c r="FC40" s="23">
        <v>0</v>
      </c>
      <c r="FD40" s="22">
        <v>0</v>
      </c>
      <c r="FE40" s="23">
        <v>0</v>
      </c>
      <c r="FF40" s="22">
        <v>0</v>
      </c>
      <c r="FG40" s="23">
        <v>0</v>
      </c>
      <c r="FH40" s="22">
        <v>0</v>
      </c>
      <c r="FI40" s="23">
        <v>0</v>
      </c>
      <c r="FJ40" s="22">
        <v>0</v>
      </c>
      <c r="FK40" s="23">
        <v>0</v>
      </c>
      <c r="FL40" s="22">
        <v>0</v>
      </c>
      <c r="FM40" s="23">
        <v>0</v>
      </c>
      <c r="FN40" s="22">
        <v>0</v>
      </c>
      <c r="FO40" s="23">
        <v>0</v>
      </c>
      <c r="FP40" s="22">
        <v>0</v>
      </c>
      <c r="FQ40" s="23">
        <v>0</v>
      </c>
      <c r="FR40" s="322"/>
      <c r="FS40" s="322"/>
      <c r="FT40" s="322"/>
      <c r="FU40" s="322"/>
      <c r="FV40" s="322"/>
      <c r="FW40" s="322"/>
      <c r="FX40" s="322"/>
      <c r="FY40" s="322"/>
      <c r="FZ40" s="322"/>
      <c r="GA40" s="322"/>
      <c r="GB40" s="322"/>
      <c r="GC40" s="322"/>
      <c r="GD40" s="322"/>
      <c r="GE40" s="322"/>
      <c r="GF40" s="293"/>
      <c r="GG40" s="293"/>
    </row>
    <row r="41" spans="1:189" ht="30" customHeight="1" outlineLevel="1" x14ac:dyDescent="0.3">
      <c r="A41" s="24"/>
      <c r="B41" s="302"/>
      <c r="C41" s="302"/>
      <c r="D41" s="302"/>
      <c r="E41" s="302"/>
      <c r="F41" s="302"/>
      <c r="G41" s="5" t="s">
        <v>45</v>
      </c>
      <c r="H41" s="5"/>
      <c r="I41" s="22">
        <f t="shared" ref="I41:J41" si="130">AG41+AE41+AC41+AA41+Y41+W41+U41+S41+O41+M41+K41</f>
        <v>1190260.1399999999</v>
      </c>
      <c r="J41" s="23">
        <f t="shared" si="130"/>
        <v>1385</v>
      </c>
      <c r="K41" s="22">
        <f t="shared" si="128"/>
        <v>143096</v>
      </c>
      <c r="L41" s="23">
        <v>124</v>
      </c>
      <c r="M41" s="22">
        <f t="shared" si="129"/>
        <v>90473.06</v>
      </c>
      <c r="N41" s="23">
        <v>82</v>
      </c>
      <c r="O41" s="22">
        <v>88049.43</v>
      </c>
      <c r="P41" s="23">
        <v>98</v>
      </c>
      <c r="Q41" s="22">
        <v>78006.179999999993</v>
      </c>
      <c r="R41" s="23">
        <v>101</v>
      </c>
      <c r="S41" s="22">
        <v>98819.59</v>
      </c>
      <c r="T41" s="23">
        <v>100</v>
      </c>
      <c r="U41" s="22">
        <v>72061.08</v>
      </c>
      <c r="V41" s="23">
        <v>79</v>
      </c>
      <c r="W41" s="22">
        <v>87155</v>
      </c>
      <c r="X41" s="23">
        <v>83</v>
      </c>
      <c r="Y41" s="22">
        <v>91732.34</v>
      </c>
      <c r="Z41" s="23">
        <v>113</v>
      </c>
      <c r="AA41" s="22">
        <v>165131</v>
      </c>
      <c r="AB41" s="23">
        <v>250</v>
      </c>
      <c r="AC41" s="22">
        <v>161872</v>
      </c>
      <c r="AD41" s="23">
        <v>214</v>
      </c>
      <c r="AE41" s="22">
        <v>110977</v>
      </c>
      <c r="AF41" s="23">
        <v>146</v>
      </c>
      <c r="AG41" s="22">
        <v>80893.64</v>
      </c>
      <c r="AH41" s="23">
        <v>96</v>
      </c>
      <c r="AI41" s="22">
        <v>58813</v>
      </c>
      <c r="AJ41" s="23">
        <v>57</v>
      </c>
      <c r="AK41" s="22">
        <v>51410</v>
      </c>
      <c r="AL41" s="23">
        <v>58</v>
      </c>
      <c r="AM41" s="22">
        <v>51410</v>
      </c>
      <c r="AN41" s="23">
        <v>82</v>
      </c>
      <c r="AO41" s="22">
        <v>55228</v>
      </c>
      <c r="AP41" s="23">
        <v>61</v>
      </c>
      <c r="AQ41" s="22">
        <v>29009</v>
      </c>
      <c r="AR41" s="23">
        <v>31</v>
      </c>
      <c r="AS41" s="22">
        <v>39712</v>
      </c>
      <c r="AT41" s="23">
        <v>30</v>
      </c>
      <c r="AU41" s="22">
        <v>39712</v>
      </c>
      <c r="AV41" s="23">
        <v>81</v>
      </c>
      <c r="AW41" s="22">
        <v>103142</v>
      </c>
      <c r="AX41" s="23">
        <v>80</v>
      </c>
      <c r="AY41" s="22">
        <v>60700</v>
      </c>
      <c r="AZ41" s="23">
        <v>47</v>
      </c>
      <c r="BA41" s="22">
        <v>71433</v>
      </c>
      <c r="BB41" s="23">
        <v>52</v>
      </c>
      <c r="BC41" s="22">
        <v>100109</v>
      </c>
      <c r="BD41" s="23">
        <v>78</v>
      </c>
      <c r="BE41" s="22">
        <v>126248</v>
      </c>
      <c r="BF41" s="23">
        <v>93</v>
      </c>
      <c r="BG41" s="22">
        <v>77917</v>
      </c>
      <c r="BH41" s="23">
        <v>51</v>
      </c>
      <c r="BI41" s="22">
        <v>66835</v>
      </c>
      <c r="BJ41" s="23">
        <v>39</v>
      </c>
      <c r="BK41" s="22">
        <v>64843</v>
      </c>
      <c r="BL41" s="23">
        <v>39</v>
      </c>
      <c r="BM41" s="22">
        <v>90790</v>
      </c>
      <c r="BN41" s="23">
        <v>52</v>
      </c>
      <c r="BO41" s="22">
        <v>105171</v>
      </c>
      <c r="BP41" s="23">
        <v>67</v>
      </c>
      <c r="BQ41" s="22">
        <v>82415</v>
      </c>
      <c r="BR41" s="23">
        <v>73</v>
      </c>
      <c r="BS41" s="22">
        <v>95569</v>
      </c>
      <c r="BT41" s="23">
        <v>66</v>
      </c>
      <c r="BU41" s="22">
        <v>94716</v>
      </c>
      <c r="BV41" s="23">
        <v>75</v>
      </c>
      <c r="BW41" s="22">
        <v>134129</v>
      </c>
      <c r="BX41" s="23">
        <v>103</v>
      </c>
      <c r="BY41" s="22">
        <v>138964</v>
      </c>
      <c r="BZ41" s="23">
        <v>109</v>
      </c>
      <c r="CA41" s="22">
        <v>121125</v>
      </c>
      <c r="CB41" s="23">
        <v>76</v>
      </c>
      <c r="CC41" s="22">
        <v>140045</v>
      </c>
      <c r="CD41" s="23">
        <v>88</v>
      </c>
      <c r="CE41" s="22">
        <v>95899</v>
      </c>
      <c r="CF41" s="23">
        <v>49</v>
      </c>
      <c r="CG41" s="22">
        <v>113395</v>
      </c>
      <c r="CH41" s="23">
        <v>77</v>
      </c>
      <c r="CI41" s="22">
        <v>147854</v>
      </c>
      <c r="CJ41" s="23">
        <v>101</v>
      </c>
      <c r="CK41" s="22">
        <v>229633</v>
      </c>
      <c r="CL41" s="23">
        <v>136</v>
      </c>
      <c r="CM41" s="22">
        <v>130407</v>
      </c>
      <c r="CN41" s="23">
        <v>89</v>
      </c>
      <c r="CO41" s="22">
        <v>108916</v>
      </c>
      <c r="CP41" s="23">
        <v>69</v>
      </c>
      <c r="CQ41" s="22">
        <v>91425</v>
      </c>
      <c r="CR41" s="23">
        <v>72</v>
      </c>
      <c r="CS41" s="22">
        <v>156147</v>
      </c>
      <c r="CT41" s="23">
        <v>108</v>
      </c>
      <c r="CU41" s="22">
        <v>192829</v>
      </c>
      <c r="CV41" s="23">
        <v>138</v>
      </c>
      <c r="CW41" s="22">
        <v>133577</v>
      </c>
      <c r="CX41" s="23">
        <v>111</v>
      </c>
      <c r="CY41" s="22">
        <v>155161</v>
      </c>
      <c r="CZ41" s="23">
        <v>134</v>
      </c>
      <c r="DA41" s="22">
        <v>128856</v>
      </c>
      <c r="DB41" s="23">
        <v>116</v>
      </c>
      <c r="DC41" s="22">
        <v>79449</v>
      </c>
      <c r="DD41" s="23">
        <v>63</v>
      </c>
      <c r="DE41" s="22">
        <v>58922</v>
      </c>
      <c r="DF41" s="23">
        <v>50</v>
      </c>
      <c r="DG41" s="22">
        <v>230056</v>
      </c>
      <c r="DH41" s="23">
        <v>222</v>
      </c>
      <c r="DI41" s="22">
        <v>109014</v>
      </c>
      <c r="DJ41" s="23">
        <v>72</v>
      </c>
      <c r="DK41" s="22">
        <v>220483.08000000031</v>
      </c>
      <c r="DL41" s="23">
        <v>193</v>
      </c>
      <c r="DM41" s="22">
        <v>127982.53999999995</v>
      </c>
      <c r="DN41" s="23">
        <v>107</v>
      </c>
      <c r="DO41" s="22">
        <v>85277.889999999985</v>
      </c>
      <c r="DP41" s="23">
        <v>71</v>
      </c>
      <c r="DQ41" s="22">
        <v>123593.16999999997</v>
      </c>
      <c r="DR41" s="23">
        <v>118</v>
      </c>
      <c r="DS41" s="22">
        <v>66704.789999999979</v>
      </c>
      <c r="DT41" s="23">
        <v>79</v>
      </c>
      <c r="DU41" s="302"/>
      <c r="DV41" s="302"/>
      <c r="DW41" s="302"/>
      <c r="DX41" s="302"/>
      <c r="DY41" s="302"/>
      <c r="DZ41" s="302"/>
      <c r="EA41" s="302"/>
      <c r="EB41" s="302"/>
      <c r="EC41" s="302"/>
      <c r="ED41" s="302"/>
      <c r="EE41" s="302"/>
      <c r="EF41" s="302"/>
      <c r="EG41" s="302"/>
      <c r="EH41" s="302"/>
      <c r="EI41" s="302"/>
      <c r="EJ41" s="302"/>
      <c r="EK41" s="302"/>
      <c r="EL41" s="302"/>
      <c r="EM41" s="302"/>
      <c r="EN41" s="22">
        <v>120833.57</v>
      </c>
      <c r="EO41" s="23">
        <v>95</v>
      </c>
      <c r="EP41" s="22">
        <v>106610.22027587891</v>
      </c>
      <c r="EQ41" s="23">
        <v>113</v>
      </c>
      <c r="ER41" s="22">
        <v>116535.96000000002</v>
      </c>
      <c r="ES41" s="23">
        <v>94</v>
      </c>
      <c r="ET41" s="22">
        <v>39760.31</v>
      </c>
      <c r="EU41" s="23">
        <v>28</v>
      </c>
      <c r="EV41" s="22"/>
      <c r="EW41" s="23"/>
      <c r="EX41" s="22">
        <v>0</v>
      </c>
      <c r="EY41" s="23">
        <v>0</v>
      </c>
      <c r="EZ41" s="22">
        <v>0</v>
      </c>
      <c r="FA41" s="23">
        <v>0</v>
      </c>
      <c r="FB41" s="22">
        <v>0</v>
      </c>
      <c r="FC41" s="23">
        <v>0</v>
      </c>
      <c r="FD41" s="22">
        <v>0</v>
      </c>
      <c r="FE41" s="23">
        <v>0</v>
      </c>
      <c r="FF41" s="22">
        <v>0</v>
      </c>
      <c r="FG41" s="23">
        <v>0</v>
      </c>
      <c r="FH41" s="22">
        <v>0</v>
      </c>
      <c r="FI41" s="23">
        <v>0</v>
      </c>
      <c r="FJ41" s="22">
        <v>0</v>
      </c>
      <c r="FK41" s="23">
        <v>0</v>
      </c>
      <c r="FL41" s="22">
        <v>0</v>
      </c>
      <c r="FM41" s="23">
        <v>0</v>
      </c>
      <c r="FN41" s="22">
        <v>0</v>
      </c>
      <c r="FO41" s="23">
        <v>0</v>
      </c>
      <c r="FP41" s="22">
        <v>0</v>
      </c>
      <c r="FQ41" s="23">
        <v>0</v>
      </c>
      <c r="FR41" s="302"/>
      <c r="FS41" s="302"/>
      <c r="FT41" s="302"/>
      <c r="FU41" s="302"/>
      <c r="FV41" s="302"/>
      <c r="FW41" s="302"/>
      <c r="FX41" s="302"/>
      <c r="FY41" s="302"/>
      <c r="FZ41" s="302"/>
      <c r="GA41" s="302"/>
      <c r="GB41" s="302"/>
      <c r="GC41" s="302"/>
      <c r="GD41" s="302"/>
      <c r="GE41" s="302"/>
      <c r="GF41" s="287"/>
      <c r="GG41" s="287"/>
    </row>
    <row r="42" spans="1:189" ht="8.25" customHeight="1" x14ac:dyDescent="0.3">
      <c r="A42" s="1"/>
      <c r="B42" s="18"/>
      <c r="C42" s="18"/>
      <c r="D42" s="18"/>
      <c r="E42" s="18"/>
      <c r="F42" s="18"/>
      <c r="G42" s="3"/>
      <c r="H42" s="3"/>
      <c r="I42" s="19"/>
      <c r="J42" s="20"/>
      <c r="K42" s="19"/>
      <c r="L42" s="20"/>
      <c r="M42" s="19"/>
      <c r="N42" s="20"/>
      <c r="O42" s="19"/>
      <c r="P42" s="20"/>
      <c r="Q42" s="19"/>
      <c r="R42" s="20"/>
      <c r="S42" s="19"/>
      <c r="T42" s="20"/>
      <c r="U42" s="19"/>
      <c r="V42" s="20"/>
      <c r="W42" s="19"/>
      <c r="X42" s="20"/>
      <c r="Y42" s="19"/>
      <c r="Z42" s="20"/>
      <c r="AA42" s="19"/>
      <c r="AB42" s="20"/>
      <c r="AC42" s="19"/>
      <c r="AD42" s="26"/>
      <c r="AE42" s="19"/>
      <c r="AF42" s="26"/>
      <c r="AG42" s="19"/>
      <c r="AH42" s="26"/>
      <c r="AI42" s="19"/>
      <c r="AJ42" s="26"/>
      <c r="AK42" s="19"/>
      <c r="AL42" s="26"/>
      <c r="AM42" s="19"/>
      <c r="AN42" s="26"/>
      <c r="AO42" s="19"/>
      <c r="AP42" s="26"/>
      <c r="AQ42" s="19"/>
      <c r="AR42" s="26"/>
      <c r="AS42" s="19"/>
      <c r="AT42" s="26"/>
      <c r="AU42" s="19"/>
      <c r="AV42" s="26"/>
      <c r="AW42" s="19"/>
      <c r="AX42" s="26"/>
      <c r="AY42" s="19"/>
      <c r="AZ42" s="26"/>
      <c r="BA42" s="19"/>
      <c r="BB42" s="26"/>
      <c r="BC42" s="19"/>
      <c r="BD42" s="26"/>
      <c r="BE42" s="19"/>
      <c r="BF42" s="26"/>
      <c r="BG42" s="19"/>
      <c r="BH42" s="26"/>
      <c r="BI42" s="19"/>
      <c r="BJ42" s="26"/>
      <c r="BK42" s="19"/>
      <c r="BL42" s="26"/>
      <c r="BM42" s="19"/>
      <c r="BN42" s="26"/>
      <c r="BO42" s="19"/>
      <c r="BP42" s="26"/>
      <c r="BQ42" s="19"/>
      <c r="BR42" s="26"/>
      <c r="BS42" s="19"/>
      <c r="BT42" s="26"/>
      <c r="BU42" s="19"/>
      <c r="BV42" s="26"/>
      <c r="BW42" s="19"/>
      <c r="BX42" s="26"/>
      <c r="BY42" s="19"/>
      <c r="BZ42" s="26"/>
      <c r="CA42" s="19"/>
      <c r="CB42" s="26"/>
      <c r="CC42" s="19"/>
      <c r="CD42" s="26"/>
      <c r="CE42" s="19"/>
      <c r="CF42" s="26"/>
      <c r="CG42" s="19"/>
      <c r="CH42" s="26"/>
      <c r="CI42" s="19"/>
      <c r="CJ42" s="26"/>
      <c r="CK42" s="19"/>
      <c r="CL42" s="26"/>
      <c r="CM42" s="19"/>
      <c r="CN42" s="26"/>
      <c r="CO42" s="19"/>
      <c r="CP42" s="26"/>
      <c r="CQ42" s="19"/>
      <c r="CR42" s="26"/>
      <c r="CS42" s="19"/>
      <c r="CT42" s="26"/>
      <c r="CU42" s="19"/>
      <c r="CV42" s="26"/>
      <c r="CW42" s="19"/>
      <c r="CX42" s="26"/>
      <c r="CY42" s="19"/>
      <c r="CZ42" s="26"/>
      <c r="DA42" s="19"/>
      <c r="DB42" s="26"/>
      <c r="DC42" s="19"/>
      <c r="DD42" s="26"/>
      <c r="DE42" s="19"/>
      <c r="DF42" s="26"/>
      <c r="DG42" s="19"/>
      <c r="DH42" s="26"/>
      <c r="DI42" s="19"/>
      <c r="DJ42" s="26"/>
      <c r="DK42" s="19"/>
      <c r="DL42" s="26"/>
      <c r="DM42" s="19"/>
      <c r="DN42" s="26"/>
      <c r="DO42" s="19"/>
      <c r="DP42" s="26"/>
      <c r="DQ42" s="19"/>
      <c r="DR42" s="26"/>
      <c r="DS42" s="19"/>
      <c r="DT42" s="26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19"/>
      <c r="EO42" s="26"/>
      <c r="EP42" s="19"/>
      <c r="EQ42" s="26"/>
      <c r="ER42" s="19"/>
      <c r="ES42" s="26"/>
      <c r="ET42" s="19"/>
      <c r="EU42" s="26"/>
      <c r="EV42" s="19"/>
      <c r="EW42" s="26"/>
      <c r="EX42" s="19"/>
      <c r="EY42" s="26"/>
      <c r="EZ42" s="19"/>
      <c r="FA42" s="26"/>
      <c r="FB42" s="19"/>
      <c r="FC42" s="26"/>
      <c r="FD42" s="19"/>
      <c r="FE42" s="26"/>
      <c r="FF42" s="19"/>
      <c r="FG42" s="26"/>
      <c r="FH42" s="19"/>
      <c r="FI42" s="26"/>
      <c r="FJ42" s="19"/>
      <c r="FK42" s="26"/>
      <c r="FL42" s="19"/>
      <c r="FM42" s="26"/>
      <c r="FN42" s="19"/>
      <c r="FO42" s="26"/>
      <c r="FP42" s="19"/>
      <c r="FQ42" s="26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</row>
    <row r="43" spans="1:189" ht="15" customHeight="1" x14ac:dyDescent="0.3">
      <c r="A43" s="487"/>
      <c r="B43" s="313" t="s">
        <v>46</v>
      </c>
      <c r="C43" s="313" t="s">
        <v>47</v>
      </c>
      <c r="D43" s="313" t="s">
        <v>25</v>
      </c>
      <c r="E43" s="313" t="s">
        <v>48</v>
      </c>
      <c r="F43" s="313" t="s">
        <v>27</v>
      </c>
      <c r="G43" s="5" t="s">
        <v>28</v>
      </c>
      <c r="H43" s="5"/>
      <c r="I43" s="336">
        <v>2.0999999999999999E-3</v>
      </c>
      <c r="J43" s="281"/>
      <c r="K43" s="336">
        <v>2.0999999999999999E-3</v>
      </c>
      <c r="L43" s="281"/>
      <c r="M43" s="336">
        <v>2.0999999999999999E-3</v>
      </c>
      <c r="N43" s="281"/>
      <c r="O43" s="336">
        <v>2.0999999999999999E-3</v>
      </c>
      <c r="P43" s="281"/>
      <c r="Q43" s="336">
        <v>2.0999999999999999E-3</v>
      </c>
      <c r="R43" s="281"/>
      <c r="S43" s="336">
        <v>2.0999999999999999E-3</v>
      </c>
      <c r="T43" s="281"/>
      <c r="U43" s="336">
        <v>2.0999999999999999E-3</v>
      </c>
      <c r="V43" s="281"/>
      <c r="W43" s="336">
        <v>2.0999999999999999E-3</v>
      </c>
      <c r="X43" s="281"/>
      <c r="Y43" s="336">
        <v>2.0999999999999999E-3</v>
      </c>
      <c r="Z43" s="281"/>
      <c r="AA43" s="336">
        <v>2.0999999999999999E-3</v>
      </c>
      <c r="AB43" s="281"/>
      <c r="AC43" s="336">
        <v>2.0999999999999999E-3</v>
      </c>
      <c r="AD43" s="281"/>
      <c r="AE43" s="336">
        <v>2.0999999999999999E-3</v>
      </c>
      <c r="AF43" s="281"/>
      <c r="AG43" s="336">
        <v>2.0999999999999999E-3</v>
      </c>
      <c r="AH43" s="281"/>
      <c r="AI43" s="336">
        <v>2.0999999999999999E-3</v>
      </c>
      <c r="AJ43" s="281"/>
      <c r="AK43" s="336">
        <v>2.0999999999999999E-3</v>
      </c>
      <c r="AL43" s="281"/>
      <c r="AM43" s="336">
        <v>2.0999999999999999E-3</v>
      </c>
      <c r="AN43" s="281"/>
      <c r="AO43" s="336">
        <v>2.0999999999999999E-3</v>
      </c>
      <c r="AP43" s="281"/>
      <c r="AQ43" s="336">
        <v>2.0999999999999999E-3</v>
      </c>
      <c r="AR43" s="281"/>
      <c r="AS43" s="336">
        <v>2.0999999999999999E-3</v>
      </c>
      <c r="AT43" s="281"/>
      <c r="AU43" s="336">
        <v>2.0999999999999999E-3</v>
      </c>
      <c r="AV43" s="281"/>
      <c r="AW43" s="336">
        <v>2.0999999999999999E-3</v>
      </c>
      <c r="AX43" s="281"/>
      <c r="AY43" s="336">
        <v>2.0999999999999999E-3</v>
      </c>
      <c r="AZ43" s="281"/>
      <c r="BA43" s="336">
        <v>2.0999999999999999E-3</v>
      </c>
      <c r="BB43" s="281"/>
      <c r="BC43" s="336">
        <v>2.0999999999999999E-3</v>
      </c>
      <c r="BD43" s="281"/>
      <c r="BE43" s="336">
        <v>2.0999999999999999E-3</v>
      </c>
      <c r="BF43" s="281"/>
      <c r="BG43" s="336">
        <v>2.0999999999999999E-3</v>
      </c>
      <c r="BH43" s="281"/>
      <c r="BI43" s="336">
        <v>2.0999999999999999E-3</v>
      </c>
      <c r="BJ43" s="281"/>
      <c r="BK43" s="336">
        <v>2.0999999999999999E-3</v>
      </c>
      <c r="BL43" s="281"/>
      <c r="BM43" s="336">
        <v>2.0999999999999999E-3</v>
      </c>
      <c r="BN43" s="281"/>
      <c r="BO43" s="336">
        <v>2.0999999999999999E-3</v>
      </c>
      <c r="BP43" s="281"/>
      <c r="BQ43" s="336">
        <v>2.0999999999999999E-3</v>
      </c>
      <c r="BR43" s="281"/>
      <c r="BS43" s="336">
        <v>2.0999999999999999E-3</v>
      </c>
      <c r="BT43" s="281"/>
      <c r="BU43" s="336">
        <v>2.0999999999999999E-3</v>
      </c>
      <c r="BV43" s="281"/>
      <c r="BW43" s="336">
        <v>2.0999999999999999E-3</v>
      </c>
      <c r="BX43" s="281"/>
      <c r="BY43" s="336">
        <v>2.0999999999999999E-3</v>
      </c>
      <c r="BZ43" s="281"/>
      <c r="CA43" s="336">
        <v>2.0999999999999999E-3</v>
      </c>
      <c r="CB43" s="281"/>
      <c r="CC43" s="336">
        <v>2.0999999999999999E-3</v>
      </c>
      <c r="CD43" s="281"/>
      <c r="CE43" s="336">
        <v>2.0999999999999999E-3</v>
      </c>
      <c r="CF43" s="281"/>
      <c r="CG43" s="336">
        <v>2.0999999999999999E-3</v>
      </c>
      <c r="CH43" s="281"/>
      <c r="CI43" s="336">
        <v>2.0999999999999999E-3</v>
      </c>
      <c r="CJ43" s="281"/>
      <c r="CK43" s="336">
        <v>2.0999999999999999E-3</v>
      </c>
      <c r="CL43" s="281"/>
      <c r="CM43" s="336">
        <v>2.0999999999999999E-3</v>
      </c>
      <c r="CN43" s="281"/>
      <c r="CO43" s="336">
        <v>2.0999999999999999E-3</v>
      </c>
      <c r="CP43" s="281"/>
      <c r="CQ43" s="336">
        <v>2.0999999999999999E-3</v>
      </c>
      <c r="CR43" s="281"/>
      <c r="CS43" s="336">
        <v>2.0999999999999999E-3</v>
      </c>
      <c r="CT43" s="281"/>
      <c r="CU43" s="336">
        <v>2.0999999999999999E-3</v>
      </c>
      <c r="CV43" s="281"/>
      <c r="CW43" s="336">
        <v>2.0999999999999999E-3</v>
      </c>
      <c r="CX43" s="281"/>
      <c r="CY43" s="336">
        <v>2.0999999999999999E-3</v>
      </c>
      <c r="CZ43" s="281"/>
      <c r="DA43" s="336">
        <v>2.0999999999999999E-3</v>
      </c>
      <c r="DB43" s="281"/>
      <c r="DC43" s="336">
        <v>2.0999999999999999E-3</v>
      </c>
      <c r="DD43" s="281"/>
      <c r="DE43" s="336">
        <v>2.0999999999999999E-3</v>
      </c>
      <c r="DF43" s="281"/>
      <c r="DG43" s="336">
        <v>2.0999999999999999E-3</v>
      </c>
      <c r="DH43" s="281"/>
      <c r="DI43" s="336">
        <v>2.0999999999999999E-3</v>
      </c>
      <c r="DJ43" s="281"/>
      <c r="DK43" s="336">
        <v>2.0999999999999999E-3</v>
      </c>
      <c r="DL43" s="281"/>
      <c r="DM43" s="336">
        <v>2.0999999999999999E-3</v>
      </c>
      <c r="DN43" s="281"/>
      <c r="DO43" s="336">
        <v>2.0999999999999999E-3</v>
      </c>
      <c r="DP43" s="281"/>
      <c r="DQ43" s="336">
        <v>2.0999999999999999E-3</v>
      </c>
      <c r="DR43" s="281"/>
      <c r="DS43" s="336">
        <v>2.0999999999999999E-3</v>
      </c>
      <c r="DT43" s="281"/>
      <c r="DU43" s="388" t="s">
        <v>29</v>
      </c>
      <c r="DV43" s="388" t="s">
        <v>29</v>
      </c>
      <c r="DW43" s="388" t="s">
        <v>29</v>
      </c>
      <c r="DX43" s="388" t="s">
        <v>29</v>
      </c>
      <c r="DY43" s="388" t="s">
        <v>29</v>
      </c>
      <c r="DZ43" s="388" t="s">
        <v>29</v>
      </c>
      <c r="EA43" s="388" t="s">
        <v>29</v>
      </c>
      <c r="EB43" s="388" t="s">
        <v>29</v>
      </c>
      <c r="EC43" s="388" t="s">
        <v>29</v>
      </c>
      <c r="ED43" s="388"/>
      <c r="EE43" s="388" t="s">
        <v>29</v>
      </c>
      <c r="EF43" s="388" t="s">
        <v>29</v>
      </c>
      <c r="EG43" s="388" t="s">
        <v>29</v>
      </c>
      <c r="EH43" s="388" t="s">
        <v>29</v>
      </c>
      <c r="EI43" s="388" t="s">
        <v>29</v>
      </c>
      <c r="EJ43" s="388" t="s">
        <v>29</v>
      </c>
      <c r="EK43" s="388"/>
      <c r="EL43" s="388"/>
      <c r="EM43" s="388"/>
      <c r="EN43" s="336">
        <v>2.0999999999999999E-3</v>
      </c>
      <c r="EO43" s="281"/>
      <c r="EP43" s="336">
        <v>2.0999999999999999E-3</v>
      </c>
      <c r="EQ43" s="281"/>
      <c r="ER43" s="336">
        <v>2.0999999999999999E-3</v>
      </c>
      <c r="ES43" s="281"/>
      <c r="ET43" s="336">
        <v>2.0999999999999999E-3</v>
      </c>
      <c r="EU43" s="281"/>
      <c r="EV43" s="336">
        <v>2.0999999999999999E-3</v>
      </c>
      <c r="EW43" s="281"/>
      <c r="EX43" s="336">
        <v>2.0999999999999999E-3</v>
      </c>
      <c r="EY43" s="281"/>
      <c r="EZ43" s="336">
        <v>2.0999999999999999E-3</v>
      </c>
      <c r="FA43" s="281"/>
      <c r="FB43" s="336">
        <v>2.0999999999999999E-3</v>
      </c>
      <c r="FC43" s="281"/>
      <c r="FD43" s="336">
        <v>2.0999999999999999E-3</v>
      </c>
      <c r="FE43" s="281"/>
      <c r="FF43" s="336">
        <v>2.0999999999999999E-3</v>
      </c>
      <c r="FG43" s="281"/>
      <c r="FH43" s="336">
        <v>2.0999999999999999E-3</v>
      </c>
      <c r="FI43" s="281"/>
      <c r="FJ43" s="336">
        <v>2.0999999999999999E-3</v>
      </c>
      <c r="FK43" s="281"/>
      <c r="FL43" s="336">
        <v>2.0999999999999999E-3</v>
      </c>
      <c r="FM43" s="281"/>
      <c r="FN43" s="336">
        <v>2.0999999999999999E-3</v>
      </c>
      <c r="FO43" s="281"/>
      <c r="FP43" s="336">
        <v>2.0999999999999999E-3</v>
      </c>
      <c r="FQ43" s="281"/>
      <c r="FR43" s="388" t="s">
        <v>29</v>
      </c>
      <c r="FS43" s="388" t="s">
        <v>29</v>
      </c>
      <c r="FT43" s="388" t="s">
        <v>29</v>
      </c>
      <c r="FU43" s="388" t="s">
        <v>29</v>
      </c>
      <c r="FV43" s="388" t="s">
        <v>29</v>
      </c>
      <c r="FW43" s="388" t="s">
        <v>29</v>
      </c>
      <c r="FX43" s="388" t="s">
        <v>29</v>
      </c>
      <c r="FY43" s="388" t="s">
        <v>29</v>
      </c>
      <c r="FZ43" s="388" t="s">
        <v>29</v>
      </c>
      <c r="GA43" s="388" t="s">
        <v>29</v>
      </c>
      <c r="GB43" s="388" t="s">
        <v>29</v>
      </c>
      <c r="GC43" s="388"/>
      <c r="GD43" s="388"/>
      <c r="GE43" s="388"/>
      <c r="GF43" s="291" t="s">
        <v>443</v>
      </c>
      <c r="GG43" s="291" t="s">
        <v>443</v>
      </c>
    </row>
    <row r="44" spans="1:189" ht="4.5" customHeight="1" x14ac:dyDescent="0.3">
      <c r="A44" s="450"/>
      <c r="B44" s="301"/>
      <c r="C44" s="301"/>
      <c r="D44" s="301"/>
      <c r="E44" s="301"/>
      <c r="F44" s="301"/>
      <c r="G44" s="5"/>
      <c r="H44" s="5"/>
      <c r="I44" s="328"/>
      <c r="J44" s="281"/>
      <c r="K44" s="328"/>
      <c r="L44" s="281"/>
      <c r="M44" s="351"/>
      <c r="N44" s="281"/>
      <c r="O44" s="328"/>
      <c r="P44" s="281"/>
      <c r="Q44" s="328"/>
      <c r="R44" s="281"/>
      <c r="S44" s="351"/>
      <c r="T44" s="281"/>
      <c r="U44" s="328"/>
      <c r="V44" s="281"/>
      <c r="W44" s="351"/>
      <c r="X44" s="281"/>
      <c r="Y44" s="351"/>
      <c r="Z44" s="281"/>
      <c r="AA44" s="328"/>
      <c r="AB44" s="281"/>
      <c r="AC44" s="328"/>
      <c r="AD44" s="281"/>
      <c r="AE44" s="328"/>
      <c r="AF44" s="281"/>
      <c r="AG44" s="328"/>
      <c r="AH44" s="281"/>
      <c r="AI44" s="328"/>
      <c r="AJ44" s="281"/>
      <c r="AK44" s="328"/>
      <c r="AL44" s="281"/>
      <c r="AM44" s="328"/>
      <c r="AN44" s="281"/>
      <c r="AO44" s="328"/>
      <c r="AP44" s="281"/>
      <c r="AQ44" s="328"/>
      <c r="AR44" s="281"/>
      <c r="AS44" s="328"/>
      <c r="AT44" s="281"/>
      <c r="AU44" s="328"/>
      <c r="AV44" s="281"/>
      <c r="AW44" s="328"/>
      <c r="AX44" s="281"/>
      <c r="AY44" s="328"/>
      <c r="AZ44" s="281"/>
      <c r="BA44" s="328"/>
      <c r="BB44" s="281"/>
      <c r="BC44" s="328"/>
      <c r="BD44" s="281"/>
      <c r="BE44" s="328"/>
      <c r="BF44" s="281"/>
      <c r="BG44" s="328"/>
      <c r="BH44" s="281"/>
      <c r="BI44" s="328"/>
      <c r="BJ44" s="281"/>
      <c r="BK44" s="328"/>
      <c r="BL44" s="281"/>
      <c r="BM44" s="328"/>
      <c r="BN44" s="281"/>
      <c r="BO44" s="328"/>
      <c r="BP44" s="281"/>
      <c r="BQ44" s="328"/>
      <c r="BR44" s="281"/>
      <c r="BS44" s="351"/>
      <c r="BT44" s="281"/>
      <c r="BU44" s="328"/>
      <c r="BV44" s="281"/>
      <c r="BW44" s="328"/>
      <c r="BX44" s="281"/>
      <c r="BY44" s="328"/>
      <c r="BZ44" s="281"/>
      <c r="CA44" s="328"/>
      <c r="CB44" s="281"/>
      <c r="CC44" s="328"/>
      <c r="CD44" s="281"/>
      <c r="CE44" s="328"/>
      <c r="CF44" s="281"/>
      <c r="CG44" s="328"/>
      <c r="CH44" s="281"/>
      <c r="CI44" s="328"/>
      <c r="CJ44" s="281"/>
      <c r="CK44" s="328"/>
      <c r="CL44" s="281"/>
      <c r="CM44" s="328"/>
      <c r="CN44" s="281"/>
      <c r="CO44" s="328"/>
      <c r="CP44" s="281"/>
      <c r="CQ44" s="328"/>
      <c r="CR44" s="281"/>
      <c r="CS44" s="328"/>
      <c r="CT44" s="281"/>
      <c r="CU44" s="328"/>
      <c r="CV44" s="281"/>
      <c r="CW44" s="328"/>
      <c r="CX44" s="281"/>
      <c r="CY44" s="328"/>
      <c r="CZ44" s="281"/>
      <c r="DA44" s="328"/>
      <c r="DB44" s="281"/>
      <c r="DC44" s="328"/>
      <c r="DD44" s="281"/>
      <c r="DE44" s="328"/>
      <c r="DF44" s="281"/>
      <c r="DG44" s="328"/>
      <c r="DH44" s="281"/>
      <c r="DI44" s="328"/>
      <c r="DJ44" s="281"/>
      <c r="DK44" s="328"/>
      <c r="DL44" s="281"/>
      <c r="DM44" s="328"/>
      <c r="DN44" s="281"/>
      <c r="DO44" s="328"/>
      <c r="DP44" s="281"/>
      <c r="DQ44" s="363"/>
      <c r="DR44" s="364"/>
      <c r="DS44" s="328"/>
      <c r="DT44" s="281"/>
      <c r="DU44" s="301"/>
      <c r="DV44" s="301"/>
      <c r="DW44" s="301"/>
      <c r="DX44" s="301"/>
      <c r="DY44" s="301"/>
      <c r="DZ44" s="301"/>
      <c r="EA44" s="301"/>
      <c r="EB44" s="301"/>
      <c r="EC44" s="301"/>
      <c r="ED44" s="301"/>
      <c r="EE44" s="301"/>
      <c r="EF44" s="301"/>
      <c r="EG44" s="301"/>
      <c r="EH44" s="301"/>
      <c r="EI44" s="301"/>
      <c r="EJ44" s="301"/>
      <c r="EK44" s="301"/>
      <c r="EL44" s="301"/>
      <c r="EM44" s="301"/>
      <c r="EN44" s="328"/>
      <c r="EO44" s="281"/>
      <c r="EP44" s="363"/>
      <c r="EQ44" s="364"/>
      <c r="ER44" s="363"/>
      <c r="ES44" s="364"/>
      <c r="ET44" s="363"/>
      <c r="EU44" s="364"/>
      <c r="EV44" s="400"/>
      <c r="EW44" s="362"/>
      <c r="EX44" s="400"/>
      <c r="EY44" s="362"/>
      <c r="EZ44" s="400"/>
      <c r="FA44" s="362"/>
      <c r="FB44" s="363"/>
      <c r="FC44" s="364"/>
      <c r="FD44" s="400"/>
      <c r="FE44" s="362"/>
      <c r="FF44" s="363"/>
      <c r="FG44" s="364"/>
      <c r="FH44" s="363"/>
      <c r="FI44" s="364"/>
      <c r="FJ44" s="363"/>
      <c r="FK44" s="364"/>
      <c r="FL44" s="363"/>
      <c r="FM44" s="364"/>
      <c r="FN44" s="363"/>
      <c r="FO44" s="364"/>
      <c r="FP44" s="363"/>
      <c r="FQ44" s="364"/>
      <c r="FR44" s="301"/>
      <c r="FS44" s="301"/>
      <c r="FT44" s="301"/>
      <c r="FU44" s="301"/>
      <c r="FV44" s="301"/>
      <c r="FW44" s="301"/>
      <c r="FX44" s="301"/>
      <c r="FY44" s="301"/>
      <c r="FZ44" s="301"/>
      <c r="GA44" s="301"/>
      <c r="GB44" s="301"/>
      <c r="GC44" s="301"/>
      <c r="GD44" s="301"/>
      <c r="GE44" s="301"/>
      <c r="GF44" s="289"/>
      <c r="GG44" s="289"/>
    </row>
    <row r="45" spans="1:189" ht="15" customHeight="1" x14ac:dyDescent="0.3">
      <c r="A45" s="450"/>
      <c r="B45" s="301"/>
      <c r="C45" s="301"/>
      <c r="D45" s="301"/>
      <c r="E45" s="301"/>
      <c r="F45" s="301"/>
      <c r="G45" s="5" t="s">
        <v>30</v>
      </c>
      <c r="H45" s="5"/>
      <c r="I45" s="336">
        <f>I46/I2</f>
        <v>1.9746943224318416E-3</v>
      </c>
      <c r="J45" s="281"/>
      <c r="K45" s="336">
        <f>K46/K2</f>
        <v>1.4557710575090535E-3</v>
      </c>
      <c r="L45" s="281"/>
      <c r="M45" s="336">
        <f>M46/M2</f>
        <v>4.7339172076818732E-3</v>
      </c>
      <c r="N45" s="281"/>
      <c r="O45" s="336">
        <f>O46/O2</f>
        <v>1.6940877527186155E-3</v>
      </c>
      <c r="P45" s="281"/>
      <c r="Q45" s="336">
        <f>Q46/Q2</f>
        <v>1.4657304260464121E-3</v>
      </c>
      <c r="R45" s="281"/>
      <c r="S45" s="336">
        <f>S46/S2</f>
        <v>2.9874170099755681E-3</v>
      </c>
      <c r="T45" s="281"/>
      <c r="U45" s="336">
        <f>U46/U2</f>
        <v>1.4470785715889772E-3</v>
      </c>
      <c r="V45" s="281"/>
      <c r="W45" s="336">
        <f>W46/W2</f>
        <v>3.0555677941238981E-3</v>
      </c>
      <c r="X45" s="281"/>
      <c r="Y45" s="336">
        <f>Y46/Y2</f>
        <v>2.8324939286059028E-3</v>
      </c>
      <c r="Z45" s="281"/>
      <c r="AA45" s="336">
        <f>AA46/AA2</f>
        <v>8.8482792413598619E-4</v>
      </c>
      <c r="AB45" s="281"/>
      <c r="AC45" s="336">
        <f>AC46/AC2</f>
        <v>1.406888168372518E-3</v>
      </c>
      <c r="AD45" s="281"/>
      <c r="AE45" s="336">
        <f>AE46/AE2</f>
        <v>1.1200508943941321E-3</v>
      </c>
      <c r="AF45" s="281"/>
      <c r="AG45" s="336">
        <f>AG46/AG2</f>
        <v>1.7394283902698127E-3</v>
      </c>
      <c r="AH45" s="281"/>
      <c r="AI45" s="336">
        <f>AI46/AI2</f>
        <v>1.0746757619977754E-3</v>
      </c>
      <c r="AJ45" s="281"/>
      <c r="AK45" s="336">
        <f>AK46/AK2</f>
        <v>1.7193632301045481E-3</v>
      </c>
      <c r="AL45" s="281"/>
      <c r="AM45" s="336">
        <f>AM46/AM2</f>
        <v>1.3628693617347672E-3</v>
      </c>
      <c r="AN45" s="281"/>
      <c r="AO45" s="336">
        <f>AO46/AO2</f>
        <v>6.9641581860998831E-4</v>
      </c>
      <c r="AP45" s="281"/>
      <c r="AQ45" s="336">
        <f>AQ46/AQ2</f>
        <v>9.33575600029093E-4</v>
      </c>
      <c r="AR45" s="281"/>
      <c r="AS45" s="336">
        <f>AS46/AS2</f>
        <v>1.7094539896943663E-3</v>
      </c>
      <c r="AT45" s="281"/>
      <c r="AU45" s="336">
        <f>AU46/AU2</f>
        <v>7.7462164773332669E-4</v>
      </c>
      <c r="AV45" s="281"/>
      <c r="AW45" s="336">
        <f>AW46/AW2</f>
        <v>5.848487414055085E-4</v>
      </c>
      <c r="AX45" s="281"/>
      <c r="AY45" s="336">
        <f>AY46/AY2</f>
        <v>1.0180255705393665E-3</v>
      </c>
      <c r="AZ45" s="281"/>
      <c r="BA45" s="336">
        <f>BA46/BA2</f>
        <v>7.3744780873111887E-4</v>
      </c>
      <c r="BB45" s="281"/>
      <c r="BC45" s="336">
        <f>BC46/BC2</f>
        <v>6.4223848239275709E-4</v>
      </c>
      <c r="BD45" s="281"/>
      <c r="BE45" s="336">
        <f>BE46/BE2</f>
        <v>8.9620734957745194E-4</v>
      </c>
      <c r="BF45" s="281"/>
      <c r="BG45" s="336">
        <f>BG46/BG2</f>
        <v>8.3667239502741692E-4</v>
      </c>
      <c r="BH45" s="281"/>
      <c r="BI45" s="336">
        <f>BI46/BI2</f>
        <v>1.1670587490402518E-3</v>
      </c>
      <c r="BJ45" s="281"/>
      <c r="BK45" s="336">
        <f>BK46/BK2</f>
        <v>1.8286684547253488E-3</v>
      </c>
      <c r="BL45" s="281"/>
      <c r="BM45" s="336">
        <f>BM46/BM2</f>
        <v>1.1249309880226675E-3</v>
      </c>
      <c r="BN45" s="281"/>
      <c r="BO45" s="336">
        <f>BO46/BO2</f>
        <v>1.1084131133004419E-3</v>
      </c>
      <c r="BP45" s="281"/>
      <c r="BQ45" s="336">
        <f>BQ46/BQ2</f>
        <v>2.1229628597810432E-3</v>
      </c>
      <c r="BR45" s="281"/>
      <c r="BS45" s="336">
        <f>BS46/BS2</f>
        <v>3.8615562579375983E-3</v>
      </c>
      <c r="BT45" s="281"/>
      <c r="BU45" s="336">
        <f>BU46/BU2</f>
        <v>1.2402172039370164E-3</v>
      </c>
      <c r="BV45" s="281"/>
      <c r="BW45" s="336">
        <f>BW46/BW2</f>
        <v>1.6017708279290612E-3</v>
      </c>
      <c r="BX45" s="281"/>
      <c r="BY45" s="336">
        <f>BY46/BY2</f>
        <v>9.6302688969695973E-4</v>
      </c>
      <c r="BZ45" s="281"/>
      <c r="CA45" s="336">
        <f>CA46/CA2</f>
        <v>1.48053479708172E-3</v>
      </c>
      <c r="CB45" s="281"/>
      <c r="CC45" s="336">
        <f>CC46/CC2</f>
        <v>7.481497651949683E-4</v>
      </c>
      <c r="CD45" s="281"/>
      <c r="CE45" s="336">
        <f>CE46/CE2</f>
        <v>5.0735063323970866E-4</v>
      </c>
      <c r="CF45" s="281"/>
      <c r="CG45" s="336">
        <f>CG46/CG2</f>
        <v>8.1996036047727878E-4</v>
      </c>
      <c r="CH45" s="281"/>
      <c r="CI45" s="336">
        <f>CI46/CI2</f>
        <v>1.0156164765056045E-3</v>
      </c>
      <c r="CJ45" s="281"/>
      <c r="CK45" s="336">
        <f>CK46/CK2</f>
        <v>1.1840060839717105E-3</v>
      </c>
      <c r="CL45" s="281"/>
      <c r="CM45" s="336">
        <f>CM46/CM2</f>
        <v>8.7030081190780277E-4</v>
      </c>
      <c r="CN45" s="281"/>
      <c r="CO45" s="336">
        <f>CO46/CO2</f>
        <v>1.4815090148604516E-3</v>
      </c>
      <c r="CP45" s="281"/>
      <c r="CQ45" s="336">
        <f>CQ46/CQ2</f>
        <v>9.4925503333556475E-4</v>
      </c>
      <c r="CR45" s="281"/>
      <c r="CS45" s="336">
        <f>CS46/CS2</f>
        <v>8.0502653440602976E-4</v>
      </c>
      <c r="CT45" s="281"/>
      <c r="CU45" s="336">
        <f>CU46/CU2</f>
        <v>8.0504133728689909E-4</v>
      </c>
      <c r="CV45" s="281"/>
      <c r="CW45" s="336">
        <f>CW46/CW2</f>
        <v>6.7456926664767819E-4</v>
      </c>
      <c r="CX45" s="281"/>
      <c r="CY45" s="336">
        <f>CY46/CY2</f>
        <v>1.7571618318638702E-3</v>
      </c>
      <c r="CZ45" s="281"/>
      <c r="DA45" s="336">
        <f>DA46/DA2</f>
        <v>8.7818516048539534E-4</v>
      </c>
      <c r="DB45" s="281"/>
      <c r="DC45" s="336">
        <f>DC46/DC2</f>
        <v>8.8569838601943753E-4</v>
      </c>
      <c r="DD45" s="281"/>
      <c r="DE45" s="336">
        <f>DE46/DE2</f>
        <v>1.9126427309676868E-3</v>
      </c>
      <c r="DF45" s="281"/>
      <c r="DG45" s="336">
        <f>DG46/DG2</f>
        <v>8.7988813029149331E-4</v>
      </c>
      <c r="DH45" s="281"/>
      <c r="DI45" s="336">
        <f>DI46/DI2</f>
        <v>5.4677355649225675E-4</v>
      </c>
      <c r="DJ45" s="281"/>
      <c r="DK45" s="336">
        <f>DK46/DK2</f>
        <v>1.22053250579242E-3</v>
      </c>
      <c r="DL45" s="281"/>
      <c r="DM45" s="336">
        <f>DM46/DM2</f>
        <v>1.3273070366045211E-3</v>
      </c>
      <c r="DN45" s="281"/>
      <c r="DO45" s="336">
        <f>DO46/DO2</f>
        <v>8.6087660275657653E-4</v>
      </c>
      <c r="DP45" s="281"/>
      <c r="DQ45" s="336">
        <f>DQ46/DQ2</f>
        <v>2.187120301919491E-3</v>
      </c>
      <c r="DR45" s="281"/>
      <c r="DS45" s="336">
        <f>DS46/DS2</f>
        <v>1.4612428120022677E-3</v>
      </c>
      <c r="DT45" s="281"/>
      <c r="DU45" s="301"/>
      <c r="DV45" s="301"/>
      <c r="DW45" s="301"/>
      <c r="DX45" s="301"/>
      <c r="DY45" s="301"/>
      <c r="DZ45" s="301"/>
      <c r="EA45" s="301"/>
      <c r="EB45" s="301"/>
      <c r="EC45" s="301"/>
      <c r="ED45" s="301"/>
      <c r="EE45" s="301"/>
      <c r="EF45" s="301"/>
      <c r="EG45" s="301"/>
      <c r="EH45" s="301"/>
      <c r="EI45" s="301"/>
      <c r="EJ45" s="301"/>
      <c r="EK45" s="301"/>
      <c r="EL45" s="301"/>
      <c r="EM45" s="301"/>
      <c r="EN45" s="336">
        <f>EN46/EN2</f>
        <v>1.0134717683505038E-3</v>
      </c>
      <c r="EO45" s="281"/>
      <c r="EP45" s="336">
        <f>EP46/EP2</f>
        <v>2.3082474180231272E-3</v>
      </c>
      <c r="EQ45" s="281"/>
      <c r="ER45" s="336">
        <f>ER46/ER2</f>
        <v>2.3000635358700235E-3</v>
      </c>
      <c r="ES45" s="281"/>
      <c r="ET45" s="336">
        <f>ET46/ET2</f>
        <v>2.2201461538461538E-3</v>
      </c>
      <c r="EU45" s="281"/>
      <c r="EV45" s="336">
        <f>EV46/EV2</f>
        <v>1.1823096654275092E-3</v>
      </c>
      <c r="EW45" s="281"/>
      <c r="EX45" s="336">
        <f>EX46/EX2</f>
        <v>1.1092952736318407E-3</v>
      </c>
      <c r="EY45" s="281"/>
      <c r="EZ45" s="336">
        <f>EZ46/EZ2</f>
        <v>1.4854525093556034E-3</v>
      </c>
      <c r="FA45" s="281"/>
      <c r="FB45" s="336">
        <f>FB46/FB2</f>
        <v>2.2069767890642118E-3</v>
      </c>
      <c r="FC45" s="281"/>
      <c r="FD45" s="336">
        <f>FD46/FD2</f>
        <v>2.0028979690592543E-3</v>
      </c>
      <c r="FE45" s="281"/>
      <c r="FF45" s="336">
        <f>FF46/FF2</f>
        <v>4.1206304889958171E-3</v>
      </c>
      <c r="FG45" s="281"/>
      <c r="FH45" s="336">
        <f>FH46/FH2</f>
        <v>5.9916811123395019E-3</v>
      </c>
      <c r="FI45" s="281"/>
      <c r="FJ45" s="336">
        <f>FJ46/FJ2</f>
        <v>4.7834581704713011E-3</v>
      </c>
      <c r="FK45" s="281"/>
      <c r="FL45" s="336">
        <f>FL46/FL2</f>
        <v>4.9028958333333338E-3</v>
      </c>
      <c r="FM45" s="281"/>
      <c r="FN45" s="336">
        <f>FN46/FN2</f>
        <v>4.562612170462799E-3</v>
      </c>
      <c r="FO45" s="281"/>
      <c r="FP45" s="336">
        <f>FP46/FP2</f>
        <v>4.4325762749648414E-3</v>
      </c>
      <c r="FQ45" s="281"/>
      <c r="FR45" s="301"/>
      <c r="FS45" s="301"/>
      <c r="FT45" s="301"/>
      <c r="FU45" s="301"/>
      <c r="FV45" s="301"/>
      <c r="FW45" s="301"/>
      <c r="FX45" s="301"/>
      <c r="FY45" s="301"/>
      <c r="FZ45" s="301"/>
      <c r="GA45" s="301"/>
      <c r="GB45" s="301"/>
      <c r="GC45" s="301"/>
      <c r="GD45" s="301"/>
      <c r="GE45" s="301"/>
      <c r="GF45" s="289"/>
      <c r="GG45" s="289"/>
    </row>
    <row r="46" spans="1:189" ht="15" customHeight="1" x14ac:dyDescent="0.3">
      <c r="A46" s="450"/>
      <c r="B46" s="301"/>
      <c r="C46" s="301"/>
      <c r="D46" s="301"/>
      <c r="E46" s="301"/>
      <c r="F46" s="301"/>
      <c r="G46" s="5" t="s">
        <v>49</v>
      </c>
      <c r="H46" s="5"/>
      <c r="I46" s="338">
        <f t="shared" ref="I46:I48" si="131">SUM(K46:AH46)</f>
        <v>520665.86</v>
      </c>
      <c r="J46" s="281"/>
      <c r="K46" s="338">
        <f>SUM(K47:L48)</f>
        <v>27371.41</v>
      </c>
      <c r="L46" s="281"/>
      <c r="M46" s="338">
        <f>SUM(M47:N48)</f>
        <v>74370.25</v>
      </c>
      <c r="N46" s="281"/>
      <c r="O46" s="338">
        <f>SUM(O47:P48)</f>
        <v>30586.69</v>
      </c>
      <c r="P46" s="281"/>
      <c r="Q46" s="338">
        <f>SUM(Q47:R48)</f>
        <v>27600</v>
      </c>
      <c r="R46" s="281"/>
      <c r="S46" s="338">
        <f>SUM(S47:T48)</f>
        <v>58982.48</v>
      </c>
      <c r="T46" s="281"/>
      <c r="U46" s="338">
        <f>SUM(U47:V48)</f>
        <v>34667.78</v>
      </c>
      <c r="V46" s="281"/>
      <c r="W46" s="338">
        <f>SUM(W47:X48)</f>
        <v>70739.010000000009</v>
      </c>
      <c r="X46" s="281"/>
      <c r="Y46" s="338">
        <f>SUM(Y47:Z48)</f>
        <v>70894.06</v>
      </c>
      <c r="Z46" s="281"/>
      <c r="AA46" s="338">
        <f>SUM(AA47:AB48)</f>
        <v>23737</v>
      </c>
      <c r="AB46" s="281"/>
      <c r="AC46" s="338">
        <f>SUM(AC47:AD48)</f>
        <v>35124</v>
      </c>
      <c r="AD46" s="281"/>
      <c r="AE46" s="338">
        <f>SUM(AE47:AF48)</f>
        <v>32444.12</v>
      </c>
      <c r="AF46" s="281"/>
      <c r="AG46" s="338">
        <f>SUM(AG47:AH48)</f>
        <v>34149.06</v>
      </c>
      <c r="AH46" s="281"/>
      <c r="AI46" s="338">
        <f>SUM(AI47:AJ48)</f>
        <v>21510.22</v>
      </c>
      <c r="AJ46" s="281"/>
      <c r="AK46" s="338">
        <f>SUM(AK47:AL48)</f>
        <v>33365</v>
      </c>
      <c r="AL46" s="281"/>
      <c r="AM46" s="338">
        <f>SUM(AM47:AN48)</f>
        <v>23329.61</v>
      </c>
      <c r="AN46" s="281"/>
      <c r="AO46" s="338">
        <f>SUM(AO47:AP48)</f>
        <v>12600</v>
      </c>
      <c r="AP46" s="281"/>
      <c r="AQ46" s="338">
        <f>SUM(AQ47:AR48)</f>
        <v>17033</v>
      </c>
      <c r="AR46" s="281"/>
      <c r="AS46" s="338">
        <f>SUM(AS47:AT48)</f>
        <v>27891</v>
      </c>
      <c r="AT46" s="281"/>
      <c r="AU46" s="338">
        <f>SUM(AU47:AV48)</f>
        <v>15536</v>
      </c>
      <c r="AV46" s="281"/>
      <c r="AW46" s="338">
        <f>SUM(AW47:AX48)</f>
        <v>12600</v>
      </c>
      <c r="AX46" s="281"/>
      <c r="AY46" s="338">
        <f>SUM(AY47:AZ48)</f>
        <v>23069</v>
      </c>
      <c r="AZ46" s="281"/>
      <c r="BA46" s="338">
        <f>SUM(BA47:BB48)</f>
        <v>17148</v>
      </c>
      <c r="BB46" s="281"/>
      <c r="BC46" s="338">
        <f>SUM(BC47:BD48)</f>
        <v>20184</v>
      </c>
      <c r="BD46" s="281"/>
      <c r="BE46" s="338">
        <f>SUM(BE47:BF48)</f>
        <v>23731.739999999998</v>
      </c>
      <c r="BF46" s="281"/>
      <c r="BG46" s="338">
        <f>SUM(BG47:BH48)</f>
        <v>17041.55</v>
      </c>
      <c r="BH46" s="281"/>
      <c r="BI46" s="338">
        <f>SUM(BI47:BJ48)</f>
        <v>24625.620000000003</v>
      </c>
      <c r="BJ46" s="281"/>
      <c r="BK46" s="338">
        <f>SUM(BK47:BL48)</f>
        <v>43399.11</v>
      </c>
      <c r="BL46" s="281"/>
      <c r="BM46" s="338">
        <f>SUM(BM47:BN48)</f>
        <v>25168</v>
      </c>
      <c r="BN46" s="281"/>
      <c r="BO46" s="338">
        <f>SUM(BO47:BP48)</f>
        <v>25585</v>
      </c>
      <c r="BP46" s="281"/>
      <c r="BQ46" s="338">
        <f>SUM(BQ47:BR48)</f>
        <v>45905</v>
      </c>
      <c r="BR46" s="281"/>
      <c r="BS46" s="338">
        <f>SUM(BS47:BT48)</f>
        <v>88313</v>
      </c>
      <c r="BT46" s="281"/>
      <c r="BU46" s="338">
        <f>SUM(BU47:BV48)</f>
        <v>32103</v>
      </c>
      <c r="BV46" s="281"/>
      <c r="BW46" s="338">
        <f>SUM(BW47:BX48)</f>
        <v>38870.28</v>
      </c>
      <c r="BX46" s="281"/>
      <c r="BY46" s="338">
        <f>SUM(BY47:BZ48)</f>
        <v>22670.46</v>
      </c>
      <c r="BZ46" s="281"/>
      <c r="CA46" s="338">
        <f>SUM(CA47:CB48)</f>
        <v>40972.28</v>
      </c>
      <c r="CB46" s="281"/>
      <c r="CC46" s="338">
        <f>SUM(CC47:CD48)</f>
        <v>22824.77</v>
      </c>
      <c r="CD46" s="281"/>
      <c r="CE46" s="338">
        <f>SUM(CE47:CF48)</f>
        <v>13551.79</v>
      </c>
      <c r="CF46" s="281"/>
      <c r="CG46" s="338">
        <f>SUM(CG47:CH48)</f>
        <v>23099</v>
      </c>
      <c r="CH46" s="281"/>
      <c r="CI46" s="338">
        <f>SUM(CI47:CJ48)</f>
        <v>35039</v>
      </c>
      <c r="CJ46" s="281"/>
      <c r="CK46" s="338">
        <f>SUM(CK47:CL48)</f>
        <v>36674</v>
      </c>
      <c r="CL46" s="281"/>
      <c r="CM46" s="338">
        <f>SUM(CM47:CN48)</f>
        <v>26680</v>
      </c>
      <c r="CN46" s="281"/>
      <c r="CO46" s="338">
        <f>SUM(CO47:CP48)</f>
        <v>38343</v>
      </c>
      <c r="CP46" s="281"/>
      <c r="CQ46" s="338">
        <f>SUM(CQ47:CR48)</f>
        <v>23213</v>
      </c>
      <c r="CR46" s="281"/>
      <c r="CS46" s="338">
        <f>SUM(CS47:CT48)</f>
        <v>26502</v>
      </c>
      <c r="CT46" s="281"/>
      <c r="CU46" s="338">
        <f>SUM(CU47:CV48)</f>
        <v>25145.95</v>
      </c>
      <c r="CV46" s="281"/>
      <c r="CW46" s="338">
        <f>SUM(CW47:CX48)</f>
        <v>20697</v>
      </c>
      <c r="CX46" s="281"/>
      <c r="CY46" s="338">
        <f>SUM(CY47:CZ48)</f>
        <v>65136</v>
      </c>
      <c r="CZ46" s="281"/>
      <c r="DA46" s="338">
        <f>SUM(DA47:DB48)</f>
        <v>30733.45</v>
      </c>
      <c r="DB46" s="281"/>
      <c r="DC46" s="338">
        <f>SUM(DC47:DD48)</f>
        <v>27415</v>
      </c>
      <c r="DD46" s="281"/>
      <c r="DE46" s="338">
        <f>SUM(DE47:DF48)</f>
        <v>51656.280000000013</v>
      </c>
      <c r="DF46" s="281"/>
      <c r="DG46" s="338">
        <f>SUM(DG47:DH48)</f>
        <v>30395.9</v>
      </c>
      <c r="DH46" s="281"/>
      <c r="DI46" s="338">
        <f>SUM(DI47:DJ48)</f>
        <v>17344.21</v>
      </c>
      <c r="DJ46" s="281"/>
      <c r="DK46" s="338">
        <f>SUM(DK47:DL48)</f>
        <v>42872.52</v>
      </c>
      <c r="DL46" s="281"/>
      <c r="DM46" s="338">
        <f>SUM(DM47:DN48)</f>
        <v>44893.19</v>
      </c>
      <c r="DN46" s="281"/>
      <c r="DO46" s="338">
        <f>SUM(DO47:DP48)</f>
        <v>29875.29</v>
      </c>
      <c r="DP46" s="281"/>
      <c r="DQ46" s="338">
        <f>SUM(DQ47:DR48)</f>
        <v>77376.899999999994</v>
      </c>
      <c r="DR46" s="281"/>
      <c r="DS46" s="338">
        <f>SUM(DS47:DT48)</f>
        <v>44328.75</v>
      </c>
      <c r="DT46" s="281"/>
      <c r="DU46" s="301"/>
      <c r="DV46" s="301"/>
      <c r="DW46" s="301"/>
      <c r="DX46" s="301"/>
      <c r="DY46" s="301"/>
      <c r="DZ46" s="301"/>
      <c r="EA46" s="301"/>
      <c r="EB46" s="301"/>
      <c r="EC46" s="301"/>
      <c r="ED46" s="301"/>
      <c r="EE46" s="301"/>
      <c r="EF46" s="301"/>
      <c r="EG46" s="301"/>
      <c r="EH46" s="301"/>
      <c r="EI46" s="301"/>
      <c r="EJ46" s="301"/>
      <c r="EK46" s="301"/>
      <c r="EL46" s="301"/>
      <c r="EM46" s="301"/>
      <c r="EN46" s="338">
        <f>SUM(EN47:EO48)</f>
        <v>32989.629999999997</v>
      </c>
      <c r="EO46" s="281"/>
      <c r="EP46" s="338">
        <f>SUM(EP47:EQ48)</f>
        <v>90197.88</v>
      </c>
      <c r="EQ46" s="281"/>
      <c r="ER46" s="338">
        <f>SUM(ER47:ES48)</f>
        <v>79921</v>
      </c>
      <c r="ES46" s="281"/>
      <c r="ET46" s="338">
        <f>SUM(ET47:EU48)</f>
        <v>46179.040000000001</v>
      </c>
      <c r="EU46" s="281"/>
      <c r="EV46" s="338">
        <f>SUM(EV47:EW48)</f>
        <v>31804.129999999997</v>
      </c>
      <c r="EW46" s="281"/>
      <c r="EX46" s="338">
        <f>SUM(EX47:EY48)</f>
        <v>44593.67</v>
      </c>
      <c r="EY46" s="281"/>
      <c r="EZ46" s="338">
        <f>SUM(EZ47:FA48)</f>
        <v>56455.86</v>
      </c>
      <c r="FA46" s="281"/>
      <c r="FB46" s="338">
        <f>SUM(FB47:FC48)</f>
        <v>84172.85</v>
      </c>
      <c r="FC46" s="281"/>
      <c r="FD46" s="338">
        <f>SUM(FD47:FE48)</f>
        <v>77151.790000000008</v>
      </c>
      <c r="FE46" s="281"/>
      <c r="FF46" s="338">
        <f>SUM(FF47:FG48)</f>
        <v>146787.72</v>
      </c>
      <c r="FG46" s="281"/>
      <c r="FH46" s="338">
        <f>SUM(FH47:FI48)</f>
        <v>181736.43</v>
      </c>
      <c r="FI46" s="281"/>
      <c r="FJ46" s="338">
        <f>SUM(FJ47:FK48)</f>
        <v>125585.26</v>
      </c>
      <c r="FK46" s="281"/>
      <c r="FL46" s="338">
        <f>SUM(FL47:FM48)</f>
        <v>117669.5</v>
      </c>
      <c r="FM46" s="281"/>
      <c r="FN46" s="338">
        <f>SUM(FN47:FO48)</f>
        <v>85800.84</v>
      </c>
      <c r="FO46" s="281"/>
      <c r="FP46" s="338">
        <f>SUM(FP47:FQ48)</f>
        <v>76100.37</v>
      </c>
      <c r="FQ46" s="281"/>
      <c r="FR46" s="301"/>
      <c r="FS46" s="301"/>
      <c r="FT46" s="301"/>
      <c r="FU46" s="301"/>
      <c r="FV46" s="301"/>
      <c r="FW46" s="301"/>
      <c r="FX46" s="301"/>
      <c r="FY46" s="301"/>
      <c r="FZ46" s="301"/>
      <c r="GA46" s="301"/>
      <c r="GB46" s="301"/>
      <c r="GC46" s="301"/>
      <c r="GD46" s="301"/>
      <c r="GE46" s="301"/>
      <c r="GF46" s="289"/>
      <c r="GG46" s="289"/>
    </row>
    <row r="47" spans="1:189" ht="15" customHeight="1" outlineLevel="1" x14ac:dyDescent="0.3">
      <c r="A47" s="450"/>
      <c r="B47" s="301"/>
      <c r="C47" s="301"/>
      <c r="D47" s="301"/>
      <c r="E47" s="301"/>
      <c r="F47" s="301"/>
      <c r="G47" s="5" t="s">
        <v>50</v>
      </c>
      <c r="H47" s="5"/>
      <c r="I47" s="338">
        <f t="shared" si="131"/>
        <v>151200</v>
      </c>
      <c r="J47" s="281"/>
      <c r="K47" s="382">
        <f>21000*60%</f>
        <v>12600</v>
      </c>
      <c r="L47" s="281"/>
      <c r="M47" s="382">
        <f>21000*60%</f>
        <v>12600</v>
      </c>
      <c r="N47" s="281"/>
      <c r="O47" s="382">
        <f>21000*60%</f>
        <v>12600</v>
      </c>
      <c r="P47" s="281"/>
      <c r="Q47" s="382">
        <f>21000*60%</f>
        <v>12600</v>
      </c>
      <c r="R47" s="281"/>
      <c r="S47" s="382">
        <f>21000*60%</f>
        <v>12600</v>
      </c>
      <c r="T47" s="281"/>
      <c r="U47" s="382">
        <f>21000*60%</f>
        <v>12600</v>
      </c>
      <c r="V47" s="281"/>
      <c r="W47" s="382">
        <f>21000*60%</f>
        <v>12600</v>
      </c>
      <c r="X47" s="281"/>
      <c r="Y47" s="382">
        <f>21000*60%</f>
        <v>12600</v>
      </c>
      <c r="Z47" s="281"/>
      <c r="AA47" s="382">
        <f>21000*60%</f>
        <v>12600</v>
      </c>
      <c r="AB47" s="281"/>
      <c r="AC47" s="382">
        <f>21000*60%</f>
        <v>12600</v>
      </c>
      <c r="AD47" s="281"/>
      <c r="AE47" s="382">
        <f>21000*60%</f>
        <v>12600</v>
      </c>
      <c r="AF47" s="281"/>
      <c r="AG47" s="382">
        <f>21000*60%</f>
        <v>12600</v>
      </c>
      <c r="AH47" s="281"/>
      <c r="AI47" s="382">
        <f>21000*60%</f>
        <v>12600</v>
      </c>
      <c r="AJ47" s="281"/>
      <c r="AK47" s="382">
        <f>21000*60%</f>
        <v>12600</v>
      </c>
      <c r="AL47" s="281"/>
      <c r="AM47" s="382">
        <f>21000*60%</f>
        <v>12600</v>
      </c>
      <c r="AN47" s="281"/>
      <c r="AO47" s="382">
        <f>21000*60%</f>
        <v>12600</v>
      </c>
      <c r="AP47" s="281"/>
      <c r="AQ47" s="382">
        <f>21000*60%</f>
        <v>12600</v>
      </c>
      <c r="AR47" s="281"/>
      <c r="AS47" s="382">
        <f>21000*60%</f>
        <v>12600</v>
      </c>
      <c r="AT47" s="281"/>
      <c r="AU47" s="382">
        <f>21000*60%</f>
        <v>12600</v>
      </c>
      <c r="AV47" s="281"/>
      <c r="AW47" s="382">
        <f>21000*60%</f>
        <v>12600</v>
      </c>
      <c r="AX47" s="281"/>
      <c r="AY47" s="382">
        <f>21000*60%</f>
        <v>12600</v>
      </c>
      <c r="AZ47" s="281"/>
      <c r="BA47" s="382">
        <f>21000*60%</f>
        <v>12600</v>
      </c>
      <c r="BB47" s="281"/>
      <c r="BC47" s="382">
        <f>21000*60%</f>
        <v>12600</v>
      </c>
      <c r="BD47" s="281"/>
      <c r="BE47" s="382">
        <f>21000*60%</f>
        <v>12600</v>
      </c>
      <c r="BF47" s="281"/>
      <c r="BG47" s="382">
        <f>21000*60%</f>
        <v>12600</v>
      </c>
      <c r="BH47" s="281"/>
      <c r="BI47" s="382">
        <f>21000*60%</f>
        <v>12600</v>
      </c>
      <c r="BJ47" s="281"/>
      <c r="BK47" s="382">
        <f>21000*60%</f>
        <v>12600</v>
      </c>
      <c r="BL47" s="281"/>
      <c r="BM47" s="382">
        <f>21000*60%</f>
        <v>12600</v>
      </c>
      <c r="BN47" s="281"/>
      <c r="BO47" s="382">
        <f>21000*60%</f>
        <v>12600</v>
      </c>
      <c r="BP47" s="281"/>
      <c r="BQ47" s="382">
        <f>21000*60%</f>
        <v>12600</v>
      </c>
      <c r="BR47" s="281"/>
      <c r="BS47" s="382">
        <f>21000*60%</f>
        <v>12600</v>
      </c>
      <c r="BT47" s="281"/>
      <c r="BU47" s="382">
        <f>21000*60%</f>
        <v>12600</v>
      </c>
      <c r="BV47" s="281"/>
      <c r="BW47" s="382">
        <f>21000*60%</f>
        <v>12600</v>
      </c>
      <c r="BX47" s="281"/>
      <c r="BY47" s="382">
        <f>21000*60%</f>
        <v>12600</v>
      </c>
      <c r="BZ47" s="281"/>
      <c r="CA47" s="382">
        <f>21000*60%</f>
        <v>12600</v>
      </c>
      <c r="CB47" s="281"/>
      <c r="CC47" s="382">
        <f>21000*60%</f>
        <v>12600</v>
      </c>
      <c r="CD47" s="281"/>
      <c r="CE47" s="382">
        <f>21000*60%</f>
        <v>12600</v>
      </c>
      <c r="CF47" s="281"/>
      <c r="CG47" s="382">
        <f>21000*60%</f>
        <v>12600</v>
      </c>
      <c r="CH47" s="281"/>
      <c r="CI47" s="382">
        <f>21000*60%</f>
        <v>12600</v>
      </c>
      <c r="CJ47" s="281"/>
      <c r="CK47" s="382">
        <f>21000*60%</f>
        <v>12600</v>
      </c>
      <c r="CL47" s="281"/>
      <c r="CM47" s="382">
        <f>21000*60%</f>
        <v>12600</v>
      </c>
      <c r="CN47" s="281"/>
      <c r="CO47" s="382">
        <f>21000*60%</f>
        <v>12600</v>
      </c>
      <c r="CP47" s="281"/>
      <c r="CQ47" s="382">
        <f>21000*60%</f>
        <v>12600</v>
      </c>
      <c r="CR47" s="281"/>
      <c r="CS47" s="382">
        <f>21000*60%</f>
        <v>12600</v>
      </c>
      <c r="CT47" s="281"/>
      <c r="CU47" s="382">
        <f>21000*60%</f>
        <v>12600</v>
      </c>
      <c r="CV47" s="281"/>
      <c r="CW47" s="382">
        <f>21000*60%</f>
        <v>12600</v>
      </c>
      <c r="CX47" s="281"/>
      <c r="CY47" s="382">
        <f>21000*60%</f>
        <v>12600</v>
      </c>
      <c r="CZ47" s="281"/>
      <c r="DA47" s="382">
        <f>21000*60%</f>
        <v>12600</v>
      </c>
      <c r="DB47" s="281"/>
      <c r="DC47" s="382">
        <f>21000*60%</f>
        <v>12600</v>
      </c>
      <c r="DD47" s="281"/>
      <c r="DE47" s="382">
        <f>21000*60%</f>
        <v>12600</v>
      </c>
      <c r="DF47" s="281"/>
      <c r="DG47" s="382">
        <f>21000*60%</f>
        <v>12600</v>
      </c>
      <c r="DH47" s="281"/>
      <c r="DI47" s="382">
        <f>21000*60%</f>
        <v>12600</v>
      </c>
      <c r="DJ47" s="281"/>
      <c r="DK47" s="382">
        <f>21000*60%</f>
        <v>12600</v>
      </c>
      <c r="DL47" s="281"/>
      <c r="DM47" s="382">
        <f>21000*60%</f>
        <v>12600</v>
      </c>
      <c r="DN47" s="281"/>
      <c r="DO47" s="382">
        <f>21000*60%</f>
        <v>12600</v>
      </c>
      <c r="DP47" s="281"/>
      <c r="DQ47" s="382">
        <f>21000*60%</f>
        <v>12600</v>
      </c>
      <c r="DR47" s="281"/>
      <c r="DS47" s="382">
        <f>21000*60%</f>
        <v>12600</v>
      </c>
      <c r="DT47" s="281"/>
      <c r="DU47" s="301"/>
      <c r="DV47" s="301"/>
      <c r="DW47" s="301"/>
      <c r="DX47" s="301"/>
      <c r="DY47" s="301"/>
      <c r="DZ47" s="301"/>
      <c r="EA47" s="301"/>
      <c r="EB47" s="301"/>
      <c r="EC47" s="301"/>
      <c r="ED47" s="301"/>
      <c r="EE47" s="301"/>
      <c r="EF47" s="301"/>
      <c r="EG47" s="301"/>
      <c r="EH47" s="301"/>
      <c r="EI47" s="301"/>
      <c r="EJ47" s="301"/>
      <c r="EK47" s="301"/>
      <c r="EL47" s="301"/>
      <c r="EM47" s="301"/>
      <c r="EN47" s="382">
        <f>35000*60%</f>
        <v>21000</v>
      </c>
      <c r="EO47" s="281"/>
      <c r="EP47" s="382">
        <f>35000*60%</f>
        <v>21000</v>
      </c>
      <c r="EQ47" s="281"/>
      <c r="ER47" s="382">
        <f>35000*60%</f>
        <v>21000</v>
      </c>
      <c r="ES47" s="281"/>
      <c r="ET47" s="382">
        <f>35000*60%</f>
        <v>21000</v>
      </c>
      <c r="EU47" s="281"/>
      <c r="EV47" s="382">
        <f>35000*60%</f>
        <v>21000</v>
      </c>
      <c r="EW47" s="281"/>
      <c r="EX47" s="382">
        <f>35000*60%</f>
        <v>21000</v>
      </c>
      <c r="EY47" s="281"/>
      <c r="EZ47" s="382">
        <f>35000*60%</f>
        <v>21000</v>
      </c>
      <c r="FA47" s="281"/>
      <c r="FB47" s="382">
        <f>35000*60%</f>
        <v>21000</v>
      </c>
      <c r="FC47" s="281"/>
      <c r="FD47" s="382">
        <f>35000*60%</f>
        <v>21000</v>
      </c>
      <c r="FE47" s="281"/>
      <c r="FF47" s="382">
        <f>35000*60%</f>
        <v>21000</v>
      </c>
      <c r="FG47" s="281"/>
      <c r="FH47" s="382">
        <f>35000*60%</f>
        <v>21000</v>
      </c>
      <c r="FI47" s="281"/>
      <c r="FJ47" s="382">
        <f>35000*60%</f>
        <v>21000</v>
      </c>
      <c r="FK47" s="281"/>
      <c r="FL47" s="382">
        <f>35000*60%</f>
        <v>21000</v>
      </c>
      <c r="FM47" s="281"/>
      <c r="FN47" s="382">
        <f>35000*60%</f>
        <v>21000</v>
      </c>
      <c r="FO47" s="281"/>
      <c r="FP47" s="382">
        <f>35000*60%</f>
        <v>21000</v>
      </c>
      <c r="FQ47" s="281"/>
      <c r="FR47" s="301"/>
      <c r="FS47" s="301"/>
      <c r="FT47" s="301"/>
      <c r="FU47" s="301"/>
      <c r="FV47" s="301"/>
      <c r="FW47" s="301"/>
      <c r="FX47" s="301"/>
      <c r="FY47" s="301"/>
      <c r="FZ47" s="301"/>
      <c r="GA47" s="301"/>
      <c r="GB47" s="301"/>
      <c r="GC47" s="301"/>
      <c r="GD47" s="301"/>
      <c r="GE47" s="301"/>
      <c r="GF47" s="289"/>
      <c r="GG47" s="289"/>
    </row>
    <row r="48" spans="1:189" ht="15" customHeight="1" outlineLevel="1" x14ac:dyDescent="0.3">
      <c r="A48" s="450"/>
      <c r="B48" s="301"/>
      <c r="C48" s="301"/>
      <c r="D48" s="301"/>
      <c r="E48" s="301"/>
      <c r="F48" s="301"/>
      <c r="G48" s="5" t="s">
        <v>51</v>
      </c>
      <c r="H48" s="5"/>
      <c r="I48" s="338">
        <f t="shared" si="131"/>
        <v>369465.86000000004</v>
      </c>
      <c r="J48" s="281"/>
      <c r="K48" s="338">
        <v>14771.41</v>
      </c>
      <c r="L48" s="281"/>
      <c r="M48" s="338">
        <v>61770.25</v>
      </c>
      <c r="N48" s="281"/>
      <c r="O48" s="338">
        <v>17986.689999999999</v>
      </c>
      <c r="P48" s="281"/>
      <c r="Q48" s="338">
        <v>15000</v>
      </c>
      <c r="R48" s="281"/>
      <c r="S48" s="338">
        <v>46382.48</v>
      </c>
      <c r="T48" s="281"/>
      <c r="U48" s="338">
        <v>22067.78</v>
      </c>
      <c r="V48" s="281"/>
      <c r="W48" s="338">
        <v>58139.01</v>
      </c>
      <c r="X48" s="281"/>
      <c r="Y48" s="338">
        <v>58294.06</v>
      </c>
      <c r="Z48" s="281"/>
      <c r="AA48" s="338">
        <v>11137</v>
      </c>
      <c r="AB48" s="281"/>
      <c r="AC48" s="338">
        <v>22524</v>
      </c>
      <c r="AD48" s="281"/>
      <c r="AE48" s="338">
        <v>19844.12</v>
      </c>
      <c r="AF48" s="281"/>
      <c r="AG48" s="338">
        <v>21549.06</v>
      </c>
      <c r="AH48" s="281"/>
      <c r="AI48" s="338">
        <v>8910.2199999999993</v>
      </c>
      <c r="AJ48" s="281"/>
      <c r="AK48" s="338">
        <v>20765</v>
      </c>
      <c r="AL48" s="281"/>
      <c r="AM48" s="338">
        <v>10729.61</v>
      </c>
      <c r="AN48" s="281"/>
      <c r="AO48" s="338">
        <v>0</v>
      </c>
      <c r="AP48" s="281"/>
      <c r="AQ48" s="338">
        <v>4433</v>
      </c>
      <c r="AR48" s="281"/>
      <c r="AS48" s="338">
        <v>15291</v>
      </c>
      <c r="AT48" s="281"/>
      <c r="AU48" s="338">
        <v>2936</v>
      </c>
      <c r="AV48" s="281"/>
      <c r="AW48" s="338">
        <v>0</v>
      </c>
      <c r="AX48" s="281"/>
      <c r="AY48" s="338">
        <v>10469</v>
      </c>
      <c r="AZ48" s="281"/>
      <c r="BA48" s="338">
        <v>4548</v>
      </c>
      <c r="BB48" s="281"/>
      <c r="BC48" s="338">
        <v>7584</v>
      </c>
      <c r="BD48" s="281"/>
      <c r="BE48" s="338">
        <v>11131.74</v>
      </c>
      <c r="BF48" s="281"/>
      <c r="BG48" s="338">
        <v>4441.55</v>
      </c>
      <c r="BH48" s="281"/>
      <c r="BI48" s="338">
        <v>12025.62</v>
      </c>
      <c r="BJ48" s="281"/>
      <c r="BK48" s="338">
        <v>30799.11</v>
      </c>
      <c r="BL48" s="281"/>
      <c r="BM48" s="378">
        <v>12568</v>
      </c>
      <c r="BN48" s="281"/>
      <c r="BO48" s="378">
        <v>12985</v>
      </c>
      <c r="BP48" s="281"/>
      <c r="BQ48" s="378">
        <v>33305</v>
      </c>
      <c r="BR48" s="281"/>
      <c r="BS48" s="378">
        <v>75713</v>
      </c>
      <c r="BT48" s="281"/>
      <c r="BU48" s="378">
        <v>19503</v>
      </c>
      <c r="BV48" s="281"/>
      <c r="BW48" s="378">
        <v>26270.28</v>
      </c>
      <c r="BX48" s="281"/>
      <c r="BY48" s="378">
        <v>10070.459999999999</v>
      </c>
      <c r="BZ48" s="281"/>
      <c r="CA48" s="378">
        <v>28372.28</v>
      </c>
      <c r="CB48" s="281"/>
      <c r="CC48" s="378">
        <v>10224.77</v>
      </c>
      <c r="CD48" s="281"/>
      <c r="CE48" s="378">
        <v>951.79</v>
      </c>
      <c r="CF48" s="281"/>
      <c r="CG48" s="378">
        <v>10499</v>
      </c>
      <c r="CH48" s="281"/>
      <c r="CI48" s="378">
        <v>22439</v>
      </c>
      <c r="CJ48" s="281"/>
      <c r="CK48" s="378">
        <v>24074</v>
      </c>
      <c r="CL48" s="281"/>
      <c r="CM48" s="378">
        <v>14080</v>
      </c>
      <c r="CN48" s="281"/>
      <c r="CO48" s="378">
        <v>25743</v>
      </c>
      <c r="CP48" s="281"/>
      <c r="CQ48" s="378">
        <v>10613</v>
      </c>
      <c r="CR48" s="281"/>
      <c r="CS48" s="378">
        <v>13902</v>
      </c>
      <c r="CT48" s="281"/>
      <c r="CU48" s="378">
        <v>12545.95</v>
      </c>
      <c r="CV48" s="281"/>
      <c r="CW48" s="378">
        <v>8097</v>
      </c>
      <c r="CX48" s="281"/>
      <c r="CY48" s="378">
        <v>52536</v>
      </c>
      <c r="CZ48" s="281"/>
      <c r="DA48" s="378">
        <v>18133.45</v>
      </c>
      <c r="DB48" s="281"/>
      <c r="DC48" s="378">
        <v>14815</v>
      </c>
      <c r="DD48" s="281"/>
      <c r="DE48" s="378">
        <v>39056.280000000013</v>
      </c>
      <c r="DF48" s="281"/>
      <c r="DG48" s="378">
        <v>17795.900000000001</v>
      </c>
      <c r="DH48" s="281"/>
      <c r="DI48" s="378">
        <v>4744.21</v>
      </c>
      <c r="DJ48" s="281"/>
      <c r="DK48" s="378">
        <v>30272.519999999997</v>
      </c>
      <c r="DL48" s="281"/>
      <c r="DM48" s="378">
        <v>32293.190000000002</v>
      </c>
      <c r="DN48" s="281"/>
      <c r="DO48" s="378">
        <v>17275.29</v>
      </c>
      <c r="DP48" s="281"/>
      <c r="DQ48" s="378">
        <v>64776.899999999994</v>
      </c>
      <c r="DR48" s="281"/>
      <c r="DS48" s="378">
        <v>31728.749999999996</v>
      </c>
      <c r="DT48" s="281"/>
      <c r="DU48" s="301"/>
      <c r="DV48" s="301"/>
      <c r="DW48" s="301"/>
      <c r="DX48" s="301"/>
      <c r="DY48" s="301"/>
      <c r="DZ48" s="301"/>
      <c r="EA48" s="301"/>
      <c r="EB48" s="301"/>
      <c r="EC48" s="301"/>
      <c r="ED48" s="301"/>
      <c r="EE48" s="301"/>
      <c r="EF48" s="301"/>
      <c r="EG48" s="301"/>
      <c r="EH48" s="301"/>
      <c r="EI48" s="301"/>
      <c r="EJ48" s="301"/>
      <c r="EK48" s="301"/>
      <c r="EL48" s="301"/>
      <c r="EM48" s="301"/>
      <c r="EN48" s="378">
        <v>11989.63</v>
      </c>
      <c r="EO48" s="281"/>
      <c r="EP48" s="378">
        <v>69197.88</v>
      </c>
      <c r="EQ48" s="281"/>
      <c r="ER48" s="378">
        <v>58921</v>
      </c>
      <c r="ES48" s="281"/>
      <c r="ET48" s="378">
        <v>25179.040000000001</v>
      </c>
      <c r="EU48" s="281"/>
      <c r="EV48" s="378">
        <v>10804.13</v>
      </c>
      <c r="EW48" s="281"/>
      <c r="EX48" s="378">
        <v>23593.67</v>
      </c>
      <c r="EY48" s="281"/>
      <c r="EZ48" s="378">
        <v>35455.86</v>
      </c>
      <c r="FA48" s="281"/>
      <c r="FB48" s="378">
        <v>63172.85</v>
      </c>
      <c r="FC48" s="281"/>
      <c r="FD48" s="378">
        <v>56151.79</v>
      </c>
      <c r="FE48" s="281"/>
      <c r="FF48" s="378">
        <v>125787.72</v>
      </c>
      <c r="FG48" s="281"/>
      <c r="FH48" s="378">
        <v>160736.43</v>
      </c>
      <c r="FI48" s="281"/>
      <c r="FJ48" s="378">
        <v>104585.26</v>
      </c>
      <c r="FK48" s="281"/>
      <c r="FL48" s="378">
        <v>96669.5</v>
      </c>
      <c r="FM48" s="281"/>
      <c r="FN48" s="378">
        <v>64800.84</v>
      </c>
      <c r="FO48" s="281"/>
      <c r="FP48" s="378">
        <v>55100.37</v>
      </c>
      <c r="FQ48" s="281"/>
      <c r="FR48" s="301"/>
      <c r="FS48" s="301"/>
      <c r="FT48" s="301"/>
      <c r="FU48" s="301"/>
      <c r="FV48" s="301"/>
      <c r="FW48" s="301"/>
      <c r="FX48" s="301"/>
      <c r="FY48" s="301"/>
      <c r="FZ48" s="301"/>
      <c r="GA48" s="301"/>
      <c r="GB48" s="301"/>
      <c r="GC48" s="301"/>
      <c r="GD48" s="301"/>
      <c r="GE48" s="301"/>
      <c r="GF48" s="289"/>
      <c r="GG48" s="289"/>
    </row>
    <row r="49" spans="1:189" ht="15" customHeight="1" outlineLevel="1" x14ac:dyDescent="0.3">
      <c r="A49" s="450"/>
      <c r="B49" s="301"/>
      <c r="C49" s="301"/>
      <c r="D49" s="301"/>
      <c r="E49" s="301"/>
      <c r="F49" s="302"/>
      <c r="G49" s="5" t="s">
        <v>52</v>
      </c>
      <c r="H49" s="5"/>
      <c r="I49" s="22">
        <f>IFERROR(I48/J49,"-")</f>
        <v>2677.2888405797103</v>
      </c>
      <c r="J49" s="23">
        <f>AH49+AF49+AD49+AB49+Z49+X49+V49+T49+P49+N49+L49</f>
        <v>138</v>
      </c>
      <c r="K49" s="22">
        <f>IFERROR(K48/L49,"-")</f>
        <v>3692.8525</v>
      </c>
      <c r="L49" s="23">
        <v>4</v>
      </c>
      <c r="M49" s="22">
        <f>IFERROR(M48/N49,"-")</f>
        <v>2470.81</v>
      </c>
      <c r="N49" s="23">
        <v>25</v>
      </c>
      <c r="O49" s="22">
        <f>IFERROR(O48/P49,"-")</f>
        <v>2248.3362499999998</v>
      </c>
      <c r="P49" s="23">
        <v>8</v>
      </c>
      <c r="Q49" s="22">
        <f>IFERROR(Q48/R49,"-")</f>
        <v>1666.6666666666667</v>
      </c>
      <c r="R49" s="23">
        <v>9</v>
      </c>
      <c r="S49" s="22">
        <f>IFERROR(S48/T49,"-")</f>
        <v>2728.3811764705883</v>
      </c>
      <c r="T49" s="23">
        <v>17</v>
      </c>
      <c r="U49" s="22">
        <f>IFERROR(U48/V49,"-")</f>
        <v>3152.54</v>
      </c>
      <c r="V49" s="23">
        <v>7</v>
      </c>
      <c r="W49" s="22">
        <f>IFERROR(W48/X49,"-")</f>
        <v>2325.5604000000003</v>
      </c>
      <c r="X49" s="23">
        <v>25</v>
      </c>
      <c r="Y49" s="22">
        <f>IFERROR(Y48/Z49,"-")</f>
        <v>3238.5588888888888</v>
      </c>
      <c r="Z49" s="23">
        <v>18</v>
      </c>
      <c r="AA49" s="22">
        <f>IFERROR(AA48/AB49,"-")</f>
        <v>2784.25</v>
      </c>
      <c r="AB49" s="23">
        <v>4</v>
      </c>
      <c r="AC49" s="22">
        <f>IFERROR(AC48/AD49,"-")</f>
        <v>1501.6</v>
      </c>
      <c r="AD49" s="23">
        <v>15</v>
      </c>
      <c r="AE49" s="22">
        <f>IFERROR(AE48/AF49,"-")</f>
        <v>3307.353333333333</v>
      </c>
      <c r="AF49" s="23">
        <v>6</v>
      </c>
      <c r="AG49" s="22">
        <f>IFERROR(AG48/AH49,"-")</f>
        <v>2394.34</v>
      </c>
      <c r="AH49" s="23">
        <v>9</v>
      </c>
      <c r="AI49" s="22">
        <f>IFERROR(AI48/AJ49,"-")</f>
        <v>1782.0439999999999</v>
      </c>
      <c r="AJ49" s="23">
        <v>5</v>
      </c>
      <c r="AK49" s="22">
        <f>IFERROR(AK48/AL49,"-")</f>
        <v>2076.5</v>
      </c>
      <c r="AL49" s="23">
        <v>10</v>
      </c>
      <c r="AM49" s="22">
        <f>IFERROR(AM48/AN49,"-")</f>
        <v>1532.8014285714287</v>
      </c>
      <c r="AN49" s="23">
        <v>7</v>
      </c>
      <c r="AO49" s="22" t="str">
        <f>IFERROR(AO48/AP49,"-")</f>
        <v>-</v>
      </c>
      <c r="AP49" s="23">
        <v>0</v>
      </c>
      <c r="AQ49" s="22">
        <f>IFERROR(AQ48/AR49,"-")</f>
        <v>1108.25</v>
      </c>
      <c r="AR49" s="23">
        <v>4</v>
      </c>
      <c r="AS49" s="22">
        <f>IFERROR(AS48/AT49,"-")</f>
        <v>3058.2</v>
      </c>
      <c r="AT49" s="23">
        <v>5</v>
      </c>
      <c r="AU49" s="22">
        <f>IFERROR(AU48/AV49,"-")</f>
        <v>2936</v>
      </c>
      <c r="AV49" s="23">
        <v>1</v>
      </c>
      <c r="AW49" s="22" t="str">
        <f>IFERROR(AW48/AX49,"-")</f>
        <v>-</v>
      </c>
      <c r="AX49" s="23">
        <v>0</v>
      </c>
      <c r="AY49" s="22">
        <f>IFERROR(AY48/AZ49,"-")</f>
        <v>2093.8000000000002</v>
      </c>
      <c r="AZ49" s="23">
        <v>5</v>
      </c>
      <c r="BA49" s="22">
        <f>IFERROR(BA48/BB49,"-")</f>
        <v>2274</v>
      </c>
      <c r="BB49" s="23">
        <v>2</v>
      </c>
      <c r="BC49" s="22">
        <f>IFERROR(BC48/BD49,"-")</f>
        <v>1896</v>
      </c>
      <c r="BD49" s="23">
        <v>4</v>
      </c>
      <c r="BE49" s="22">
        <f>IFERROR(BE48/BF49,"-")</f>
        <v>1855.29</v>
      </c>
      <c r="BF49" s="23">
        <v>6</v>
      </c>
      <c r="BG49" s="22">
        <f>IFERROR(BG48/BH49,"-")</f>
        <v>634.50714285714287</v>
      </c>
      <c r="BH49" s="23">
        <v>7</v>
      </c>
      <c r="BI49" s="22">
        <f>IFERROR(BI48/BJ49,"-")</f>
        <v>1503.2025000000001</v>
      </c>
      <c r="BJ49" s="23">
        <v>8</v>
      </c>
      <c r="BK49" s="22">
        <f>IFERROR(BK48/BL49,"-")</f>
        <v>2053.2739999999999</v>
      </c>
      <c r="BL49" s="23">
        <v>15</v>
      </c>
      <c r="BM49" s="22">
        <f>IFERROR(BM48/BN49,"-")</f>
        <v>2513.6</v>
      </c>
      <c r="BN49" s="23">
        <v>5</v>
      </c>
      <c r="BO49" s="22">
        <f>IFERROR(BO48/BP49,"-")</f>
        <v>3246.25</v>
      </c>
      <c r="BP49" s="23">
        <v>4</v>
      </c>
      <c r="BQ49" s="22">
        <f>IFERROR(BQ48/BR49,"-")</f>
        <v>4757.8571428571431</v>
      </c>
      <c r="BR49" s="23">
        <v>7</v>
      </c>
      <c r="BS49" s="22">
        <f>IFERROR(BS48/BT49,"-")</f>
        <v>3605.3809523809523</v>
      </c>
      <c r="BT49" s="23">
        <v>21</v>
      </c>
      <c r="BU49" s="22">
        <f>IFERROR(BU48/BV49,"-")</f>
        <v>2437.875</v>
      </c>
      <c r="BV49" s="23">
        <v>8</v>
      </c>
      <c r="BW49" s="22">
        <f>IFERROR(BW48/BX49,"-")</f>
        <v>2627.0279999999998</v>
      </c>
      <c r="BX49" s="28">
        <v>10</v>
      </c>
      <c r="BY49" s="22">
        <f>IFERROR(BY48/BZ49,"-")</f>
        <v>2517.6149999999998</v>
      </c>
      <c r="BZ49" s="28">
        <v>4</v>
      </c>
      <c r="CA49" s="22">
        <f>IFERROR(CA48/CB49,"-")</f>
        <v>2837.2280000000001</v>
      </c>
      <c r="CB49" s="28">
        <v>10</v>
      </c>
      <c r="CC49" s="22">
        <f>IFERROR(CC48/CD49,"-")</f>
        <v>1278.0962500000001</v>
      </c>
      <c r="CD49" s="28">
        <v>8</v>
      </c>
      <c r="CE49" s="22">
        <f>IFERROR(CE48/CF49,"-")</f>
        <v>475.89499999999998</v>
      </c>
      <c r="CF49" s="28">
        <v>2</v>
      </c>
      <c r="CG49" s="22">
        <f>IFERROR(CG48/CH49,"-")</f>
        <v>1499.8571428571429</v>
      </c>
      <c r="CH49" s="28">
        <v>7</v>
      </c>
      <c r="CI49" s="22">
        <f>IFERROR(CI48/CJ49,"-")</f>
        <v>3205.5714285714284</v>
      </c>
      <c r="CJ49" s="28">
        <v>7</v>
      </c>
      <c r="CK49" s="22">
        <f>IFERROR(CK48/CL49,"-")</f>
        <v>2407.4</v>
      </c>
      <c r="CL49" s="28">
        <v>10</v>
      </c>
      <c r="CM49" s="22">
        <f>IFERROR(CM48/CN49,"-")</f>
        <v>3520</v>
      </c>
      <c r="CN49" s="28">
        <v>4</v>
      </c>
      <c r="CO49" s="22">
        <f>IFERROR(CO48/CP49,"-")</f>
        <v>5148.6000000000004</v>
      </c>
      <c r="CP49" s="28">
        <v>5</v>
      </c>
      <c r="CQ49" s="22">
        <f>IFERROR(CQ48/CR49,"-")</f>
        <v>2122.6</v>
      </c>
      <c r="CR49" s="28">
        <v>5</v>
      </c>
      <c r="CS49" s="22">
        <f>IFERROR(CS48/CT49,"-")</f>
        <v>3475.5</v>
      </c>
      <c r="CT49" s="28">
        <v>4</v>
      </c>
      <c r="CU49" s="22">
        <f>IFERROR(CU48/CV49,"-")</f>
        <v>2509.19</v>
      </c>
      <c r="CV49" s="28">
        <v>5</v>
      </c>
      <c r="CW49" s="22">
        <f>IFERROR(CW48/CX49,"-")</f>
        <v>4048.5</v>
      </c>
      <c r="CX49" s="28">
        <v>2</v>
      </c>
      <c r="CY49" s="22">
        <f>IFERROR(CY48/CZ49,"-")</f>
        <v>2501.7142857142858</v>
      </c>
      <c r="CZ49" s="28">
        <v>21</v>
      </c>
      <c r="DA49" s="22">
        <f>IFERROR(DA48/DB49,"-")</f>
        <v>2590.4928571428572</v>
      </c>
      <c r="DB49" s="28">
        <v>7</v>
      </c>
      <c r="DC49" s="22">
        <f>IFERROR(DC48/DD49,"-")</f>
        <v>4938.333333333333</v>
      </c>
      <c r="DD49" s="28">
        <v>3</v>
      </c>
      <c r="DE49" s="22">
        <f>IFERROR(DE48/DF49,"-")</f>
        <v>3254.690000000001</v>
      </c>
      <c r="DF49" s="28">
        <v>12</v>
      </c>
      <c r="DG49" s="22">
        <f>IFERROR(DG48/DH49,"-")</f>
        <v>1977.3222222222223</v>
      </c>
      <c r="DH49" s="28">
        <v>9</v>
      </c>
      <c r="DI49" s="22">
        <f>IFERROR(DI48/DJ49,"-")</f>
        <v>948.84199999999998</v>
      </c>
      <c r="DJ49" s="28">
        <v>5</v>
      </c>
      <c r="DK49" s="22">
        <f>IFERROR(DK48/DL49,"-")</f>
        <v>3363.6133333333328</v>
      </c>
      <c r="DL49" s="28">
        <v>9</v>
      </c>
      <c r="DM49" s="22">
        <f>IFERROR(DM48/DN49,"-")</f>
        <v>3229.3190000000004</v>
      </c>
      <c r="DN49" s="28">
        <v>10</v>
      </c>
      <c r="DO49" s="22">
        <f>IFERROR(DO48/DP49,"-")</f>
        <v>1727.529</v>
      </c>
      <c r="DP49" s="28">
        <v>10</v>
      </c>
      <c r="DQ49" s="22">
        <f>IFERROR(DQ48/DR49,"-")</f>
        <v>2944.4045454545453</v>
      </c>
      <c r="DR49" s="28">
        <v>22</v>
      </c>
      <c r="DS49" s="22">
        <f>IFERROR(DS48/DT49,"-")</f>
        <v>1220.3365384615383</v>
      </c>
      <c r="DT49" s="28">
        <v>26</v>
      </c>
      <c r="DU49" s="301"/>
      <c r="DV49" s="301"/>
      <c r="DW49" s="301"/>
      <c r="DX49" s="301"/>
      <c r="DY49" s="301"/>
      <c r="DZ49" s="301"/>
      <c r="EA49" s="301"/>
      <c r="EB49" s="301"/>
      <c r="EC49" s="301"/>
      <c r="ED49" s="301"/>
      <c r="EE49" s="301"/>
      <c r="EF49" s="301"/>
      <c r="EG49" s="301"/>
      <c r="EH49" s="301"/>
      <c r="EI49" s="301"/>
      <c r="EJ49" s="301"/>
      <c r="EK49" s="301"/>
      <c r="EL49" s="301"/>
      <c r="EM49" s="301"/>
      <c r="EN49" s="22">
        <f>IFERROR(EN48/EO49,"-")</f>
        <v>1498.7037499999999</v>
      </c>
      <c r="EO49" s="28">
        <v>8</v>
      </c>
      <c r="EP49" s="22">
        <f>IFERROR(EP48/EQ49,"-")</f>
        <v>3295.1371428571429</v>
      </c>
      <c r="EQ49" s="28">
        <v>21</v>
      </c>
      <c r="ER49" s="22">
        <f>IFERROR(ER48/ES49,"-")</f>
        <v>2946.05</v>
      </c>
      <c r="ES49" s="28">
        <v>20</v>
      </c>
      <c r="ET49" s="22">
        <f>IFERROR(ET48/EU49,"-")</f>
        <v>2797.6711111111113</v>
      </c>
      <c r="EU49" s="28">
        <v>9</v>
      </c>
      <c r="EV49" s="22">
        <f>IFERROR(EV48/EW49,"-")</f>
        <v>1350.5162499999999</v>
      </c>
      <c r="EW49" s="28">
        <v>8</v>
      </c>
      <c r="EX49" s="22">
        <f>IFERROR(EX48/EY49,"-")</f>
        <v>1966.1391666666666</v>
      </c>
      <c r="EY49" s="28">
        <v>12</v>
      </c>
      <c r="EZ49" s="22">
        <f>IFERROR(EZ48/FA49,"-")</f>
        <v>2727.373846153846</v>
      </c>
      <c r="FA49" s="28">
        <v>13</v>
      </c>
      <c r="FB49" s="22">
        <f>IFERROR(FB48/FC49,"-")</f>
        <v>3716.0499999999997</v>
      </c>
      <c r="FC49" s="28">
        <v>17</v>
      </c>
      <c r="FD49" s="22">
        <f>IFERROR(FD48/FE49,"-")</f>
        <v>2807.5895</v>
      </c>
      <c r="FE49" s="28">
        <v>20</v>
      </c>
      <c r="FF49" s="22">
        <f>IFERROR(FF48/FG49,"-")</f>
        <v>3144.6930000000002</v>
      </c>
      <c r="FG49" s="28">
        <v>40</v>
      </c>
      <c r="FH49" s="22">
        <f>IFERROR(FH48/FI49,"-")</f>
        <v>2976.6005555555553</v>
      </c>
      <c r="FI49" s="28">
        <v>54</v>
      </c>
      <c r="FJ49" s="22">
        <f>IFERROR(FJ48/FK49,"-")</f>
        <v>3268.2893749999998</v>
      </c>
      <c r="FK49" s="28">
        <v>32</v>
      </c>
      <c r="FL49" s="22">
        <f>IFERROR(FL48/FM49,"-")</f>
        <v>2543.9342105263158</v>
      </c>
      <c r="FM49" s="28">
        <v>38</v>
      </c>
      <c r="FN49" s="22">
        <f>IFERROR(FN48/FO49,"-")</f>
        <v>3240.0419999999999</v>
      </c>
      <c r="FO49" s="28">
        <v>20</v>
      </c>
      <c r="FP49" s="22">
        <f>IFERROR(FP48/FQ49,"-")</f>
        <v>2295.8487500000001</v>
      </c>
      <c r="FQ49" s="28">
        <v>24</v>
      </c>
      <c r="FR49" s="301"/>
      <c r="FS49" s="301"/>
      <c r="FT49" s="301"/>
      <c r="FU49" s="301"/>
      <c r="FV49" s="301"/>
      <c r="FW49" s="301"/>
      <c r="FX49" s="301"/>
      <c r="FY49" s="301"/>
      <c r="FZ49" s="301"/>
      <c r="GA49" s="301"/>
      <c r="GB49" s="301"/>
      <c r="GC49" s="301"/>
      <c r="GD49" s="301"/>
      <c r="GE49" s="301"/>
      <c r="GF49" s="289"/>
      <c r="GG49" s="289"/>
    </row>
    <row r="50" spans="1:189" ht="15" customHeight="1" outlineLevel="1" x14ac:dyDescent="0.3">
      <c r="A50" s="27"/>
      <c r="B50" s="301"/>
      <c r="C50" s="301"/>
      <c r="D50" s="301"/>
      <c r="E50" s="301"/>
      <c r="F50" s="29" t="s">
        <v>53</v>
      </c>
      <c r="G50" s="29" t="s">
        <v>54</v>
      </c>
      <c r="H50" s="5"/>
      <c r="I50" s="22"/>
      <c r="J50" s="23"/>
      <c r="K50" s="22"/>
      <c r="L50" s="23"/>
      <c r="M50" s="22"/>
      <c r="N50" s="23"/>
      <c r="O50" s="22"/>
      <c r="P50" s="23"/>
      <c r="Q50" s="22"/>
      <c r="R50" s="23"/>
      <c r="S50" s="22"/>
      <c r="T50" s="23"/>
      <c r="U50" s="22"/>
      <c r="V50" s="23"/>
      <c r="W50" s="22"/>
      <c r="X50" s="23"/>
      <c r="Y50" s="22"/>
      <c r="Z50" s="23"/>
      <c r="AA50" s="22"/>
      <c r="AB50" s="23"/>
      <c r="AC50" s="22"/>
      <c r="AD50" s="23"/>
      <c r="AE50" s="22"/>
      <c r="AF50" s="23"/>
      <c r="AG50" s="22"/>
      <c r="AH50" s="23"/>
      <c r="AI50" s="22"/>
      <c r="AJ50" s="23"/>
      <c r="AK50" s="22"/>
      <c r="AL50" s="23"/>
      <c r="AM50" s="22"/>
      <c r="AN50" s="23"/>
      <c r="AO50" s="22"/>
      <c r="AP50" s="23"/>
      <c r="AQ50" s="22"/>
      <c r="AR50" s="23"/>
      <c r="AS50" s="22" t="s">
        <v>55</v>
      </c>
      <c r="AT50" s="30">
        <v>0.22</v>
      </c>
      <c r="AU50" s="22" t="s">
        <v>56</v>
      </c>
      <c r="AV50" s="30">
        <v>0.22</v>
      </c>
      <c r="AW50" s="22" t="s">
        <v>56</v>
      </c>
      <c r="AX50" s="30">
        <v>0.22</v>
      </c>
      <c r="AY50" s="22" t="s">
        <v>56</v>
      </c>
      <c r="AZ50" s="30">
        <v>0.22</v>
      </c>
      <c r="BA50" s="22" t="s">
        <v>56</v>
      </c>
      <c r="BB50" s="30">
        <v>0.22</v>
      </c>
      <c r="BC50" s="22" t="s">
        <v>57</v>
      </c>
      <c r="BD50" s="30">
        <v>0.23</v>
      </c>
      <c r="BE50" s="338"/>
      <c r="BF50" s="281"/>
      <c r="BG50" s="338"/>
      <c r="BH50" s="281"/>
      <c r="BI50" s="338"/>
      <c r="BJ50" s="281"/>
      <c r="BK50" s="338"/>
      <c r="BL50" s="281"/>
      <c r="BM50" s="338">
        <v>1694805</v>
      </c>
      <c r="BN50" s="281"/>
      <c r="BO50" s="378">
        <v>2006102</v>
      </c>
      <c r="BP50" s="281"/>
      <c r="BQ50" s="378">
        <v>2270459</v>
      </c>
      <c r="BR50" s="281"/>
      <c r="BS50" s="378">
        <v>2875520</v>
      </c>
      <c r="BT50" s="281"/>
      <c r="BU50" s="378">
        <v>3146215</v>
      </c>
      <c r="BV50" s="281"/>
      <c r="BW50" s="378">
        <v>3477535</v>
      </c>
      <c r="BX50" s="281"/>
      <c r="BY50" s="378">
        <v>3626824</v>
      </c>
      <c r="BZ50" s="281"/>
      <c r="CA50" s="378">
        <v>3626824</v>
      </c>
      <c r="CB50" s="281"/>
      <c r="CC50" s="378">
        <v>3703825</v>
      </c>
      <c r="CD50" s="281"/>
      <c r="CE50" s="378">
        <v>3703825</v>
      </c>
      <c r="CF50" s="281"/>
      <c r="CG50" s="378">
        <v>3703825</v>
      </c>
      <c r="CH50" s="281"/>
      <c r="CI50" s="378">
        <v>3834071</v>
      </c>
      <c r="CJ50" s="281"/>
      <c r="CK50" s="378">
        <v>3925140</v>
      </c>
      <c r="CL50" s="281"/>
      <c r="CM50" s="378">
        <v>4012094</v>
      </c>
      <c r="CN50" s="281"/>
      <c r="CO50" s="488">
        <v>3925140</v>
      </c>
      <c r="CP50" s="281"/>
      <c r="CQ50" s="488">
        <v>3925140</v>
      </c>
      <c r="CR50" s="281"/>
      <c r="CS50" s="378">
        <v>4127806.36</v>
      </c>
      <c r="CT50" s="281"/>
      <c r="CU50" s="378">
        <v>4278196.71</v>
      </c>
      <c r="CV50" s="281"/>
      <c r="CW50" s="378">
        <v>5221122</v>
      </c>
      <c r="CX50" s="281"/>
      <c r="CY50" s="378">
        <v>5386187</v>
      </c>
      <c r="CZ50" s="281"/>
      <c r="DA50" s="378">
        <v>5650244</v>
      </c>
      <c r="DB50" s="281"/>
      <c r="DC50" s="378">
        <v>5908715</v>
      </c>
      <c r="DD50" s="340"/>
      <c r="DE50" s="378">
        <v>6980902.1100000003</v>
      </c>
      <c r="DF50" s="340"/>
      <c r="DG50" s="378">
        <v>7032478.9000000004</v>
      </c>
      <c r="DH50" s="340"/>
      <c r="DI50" s="378">
        <v>7141984</v>
      </c>
      <c r="DJ50" s="340"/>
      <c r="DK50" s="378">
        <v>8803980.1600000001</v>
      </c>
      <c r="DL50" s="340"/>
      <c r="DM50" s="378">
        <v>8978538.5</v>
      </c>
      <c r="DN50" s="340"/>
      <c r="DO50" s="378">
        <v>9359041.8100000005</v>
      </c>
      <c r="DP50" s="340"/>
      <c r="DQ50" s="378">
        <v>9586142.8100000005</v>
      </c>
      <c r="DR50" s="340"/>
      <c r="DS50" s="378">
        <v>9640397.9399999995</v>
      </c>
      <c r="DT50" s="340"/>
      <c r="DU50" s="301"/>
      <c r="DV50" s="301"/>
      <c r="DW50" s="301"/>
      <c r="DX50" s="301"/>
      <c r="DY50" s="301"/>
      <c r="DZ50" s="301"/>
      <c r="EA50" s="301"/>
      <c r="EB50" s="301"/>
      <c r="EC50" s="301"/>
      <c r="ED50" s="301"/>
      <c r="EE50" s="301"/>
      <c r="EF50" s="301"/>
      <c r="EG50" s="301"/>
      <c r="EH50" s="301"/>
      <c r="EI50" s="301"/>
      <c r="EJ50" s="301"/>
      <c r="EK50" s="301"/>
      <c r="EL50" s="301"/>
      <c r="EM50" s="301"/>
      <c r="EN50" s="378">
        <v>9724566.75</v>
      </c>
      <c r="EO50" s="340"/>
      <c r="EP50" s="378">
        <v>10272911.1</v>
      </c>
      <c r="EQ50" s="340"/>
      <c r="ER50" s="378">
        <v>1029983025</v>
      </c>
      <c r="ES50" s="340"/>
      <c r="ET50" s="378">
        <v>10641692.310000001</v>
      </c>
      <c r="EU50" s="340"/>
      <c r="EV50" s="378">
        <v>10911571.890000001</v>
      </c>
      <c r="EW50" s="340"/>
      <c r="EX50" s="378">
        <v>11188464.92</v>
      </c>
      <c r="EY50" s="340"/>
      <c r="EZ50" s="378">
        <v>11663938.890000001</v>
      </c>
      <c r="FA50" s="340"/>
      <c r="FB50" s="378">
        <v>12358406.529999999</v>
      </c>
      <c r="FC50" s="340"/>
      <c r="FD50" s="378">
        <v>13286735.369999999</v>
      </c>
      <c r="FE50" s="340"/>
      <c r="FF50" s="378">
        <v>13772351.050000001</v>
      </c>
      <c r="FG50" s="340"/>
      <c r="FH50" s="378">
        <v>14975074.640000001</v>
      </c>
      <c r="FI50" s="340"/>
      <c r="FJ50" s="378">
        <v>15177973.810000001</v>
      </c>
      <c r="FK50" s="340"/>
      <c r="FL50" s="378">
        <v>16429871.279999999</v>
      </c>
      <c r="FM50" s="340"/>
      <c r="FN50" s="378">
        <v>16782175.48</v>
      </c>
      <c r="FO50" s="340"/>
      <c r="FP50" s="378">
        <v>17027555.219999999</v>
      </c>
      <c r="FQ50" s="340"/>
      <c r="FR50" s="301"/>
      <c r="FS50" s="301"/>
      <c r="FT50" s="301"/>
      <c r="FU50" s="301"/>
      <c r="FV50" s="301"/>
      <c r="FW50" s="301"/>
      <c r="FX50" s="301"/>
      <c r="FY50" s="301"/>
      <c r="FZ50" s="301"/>
      <c r="GA50" s="301"/>
      <c r="GB50" s="301"/>
      <c r="GC50" s="301"/>
      <c r="GD50" s="301"/>
      <c r="GE50" s="301"/>
      <c r="GF50" s="289"/>
      <c r="GG50" s="289"/>
    </row>
    <row r="51" spans="1:189" ht="15" customHeight="1" outlineLevel="1" x14ac:dyDescent="0.3">
      <c r="A51" s="27"/>
      <c r="B51" s="301"/>
      <c r="C51" s="301"/>
      <c r="D51" s="301"/>
      <c r="E51" s="301"/>
      <c r="F51" s="29"/>
      <c r="G51" s="29" t="s">
        <v>58</v>
      </c>
      <c r="H51" s="5"/>
      <c r="I51" s="22"/>
      <c r="J51" s="23"/>
      <c r="K51" s="22"/>
      <c r="L51" s="23"/>
      <c r="M51" s="22"/>
      <c r="N51" s="23"/>
      <c r="O51" s="22"/>
      <c r="P51" s="23"/>
      <c r="Q51" s="22"/>
      <c r="R51" s="23"/>
      <c r="S51" s="22"/>
      <c r="T51" s="23"/>
      <c r="U51" s="22"/>
      <c r="V51" s="23"/>
      <c r="W51" s="22"/>
      <c r="X51" s="23"/>
      <c r="Y51" s="22"/>
      <c r="Z51" s="23"/>
      <c r="AA51" s="22"/>
      <c r="AB51" s="23"/>
      <c r="AC51" s="22"/>
      <c r="AD51" s="23"/>
      <c r="AE51" s="22"/>
      <c r="AF51" s="23"/>
      <c r="AG51" s="22"/>
      <c r="AH51" s="23"/>
      <c r="AI51" s="22"/>
      <c r="AJ51" s="23"/>
      <c r="AK51" s="22"/>
      <c r="AL51" s="23"/>
      <c r="AM51" s="22"/>
      <c r="AN51" s="23"/>
      <c r="AO51" s="22"/>
      <c r="AP51" s="23"/>
      <c r="AQ51" s="22"/>
      <c r="AR51" s="23"/>
      <c r="AS51" s="22"/>
      <c r="AT51" s="30"/>
      <c r="AU51" s="22"/>
      <c r="AV51" s="30"/>
      <c r="AW51" s="22"/>
      <c r="AX51" s="30"/>
      <c r="AY51" s="22"/>
      <c r="AZ51" s="30"/>
      <c r="BA51" s="22"/>
      <c r="BB51" s="30"/>
      <c r="BC51" s="22"/>
      <c r="BD51" s="30"/>
      <c r="BE51" s="338"/>
      <c r="BF51" s="281"/>
      <c r="BG51" s="338"/>
      <c r="BH51" s="281"/>
      <c r="BI51" s="338"/>
      <c r="BJ51" s="281"/>
      <c r="BK51" s="338"/>
      <c r="BL51" s="281"/>
      <c r="BM51" s="338">
        <v>151691</v>
      </c>
      <c r="BN51" s="281"/>
      <c r="BO51" s="378">
        <v>151691</v>
      </c>
      <c r="BP51" s="281"/>
      <c r="BQ51" s="378">
        <v>154892</v>
      </c>
      <c r="BR51" s="281"/>
      <c r="BS51" s="378">
        <v>290846</v>
      </c>
      <c r="BT51" s="281"/>
      <c r="BU51" s="378">
        <v>337003</v>
      </c>
      <c r="BV51" s="281"/>
      <c r="BW51" s="378">
        <v>361421</v>
      </c>
      <c r="BX51" s="281"/>
      <c r="BY51" s="378">
        <v>386700</v>
      </c>
      <c r="BZ51" s="281"/>
      <c r="CA51" s="378">
        <v>395618.67</v>
      </c>
      <c r="CB51" s="281"/>
      <c r="CC51" s="378">
        <v>481889</v>
      </c>
      <c r="CD51" s="281"/>
      <c r="CE51" s="378">
        <v>405295</v>
      </c>
      <c r="CF51" s="281"/>
      <c r="CG51" s="378">
        <v>421262</v>
      </c>
      <c r="CH51" s="281"/>
      <c r="CI51" s="378">
        <v>436660</v>
      </c>
      <c r="CJ51" s="281"/>
      <c r="CK51" s="378">
        <v>455755</v>
      </c>
      <c r="CL51" s="281"/>
      <c r="CM51" s="378">
        <v>455755</v>
      </c>
      <c r="CN51" s="281"/>
      <c r="CO51" s="378">
        <v>464174</v>
      </c>
      <c r="CP51" s="281"/>
      <c r="CQ51" s="378">
        <v>464174</v>
      </c>
      <c r="CR51" s="281"/>
      <c r="CS51" s="378">
        <v>464174</v>
      </c>
      <c r="CT51" s="281"/>
      <c r="CU51" s="378">
        <v>482322.75</v>
      </c>
      <c r="CV51" s="281"/>
      <c r="CW51" s="378">
        <v>499890</v>
      </c>
      <c r="CX51" s="281"/>
      <c r="CY51" s="378">
        <v>521478</v>
      </c>
      <c r="CZ51" s="281"/>
      <c r="DA51" s="378">
        <v>549869</v>
      </c>
      <c r="DB51" s="281"/>
      <c r="DC51" s="378">
        <v>549869</v>
      </c>
      <c r="DD51" s="340"/>
      <c r="DE51" s="378">
        <v>928240</v>
      </c>
      <c r="DF51" s="340"/>
      <c r="DG51" s="378">
        <v>946541</v>
      </c>
      <c r="DH51" s="340"/>
      <c r="DI51" s="378">
        <f>DG51+DI48</f>
        <v>951285.21</v>
      </c>
      <c r="DJ51" s="340"/>
      <c r="DK51" s="378">
        <f>DI51+DK48</f>
        <v>981557.73</v>
      </c>
      <c r="DL51" s="340"/>
      <c r="DM51" s="378">
        <f>DK51+DM48</f>
        <v>1013850.9199999999</v>
      </c>
      <c r="DN51" s="340"/>
      <c r="DO51" s="378">
        <f>DM51+DO48</f>
        <v>1031126.21</v>
      </c>
      <c r="DP51" s="340"/>
      <c r="DQ51" s="378">
        <f>DO51+DQ48</f>
        <v>1095903.1099999999</v>
      </c>
      <c r="DR51" s="340"/>
      <c r="DS51" s="378">
        <f>DQ51+DS48</f>
        <v>1127631.8599999999</v>
      </c>
      <c r="DT51" s="340"/>
      <c r="DU51" s="301"/>
      <c r="DV51" s="301"/>
      <c r="DW51" s="301"/>
      <c r="DX51" s="301"/>
      <c r="DY51" s="301"/>
      <c r="DZ51" s="301"/>
      <c r="EA51" s="301"/>
      <c r="EB51" s="301"/>
      <c r="EC51" s="301"/>
      <c r="ED51" s="301"/>
      <c r="EE51" s="301"/>
      <c r="EF51" s="301"/>
      <c r="EG51" s="301"/>
      <c r="EH51" s="301"/>
      <c r="EI51" s="301"/>
      <c r="EJ51" s="301"/>
      <c r="EK51" s="301"/>
      <c r="EL51" s="301"/>
      <c r="EM51" s="301"/>
      <c r="EN51" s="378">
        <f>EN48+DS51</f>
        <v>1139621.4899999998</v>
      </c>
      <c r="EO51" s="340"/>
      <c r="EP51" s="378">
        <f>EN51+EP48</f>
        <v>1208819.3699999996</v>
      </c>
      <c r="EQ51" s="340"/>
      <c r="ER51" s="378">
        <f>EP51+ER48</f>
        <v>1267740.3699999996</v>
      </c>
      <c r="ES51" s="340"/>
      <c r="ET51" s="378">
        <f>ER51+ET48</f>
        <v>1292919.4099999997</v>
      </c>
      <c r="EU51" s="340"/>
      <c r="EV51" s="378">
        <f>ET51+EV48</f>
        <v>1303723.5399999996</v>
      </c>
      <c r="EW51" s="340"/>
      <c r="EX51" s="378">
        <f>EV51+EX48</f>
        <v>1327317.2099999995</v>
      </c>
      <c r="EY51" s="340"/>
      <c r="EZ51" s="378">
        <f>EX51+EZ48</f>
        <v>1362773.0699999996</v>
      </c>
      <c r="FA51" s="340"/>
      <c r="FB51" s="378">
        <f>EZ51+FB48</f>
        <v>1425945.9199999997</v>
      </c>
      <c r="FC51" s="340"/>
      <c r="FD51" s="378">
        <f>FB51+FD48</f>
        <v>1482097.7099999997</v>
      </c>
      <c r="FE51" s="340"/>
      <c r="FF51" s="378">
        <f>FD51+FF48</f>
        <v>1607885.4299999997</v>
      </c>
      <c r="FG51" s="340"/>
      <c r="FH51" s="378">
        <f>FF51+FH48</f>
        <v>1768621.8599999996</v>
      </c>
      <c r="FI51" s="340"/>
      <c r="FJ51" s="378">
        <f>FH51+FJ48</f>
        <v>1873207.1199999996</v>
      </c>
      <c r="FK51" s="340"/>
      <c r="FL51" s="378">
        <f>FJ51+FL48</f>
        <v>1969876.6199999996</v>
      </c>
      <c r="FM51" s="340"/>
      <c r="FN51" s="378">
        <f>FL51+FN48</f>
        <v>2034677.4599999997</v>
      </c>
      <c r="FO51" s="340"/>
      <c r="FP51" s="378">
        <f>FN51+FP48</f>
        <v>2089777.8299999998</v>
      </c>
      <c r="FQ51" s="340"/>
      <c r="FR51" s="301"/>
      <c r="FS51" s="301"/>
      <c r="FT51" s="301"/>
      <c r="FU51" s="301"/>
      <c r="FV51" s="301"/>
      <c r="FW51" s="301"/>
      <c r="FX51" s="301"/>
      <c r="FY51" s="301"/>
      <c r="FZ51" s="301"/>
      <c r="GA51" s="301"/>
      <c r="GB51" s="301"/>
      <c r="GC51" s="301"/>
      <c r="GD51" s="301"/>
      <c r="GE51" s="301"/>
      <c r="GF51" s="289"/>
      <c r="GG51" s="289"/>
    </row>
    <row r="52" spans="1:189" ht="15" customHeight="1" outlineLevel="1" x14ac:dyDescent="0.3">
      <c r="A52" s="27"/>
      <c r="B52" s="301"/>
      <c r="C52" s="301"/>
      <c r="D52" s="301"/>
      <c r="E52" s="301"/>
      <c r="F52" s="29"/>
      <c r="G52" s="29" t="s">
        <v>59</v>
      </c>
      <c r="H52" s="5"/>
      <c r="I52" s="22"/>
      <c r="J52" s="23"/>
      <c r="K52" s="22"/>
      <c r="L52" s="23"/>
      <c r="M52" s="22"/>
      <c r="N52" s="23"/>
      <c r="O52" s="22"/>
      <c r="P52" s="23"/>
      <c r="Q52" s="22"/>
      <c r="R52" s="23"/>
      <c r="S52" s="22"/>
      <c r="T52" s="23"/>
      <c r="U52" s="22"/>
      <c r="V52" s="23"/>
      <c r="W52" s="22"/>
      <c r="X52" s="23"/>
      <c r="Y52" s="22"/>
      <c r="Z52" s="23"/>
      <c r="AA52" s="22"/>
      <c r="AB52" s="23"/>
      <c r="AC52" s="22"/>
      <c r="AD52" s="23"/>
      <c r="AE52" s="22"/>
      <c r="AF52" s="23"/>
      <c r="AG52" s="22"/>
      <c r="AH52" s="23"/>
      <c r="AI52" s="22"/>
      <c r="AJ52" s="23"/>
      <c r="AK52" s="22"/>
      <c r="AL52" s="23"/>
      <c r="AM52" s="22"/>
      <c r="AN52" s="23"/>
      <c r="AO52" s="22"/>
      <c r="AP52" s="23"/>
      <c r="AQ52" s="22"/>
      <c r="AR52" s="23"/>
      <c r="AS52" s="22"/>
      <c r="AT52" s="30"/>
      <c r="AU52" s="22"/>
      <c r="AV52" s="30"/>
      <c r="AW52" s="22"/>
      <c r="AX52" s="30"/>
      <c r="AY52" s="22"/>
      <c r="AZ52" s="30"/>
      <c r="BA52" s="22"/>
      <c r="BB52" s="30"/>
      <c r="BC52" s="22"/>
      <c r="BD52" s="30"/>
      <c r="BE52" s="338"/>
      <c r="BF52" s="281"/>
      <c r="BG52" s="338"/>
      <c r="BH52" s="281"/>
      <c r="BI52" s="338"/>
      <c r="BJ52" s="281"/>
      <c r="BK52" s="338"/>
      <c r="BL52" s="281"/>
      <c r="BM52" s="327">
        <f>BM51/BM50</f>
        <v>8.9503512203468832E-2</v>
      </c>
      <c r="BN52" s="281"/>
      <c r="BO52" s="327">
        <f>BO51/BO50</f>
        <v>7.5614799247495895E-2</v>
      </c>
      <c r="BP52" s="281"/>
      <c r="BQ52" s="327">
        <f>BQ51/BQ50</f>
        <v>6.8220566854543502E-2</v>
      </c>
      <c r="BR52" s="281"/>
      <c r="BS52" s="327">
        <f>BS51/BS50</f>
        <v>0.10114553193857111</v>
      </c>
      <c r="BT52" s="281"/>
      <c r="BU52" s="327">
        <f>BU51/BU50</f>
        <v>0.10711378593007789</v>
      </c>
      <c r="BV52" s="281"/>
      <c r="BW52" s="327">
        <f>BW51/BW50</f>
        <v>0.10393022643913001</v>
      </c>
      <c r="BX52" s="281"/>
      <c r="BY52" s="327">
        <f>BY51/BY50</f>
        <v>0.10662221271283084</v>
      </c>
      <c r="BZ52" s="281"/>
      <c r="CA52" s="327">
        <f>CA51/CA50</f>
        <v>0.10908129812750771</v>
      </c>
      <c r="CB52" s="281"/>
      <c r="CC52" s="327">
        <f>CC51/CC50</f>
        <v>0.13010576903606408</v>
      </c>
      <c r="CD52" s="281"/>
      <c r="CE52" s="327">
        <f>CE51/CE50</f>
        <v>0.1094260662963288</v>
      </c>
      <c r="CF52" s="281"/>
      <c r="CG52" s="327">
        <f>CG51/CG50</f>
        <v>0.11373701511275505</v>
      </c>
      <c r="CH52" s="281"/>
      <c r="CI52" s="327">
        <f>CI51/CI50</f>
        <v>0.11388938806819175</v>
      </c>
      <c r="CJ52" s="281"/>
      <c r="CK52" s="327">
        <f>CK51/CK50</f>
        <v>0.11611178200013247</v>
      </c>
      <c r="CL52" s="281"/>
      <c r="CM52" s="327">
        <f>CM51/CM50</f>
        <v>0.11359529462669618</v>
      </c>
      <c r="CN52" s="281"/>
      <c r="CO52" s="327">
        <f>CO51/CO50</f>
        <v>0.11825667364730939</v>
      </c>
      <c r="CP52" s="281"/>
      <c r="CQ52" s="327">
        <f>CQ51/CQ50</f>
        <v>0.11825667364730939</v>
      </c>
      <c r="CR52" s="281"/>
      <c r="CS52" s="327">
        <f>CS51/CS50</f>
        <v>0.11245052687016065</v>
      </c>
      <c r="CT52" s="281"/>
      <c r="CU52" s="327">
        <f>CU51/CU50</f>
        <v>0.11273973187642417</v>
      </c>
      <c r="CV52" s="281"/>
      <c r="CW52" s="327">
        <f>CW51/CW50</f>
        <v>9.5743788404101651E-2</v>
      </c>
      <c r="CX52" s="281"/>
      <c r="CY52" s="327">
        <f>CY51/CY50</f>
        <v>9.6817655978153006E-2</v>
      </c>
      <c r="CZ52" s="281"/>
      <c r="DA52" s="327">
        <f>DA51/DA50</f>
        <v>9.7317744154057778E-2</v>
      </c>
      <c r="DB52" s="281"/>
      <c r="DC52" s="327">
        <f>DC51/DC50</f>
        <v>9.3060673936718893E-2</v>
      </c>
      <c r="DD52" s="281"/>
      <c r="DE52" s="327">
        <f>DE51/DE50</f>
        <v>0.13296848822307866</v>
      </c>
      <c r="DF52" s="281"/>
      <c r="DG52" s="327">
        <f>DG51/DG50</f>
        <v>0.13459564023718579</v>
      </c>
      <c r="DH52" s="281"/>
      <c r="DI52" s="327">
        <f>DI51/DI50</f>
        <v>0.13319621130486992</v>
      </c>
      <c r="DJ52" s="281"/>
      <c r="DK52" s="327">
        <f>DK51/DK50</f>
        <v>0.11149022512108886</v>
      </c>
      <c r="DL52" s="281"/>
      <c r="DM52" s="327">
        <f>DM51/DM50</f>
        <v>0.11291937100898992</v>
      </c>
      <c r="DN52" s="281"/>
      <c r="DO52" s="327">
        <f>DO51/DO50</f>
        <v>0.11017433525067241</v>
      </c>
      <c r="DP52" s="281"/>
      <c r="DQ52" s="327">
        <f>DQ51/DQ50</f>
        <v>0.11432159229432551</v>
      </c>
      <c r="DR52" s="281"/>
      <c r="DS52" s="327">
        <f>DS51/DS50</f>
        <v>0.11696943082828798</v>
      </c>
      <c r="DT52" s="281"/>
      <c r="DU52" s="301"/>
      <c r="DV52" s="301"/>
      <c r="DW52" s="301"/>
      <c r="DX52" s="301"/>
      <c r="DY52" s="301"/>
      <c r="DZ52" s="301"/>
      <c r="EA52" s="301"/>
      <c r="EB52" s="301"/>
      <c r="EC52" s="301"/>
      <c r="ED52" s="301"/>
      <c r="EE52" s="301"/>
      <c r="EF52" s="301"/>
      <c r="EG52" s="301"/>
      <c r="EH52" s="301"/>
      <c r="EI52" s="301"/>
      <c r="EJ52" s="301"/>
      <c r="EK52" s="301"/>
      <c r="EL52" s="301"/>
      <c r="EM52" s="301"/>
      <c r="EN52" s="327">
        <f>EN51/EN50</f>
        <v>0.11718994987617312</v>
      </c>
      <c r="EO52" s="281"/>
      <c r="EP52" s="327">
        <f>EP51/EP50</f>
        <v>0.11767057635688093</v>
      </c>
      <c r="EQ52" s="281"/>
      <c r="ER52" s="327">
        <f>ER51/ER50</f>
        <v>1.2308361781010902E-3</v>
      </c>
      <c r="ES52" s="281"/>
      <c r="ET52" s="327">
        <f>ET51/ET50</f>
        <v>0.12149565805290602</v>
      </c>
      <c r="EU52" s="281"/>
      <c r="EV52" s="327">
        <f>EV51/EV50</f>
        <v>0.11948081845062192</v>
      </c>
      <c r="EW52" s="281"/>
      <c r="EX52" s="327">
        <f>EX51/EX50</f>
        <v>0.11863264706021882</v>
      </c>
      <c r="EY52" s="281"/>
      <c r="EZ52" s="327">
        <f>EZ51/EZ50</f>
        <v>0.11683643774646006</v>
      </c>
      <c r="FA52" s="281"/>
      <c r="FB52" s="327">
        <f>FB51/FB50</f>
        <v>0.11538266818934299</v>
      </c>
      <c r="FC52" s="281"/>
      <c r="FD52" s="327">
        <f>FD51/FD50</f>
        <v>0.11154716856530573</v>
      </c>
      <c r="FE52" s="281"/>
      <c r="FF52" s="327">
        <f>FF51/FF50</f>
        <v>0.11674734576272652</v>
      </c>
      <c r="FG52" s="281"/>
      <c r="FH52" s="327">
        <f>FH51/FH50</f>
        <v>0.11810437694085507</v>
      </c>
      <c r="FI52" s="281"/>
      <c r="FJ52" s="327">
        <f>FJ51/FJ50</f>
        <v>0.12341615181638001</v>
      </c>
      <c r="FK52" s="281"/>
      <c r="FL52" s="327">
        <f>FL51/FL50</f>
        <v>0.1198960470492499</v>
      </c>
      <c r="FM52" s="281"/>
      <c r="FN52" s="327">
        <f>FN51/FN50</f>
        <v>0.12124038760200115</v>
      </c>
      <c r="FO52" s="281"/>
      <c r="FP52" s="327">
        <f>FP51/FP50</f>
        <v>0.12272917650241512</v>
      </c>
      <c r="FQ52" s="281"/>
      <c r="FR52" s="301"/>
      <c r="FS52" s="301"/>
      <c r="FT52" s="301"/>
      <c r="FU52" s="301"/>
      <c r="FV52" s="301"/>
      <c r="FW52" s="301"/>
      <c r="FX52" s="301"/>
      <c r="FY52" s="301"/>
      <c r="FZ52" s="301"/>
      <c r="GA52" s="301"/>
      <c r="GB52" s="301"/>
      <c r="GC52" s="301"/>
      <c r="GD52" s="301"/>
      <c r="GE52" s="301"/>
      <c r="GF52" s="289"/>
      <c r="GG52" s="289"/>
    </row>
    <row r="53" spans="1:189" ht="15" customHeight="1" outlineLevel="1" x14ac:dyDescent="0.3">
      <c r="A53" s="27"/>
      <c r="B53" s="301"/>
      <c r="C53" s="301"/>
      <c r="D53" s="301"/>
      <c r="E53" s="301"/>
      <c r="F53" s="29"/>
      <c r="G53" s="29" t="s">
        <v>60</v>
      </c>
      <c r="H53" s="5"/>
      <c r="I53" s="22"/>
      <c r="J53" s="23"/>
      <c r="K53" s="22"/>
      <c r="L53" s="23"/>
      <c r="M53" s="22"/>
      <c r="N53" s="23"/>
      <c r="O53" s="22"/>
      <c r="P53" s="23"/>
      <c r="Q53" s="22"/>
      <c r="R53" s="23"/>
      <c r="S53" s="22"/>
      <c r="T53" s="23"/>
      <c r="U53" s="22"/>
      <c r="V53" s="23"/>
      <c r="W53" s="22"/>
      <c r="X53" s="23"/>
      <c r="Y53" s="22"/>
      <c r="Z53" s="23"/>
      <c r="AA53" s="22"/>
      <c r="AB53" s="23"/>
      <c r="AC53" s="22"/>
      <c r="AD53" s="23"/>
      <c r="AE53" s="22"/>
      <c r="AF53" s="23"/>
      <c r="AG53" s="22"/>
      <c r="AH53" s="23"/>
      <c r="AI53" s="22"/>
      <c r="AJ53" s="23"/>
      <c r="AK53" s="22"/>
      <c r="AL53" s="23"/>
      <c r="AM53" s="22"/>
      <c r="AN53" s="23"/>
      <c r="AO53" s="22"/>
      <c r="AP53" s="23"/>
      <c r="AQ53" s="22"/>
      <c r="AR53" s="23"/>
      <c r="AS53" s="22"/>
      <c r="AT53" s="30"/>
      <c r="AU53" s="22"/>
      <c r="AV53" s="30"/>
      <c r="AW53" s="22"/>
      <c r="AX53" s="30"/>
      <c r="AY53" s="22"/>
      <c r="AZ53" s="30"/>
      <c r="BA53" s="22"/>
      <c r="BB53" s="30"/>
      <c r="BC53" s="22"/>
      <c r="BD53" s="30"/>
      <c r="BE53" s="338"/>
      <c r="BF53" s="281"/>
      <c r="BG53" s="338"/>
      <c r="BH53" s="281"/>
      <c r="BI53" s="338"/>
      <c r="BJ53" s="281"/>
      <c r="BK53" s="338"/>
      <c r="BL53" s="281"/>
      <c r="BM53" s="284">
        <v>2</v>
      </c>
      <c r="BN53" s="281"/>
      <c r="BO53" s="284">
        <v>2</v>
      </c>
      <c r="BP53" s="281"/>
      <c r="BQ53" s="284">
        <v>2</v>
      </c>
      <c r="BR53" s="281"/>
      <c r="BS53" s="284">
        <v>2</v>
      </c>
      <c r="BT53" s="281"/>
      <c r="BU53" s="284">
        <v>2</v>
      </c>
      <c r="BV53" s="281"/>
      <c r="BW53" s="284">
        <v>2</v>
      </c>
      <c r="BX53" s="281"/>
      <c r="BY53" s="284">
        <v>2</v>
      </c>
      <c r="BZ53" s="281"/>
      <c r="CA53" s="284">
        <v>2</v>
      </c>
      <c r="CB53" s="281"/>
      <c r="CC53" s="284">
        <v>2</v>
      </c>
      <c r="CD53" s="281"/>
      <c r="CE53" s="284">
        <v>2</v>
      </c>
      <c r="CF53" s="281"/>
      <c r="CG53" s="284">
        <v>2</v>
      </c>
      <c r="CH53" s="281"/>
      <c r="CI53" s="284">
        <v>2</v>
      </c>
      <c r="CJ53" s="281"/>
      <c r="CK53" s="284">
        <v>2</v>
      </c>
      <c r="CL53" s="281"/>
      <c r="CM53" s="284">
        <v>2</v>
      </c>
      <c r="CN53" s="281"/>
      <c r="CO53" s="284">
        <v>2</v>
      </c>
      <c r="CP53" s="281"/>
      <c r="CQ53" s="284">
        <v>2</v>
      </c>
      <c r="CR53" s="281"/>
      <c r="CS53" s="284">
        <v>2</v>
      </c>
      <c r="CT53" s="281"/>
      <c r="CU53" s="284">
        <v>2</v>
      </c>
      <c r="CV53" s="281"/>
      <c r="CW53" s="284">
        <v>2</v>
      </c>
      <c r="CX53" s="281"/>
      <c r="CY53" s="284">
        <v>2</v>
      </c>
      <c r="CZ53" s="281"/>
      <c r="DA53" s="284">
        <v>2</v>
      </c>
      <c r="DB53" s="281"/>
      <c r="DC53" s="284">
        <v>2</v>
      </c>
      <c r="DD53" s="281"/>
      <c r="DE53" s="284">
        <v>2</v>
      </c>
      <c r="DF53" s="281"/>
      <c r="DG53" s="284">
        <v>2</v>
      </c>
      <c r="DH53" s="281"/>
      <c r="DI53" s="284">
        <v>2</v>
      </c>
      <c r="DJ53" s="281"/>
      <c r="DK53" s="284">
        <v>2</v>
      </c>
      <c r="DL53" s="281"/>
      <c r="DM53" s="284">
        <v>2</v>
      </c>
      <c r="DN53" s="281"/>
      <c r="DO53" s="284">
        <v>2</v>
      </c>
      <c r="DP53" s="281"/>
      <c r="DQ53" s="284">
        <v>2</v>
      </c>
      <c r="DR53" s="281"/>
      <c r="DS53" s="284">
        <v>2</v>
      </c>
      <c r="DT53" s="281"/>
      <c r="DU53" s="301"/>
      <c r="DV53" s="301"/>
      <c r="DW53" s="301"/>
      <c r="DX53" s="301"/>
      <c r="DY53" s="301"/>
      <c r="DZ53" s="301"/>
      <c r="EA53" s="301"/>
      <c r="EB53" s="301"/>
      <c r="EC53" s="301"/>
      <c r="ED53" s="301"/>
      <c r="EE53" s="301"/>
      <c r="EF53" s="301"/>
      <c r="EG53" s="301"/>
      <c r="EH53" s="301"/>
      <c r="EI53" s="301"/>
      <c r="EJ53" s="301"/>
      <c r="EK53" s="301"/>
      <c r="EL53" s="301"/>
      <c r="EM53" s="301"/>
      <c r="EN53" s="284">
        <v>2</v>
      </c>
      <c r="EO53" s="281"/>
      <c r="EP53" s="284">
        <v>2</v>
      </c>
      <c r="EQ53" s="281"/>
      <c r="ER53" s="284">
        <v>2</v>
      </c>
      <c r="ES53" s="281"/>
      <c r="ET53" s="284">
        <v>2</v>
      </c>
      <c r="EU53" s="281"/>
      <c r="EV53" s="284">
        <v>2</v>
      </c>
      <c r="EW53" s="281"/>
      <c r="EX53" s="284">
        <v>2</v>
      </c>
      <c r="EY53" s="281"/>
      <c r="EZ53" s="284">
        <v>2</v>
      </c>
      <c r="FA53" s="281"/>
      <c r="FB53" s="284">
        <v>2</v>
      </c>
      <c r="FC53" s="281"/>
      <c r="FD53" s="284">
        <v>2</v>
      </c>
      <c r="FE53" s="281"/>
      <c r="FF53" s="284">
        <v>2</v>
      </c>
      <c r="FG53" s="281"/>
      <c r="FH53" s="284">
        <v>2</v>
      </c>
      <c r="FI53" s="281"/>
      <c r="FJ53" s="284">
        <v>2</v>
      </c>
      <c r="FK53" s="281"/>
      <c r="FL53" s="284">
        <v>2</v>
      </c>
      <c r="FM53" s="281"/>
      <c r="FN53" s="284">
        <v>2</v>
      </c>
      <c r="FO53" s="281"/>
      <c r="FP53" s="284">
        <v>2</v>
      </c>
      <c r="FQ53" s="281"/>
      <c r="FR53" s="301"/>
      <c r="FS53" s="301"/>
      <c r="FT53" s="301"/>
      <c r="FU53" s="301"/>
      <c r="FV53" s="301"/>
      <c r="FW53" s="301"/>
      <c r="FX53" s="301"/>
      <c r="FY53" s="301"/>
      <c r="FZ53" s="301"/>
      <c r="GA53" s="301"/>
      <c r="GB53" s="301"/>
      <c r="GC53" s="301"/>
      <c r="GD53" s="301"/>
      <c r="GE53" s="301"/>
      <c r="GF53" s="289"/>
      <c r="GG53" s="289"/>
    </row>
    <row r="54" spans="1:189" ht="12.75" customHeight="1" outlineLevel="1" x14ac:dyDescent="0.3">
      <c r="A54" s="27"/>
      <c r="B54" s="302"/>
      <c r="C54" s="302"/>
      <c r="D54" s="302"/>
      <c r="E54" s="302"/>
      <c r="F54" s="29" t="s">
        <v>53</v>
      </c>
      <c r="G54" s="29" t="s">
        <v>61</v>
      </c>
      <c r="H54" s="5"/>
      <c r="I54" s="22"/>
      <c r="J54" s="23"/>
      <c r="K54" s="22"/>
      <c r="L54" s="23"/>
      <c r="M54" s="22"/>
      <c r="N54" s="23"/>
      <c r="O54" s="22"/>
      <c r="P54" s="23"/>
      <c r="Q54" s="22"/>
      <c r="R54" s="23"/>
      <c r="S54" s="22"/>
      <c r="T54" s="23"/>
      <c r="U54" s="22"/>
      <c r="V54" s="23"/>
      <c r="W54" s="22"/>
      <c r="X54" s="23"/>
      <c r="Y54" s="22"/>
      <c r="Z54" s="23"/>
      <c r="AA54" s="22"/>
      <c r="AB54" s="23"/>
      <c r="AC54" s="22"/>
      <c r="AD54" s="23"/>
      <c r="AE54" s="22"/>
      <c r="AF54" s="23"/>
      <c r="AG54" s="22"/>
      <c r="AH54" s="23"/>
      <c r="AI54" s="22"/>
      <c r="AJ54" s="23"/>
      <c r="AK54" s="22"/>
      <c r="AL54" s="23"/>
      <c r="AM54" s="22"/>
      <c r="AN54" s="23"/>
      <c r="AO54" s="22"/>
      <c r="AP54" s="23"/>
      <c r="AQ54" s="22"/>
      <c r="AR54" s="23"/>
      <c r="AS54" s="22">
        <v>126505</v>
      </c>
      <c r="AT54" s="22">
        <v>4450</v>
      </c>
      <c r="AU54" s="22">
        <v>126505</v>
      </c>
      <c r="AV54" s="22">
        <v>4450</v>
      </c>
      <c r="AW54" s="22">
        <v>126505</v>
      </c>
      <c r="AX54" s="22">
        <v>4450</v>
      </c>
      <c r="AY54" s="22">
        <v>126505</v>
      </c>
      <c r="AZ54" s="22">
        <v>4450</v>
      </c>
      <c r="BA54" s="22">
        <v>126505</v>
      </c>
      <c r="BB54" s="22">
        <v>4450</v>
      </c>
      <c r="BC54" s="22">
        <v>126505</v>
      </c>
      <c r="BD54" s="22">
        <v>4450</v>
      </c>
      <c r="BE54" s="22">
        <v>126505</v>
      </c>
      <c r="BF54" s="22">
        <v>4450</v>
      </c>
      <c r="BG54" s="22">
        <v>126505</v>
      </c>
      <c r="BH54" s="22">
        <v>4450</v>
      </c>
      <c r="BI54" s="22">
        <v>126505</v>
      </c>
      <c r="BJ54" s="22">
        <v>4450</v>
      </c>
      <c r="BK54" s="22">
        <v>126505</v>
      </c>
      <c r="BL54" s="22">
        <v>4450</v>
      </c>
      <c r="BM54" s="22">
        <v>126505</v>
      </c>
      <c r="BN54" s="22">
        <v>4450</v>
      </c>
      <c r="BO54" s="22">
        <v>126505</v>
      </c>
      <c r="BP54" s="22">
        <v>4450</v>
      </c>
      <c r="BQ54" s="22">
        <v>126505</v>
      </c>
      <c r="BR54" s="22">
        <v>4450</v>
      </c>
      <c r="BS54" s="22">
        <v>126505</v>
      </c>
      <c r="BT54" s="22">
        <v>4450</v>
      </c>
      <c r="BU54" s="22">
        <v>126505</v>
      </c>
      <c r="BV54" s="22">
        <v>4450</v>
      </c>
      <c r="BW54" s="22">
        <v>126505</v>
      </c>
      <c r="BX54" s="22">
        <v>4450</v>
      </c>
      <c r="BY54" s="22">
        <v>126505</v>
      </c>
      <c r="BZ54" s="22">
        <v>4450</v>
      </c>
      <c r="CA54" s="22">
        <v>126505</v>
      </c>
      <c r="CB54" s="22">
        <v>4450</v>
      </c>
      <c r="CC54" s="22">
        <v>126505</v>
      </c>
      <c r="CD54" s="22">
        <v>4450</v>
      </c>
      <c r="CE54" s="22">
        <v>126505</v>
      </c>
      <c r="CF54" s="22">
        <v>4450</v>
      </c>
      <c r="CG54" s="22">
        <v>126505</v>
      </c>
      <c r="CH54" s="22">
        <v>4450</v>
      </c>
      <c r="CI54" s="22">
        <v>126505</v>
      </c>
      <c r="CJ54" s="22">
        <v>4450</v>
      </c>
      <c r="CK54" s="22">
        <v>126505</v>
      </c>
      <c r="CL54" s="22">
        <v>4450</v>
      </c>
      <c r="CM54" s="22">
        <v>126505</v>
      </c>
      <c r="CN54" s="22">
        <v>4450</v>
      </c>
      <c r="CO54" s="22">
        <v>126505</v>
      </c>
      <c r="CP54" s="22">
        <v>4450</v>
      </c>
      <c r="CQ54" s="22">
        <v>126505</v>
      </c>
      <c r="CR54" s="22">
        <v>4450</v>
      </c>
      <c r="CS54" s="22">
        <v>126505</v>
      </c>
      <c r="CT54" s="22">
        <v>4450</v>
      </c>
      <c r="CU54" s="22">
        <v>126505</v>
      </c>
      <c r="CV54" s="22">
        <v>4450</v>
      </c>
      <c r="CW54" s="22">
        <v>126505</v>
      </c>
      <c r="CX54" s="22">
        <v>4450</v>
      </c>
      <c r="CY54" s="22">
        <v>126505</v>
      </c>
      <c r="CZ54" s="22">
        <v>4450</v>
      </c>
      <c r="DA54" s="22">
        <v>126505</v>
      </c>
      <c r="DB54" s="22">
        <v>4450</v>
      </c>
      <c r="DC54" s="22">
        <v>126505</v>
      </c>
      <c r="DD54" s="22">
        <v>4450</v>
      </c>
      <c r="DE54" s="22">
        <v>126505</v>
      </c>
      <c r="DF54" s="22">
        <v>4450</v>
      </c>
      <c r="DG54" s="22">
        <v>126505</v>
      </c>
      <c r="DH54" s="22">
        <v>4450</v>
      </c>
      <c r="DI54" s="22">
        <v>126505</v>
      </c>
      <c r="DJ54" s="22">
        <v>4450</v>
      </c>
      <c r="DK54" s="22">
        <v>126505</v>
      </c>
      <c r="DL54" s="22">
        <v>4450</v>
      </c>
      <c r="DM54" s="22">
        <v>126505</v>
      </c>
      <c r="DN54" s="22">
        <v>4450</v>
      </c>
      <c r="DO54" s="22">
        <v>126505</v>
      </c>
      <c r="DP54" s="22">
        <v>4450</v>
      </c>
      <c r="DQ54" s="22">
        <v>126505</v>
      </c>
      <c r="DR54" s="22">
        <v>4450</v>
      </c>
      <c r="DS54" s="22">
        <v>126505</v>
      </c>
      <c r="DT54" s="22">
        <v>4450</v>
      </c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302"/>
      <c r="EM54" s="302"/>
      <c r="EN54" s="22">
        <v>126505</v>
      </c>
      <c r="EO54" s="22">
        <v>4450</v>
      </c>
      <c r="EP54" s="22">
        <v>126505</v>
      </c>
      <c r="EQ54" s="22">
        <v>4450</v>
      </c>
      <c r="ER54" s="22">
        <v>126505</v>
      </c>
      <c r="ES54" s="22">
        <v>4450</v>
      </c>
      <c r="ET54" s="22">
        <v>126505</v>
      </c>
      <c r="EU54" s="22">
        <v>4450</v>
      </c>
      <c r="EV54" s="22">
        <v>126505</v>
      </c>
      <c r="EW54" s="22">
        <v>4450</v>
      </c>
      <c r="EX54" s="22">
        <v>126505</v>
      </c>
      <c r="EY54" s="22">
        <v>4450</v>
      </c>
      <c r="EZ54" s="22">
        <v>126505</v>
      </c>
      <c r="FA54" s="22">
        <v>4450</v>
      </c>
      <c r="FB54" s="22">
        <v>126505</v>
      </c>
      <c r="FC54" s="22">
        <v>4450</v>
      </c>
      <c r="FD54" s="22">
        <v>126505</v>
      </c>
      <c r="FE54" s="22">
        <v>4450</v>
      </c>
      <c r="FF54" s="22">
        <v>126505</v>
      </c>
      <c r="FG54" s="22">
        <v>4450</v>
      </c>
      <c r="FH54" s="22">
        <v>126505</v>
      </c>
      <c r="FI54" s="22">
        <v>4450</v>
      </c>
      <c r="FJ54" s="22">
        <v>126505</v>
      </c>
      <c r="FK54" s="22">
        <v>4450</v>
      </c>
      <c r="FL54" s="22">
        <v>126505</v>
      </c>
      <c r="FM54" s="22">
        <v>4450</v>
      </c>
      <c r="FN54" s="22">
        <v>126505</v>
      </c>
      <c r="FO54" s="22">
        <v>4450</v>
      </c>
      <c r="FP54" s="22">
        <v>126505</v>
      </c>
      <c r="FQ54" s="22">
        <v>4450</v>
      </c>
      <c r="FR54" s="302"/>
      <c r="FS54" s="302"/>
      <c r="FT54" s="302"/>
      <c r="FU54" s="302"/>
      <c r="FV54" s="302"/>
      <c r="FW54" s="302"/>
      <c r="FX54" s="302"/>
      <c r="FY54" s="302"/>
      <c r="FZ54" s="302"/>
      <c r="GA54" s="302"/>
      <c r="GB54" s="302"/>
      <c r="GC54" s="302"/>
      <c r="GD54" s="302"/>
      <c r="GE54" s="302"/>
      <c r="GF54" s="290"/>
      <c r="GG54" s="290"/>
    </row>
    <row r="55" spans="1:189" ht="8.25" customHeight="1" x14ac:dyDescent="0.3">
      <c r="A55" s="1"/>
      <c r="B55" s="18"/>
      <c r="C55" s="18"/>
      <c r="D55" s="18"/>
      <c r="E55" s="18"/>
      <c r="F55" s="18"/>
      <c r="G55" s="3"/>
      <c r="H55" s="3"/>
      <c r="I55" s="19"/>
      <c r="J55" s="20"/>
      <c r="K55" s="19"/>
      <c r="L55" s="20"/>
      <c r="M55" s="19"/>
      <c r="N55" s="20"/>
      <c r="O55" s="19"/>
      <c r="P55" s="20"/>
      <c r="Q55" s="19"/>
      <c r="R55" s="20"/>
      <c r="S55" s="19"/>
      <c r="T55" s="20"/>
      <c r="U55" s="19"/>
      <c r="V55" s="20"/>
      <c r="W55" s="19"/>
      <c r="X55" s="20"/>
      <c r="Y55" s="19"/>
      <c r="Z55" s="20"/>
      <c r="AA55" s="19"/>
      <c r="AB55" s="20"/>
      <c r="AC55" s="19"/>
      <c r="AD55" s="20"/>
      <c r="AE55" s="19"/>
      <c r="AF55" s="20"/>
      <c r="AG55" s="19"/>
      <c r="AH55" s="20"/>
      <c r="AI55" s="19"/>
      <c r="AJ55" s="20"/>
      <c r="AK55" s="19"/>
      <c r="AL55" s="20"/>
      <c r="AM55" s="19"/>
      <c r="AN55" s="20"/>
      <c r="AO55" s="19"/>
      <c r="AP55" s="20"/>
      <c r="AQ55" s="19"/>
      <c r="AR55" s="20"/>
      <c r="AS55" s="19"/>
      <c r="AT55" s="20"/>
      <c r="AU55" s="19"/>
      <c r="AV55" s="20"/>
      <c r="AW55" s="19"/>
      <c r="AX55" s="20"/>
      <c r="AY55" s="19"/>
      <c r="AZ55" s="20"/>
      <c r="BA55" s="19"/>
      <c r="BB55" s="20"/>
      <c r="BC55" s="19"/>
      <c r="BD55" s="20"/>
      <c r="BE55" s="19"/>
      <c r="BF55" s="20"/>
      <c r="BG55" s="19"/>
      <c r="BH55" s="20"/>
      <c r="BI55" s="19"/>
      <c r="BJ55" s="20"/>
      <c r="BK55" s="19"/>
      <c r="BL55" s="20"/>
      <c r="BM55" s="19"/>
      <c r="BN55" s="20"/>
      <c r="BO55" s="19"/>
      <c r="BP55" s="20"/>
      <c r="BQ55" s="19"/>
      <c r="BR55" s="20"/>
      <c r="BS55" s="19"/>
      <c r="BT55" s="20"/>
      <c r="BU55" s="19"/>
      <c r="BV55" s="20"/>
      <c r="BW55" s="19"/>
      <c r="BX55" s="20"/>
      <c r="BY55" s="19"/>
      <c r="BZ55" s="20"/>
      <c r="CA55" s="19"/>
      <c r="CB55" s="20"/>
      <c r="CC55" s="19"/>
      <c r="CD55" s="20"/>
      <c r="CE55" s="19"/>
      <c r="CF55" s="20"/>
      <c r="CG55" s="19"/>
      <c r="CH55" s="20"/>
      <c r="CI55" s="19"/>
      <c r="CJ55" s="20"/>
      <c r="CK55" s="19"/>
      <c r="CL55" s="20"/>
      <c r="CM55" s="19"/>
      <c r="CN55" s="20"/>
      <c r="CO55" s="19"/>
      <c r="CP55" s="20"/>
      <c r="CQ55" s="19"/>
      <c r="CR55" s="20"/>
      <c r="CS55" s="19"/>
      <c r="CT55" s="20"/>
      <c r="CU55" s="19"/>
      <c r="CV55" s="20"/>
      <c r="CW55" s="19"/>
      <c r="CX55" s="20"/>
      <c r="CY55" s="19"/>
      <c r="CZ55" s="20"/>
      <c r="DA55" s="19"/>
      <c r="DB55" s="20"/>
      <c r="DC55" s="19"/>
      <c r="DD55" s="20"/>
      <c r="DE55" s="19"/>
      <c r="DF55" s="20"/>
      <c r="DG55" s="19"/>
      <c r="DH55" s="20"/>
      <c r="DI55" s="19"/>
      <c r="DJ55" s="20"/>
      <c r="DK55" s="19"/>
      <c r="DL55" s="20"/>
      <c r="DM55" s="19"/>
      <c r="DN55" s="20"/>
      <c r="DO55" s="19"/>
      <c r="DP55" s="20"/>
      <c r="DQ55" s="19"/>
      <c r="DR55" s="20"/>
      <c r="DS55" s="19"/>
      <c r="DT55" s="20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19"/>
      <c r="EO55" s="20"/>
      <c r="EP55" s="19"/>
      <c r="EQ55" s="20"/>
      <c r="ER55" s="19"/>
      <c r="ES55" s="20"/>
      <c r="ET55" s="19"/>
      <c r="EU55" s="20"/>
      <c r="EV55" s="19"/>
      <c r="EW55" s="20"/>
      <c r="EX55" s="19"/>
      <c r="EY55" s="20"/>
      <c r="EZ55" s="19"/>
      <c r="FA55" s="20"/>
      <c r="FB55" s="19"/>
      <c r="FC55" s="20"/>
      <c r="FD55" s="19"/>
      <c r="FE55" s="20"/>
      <c r="FF55" s="19"/>
      <c r="FG55" s="20"/>
      <c r="FH55" s="19"/>
      <c r="FI55" s="20"/>
      <c r="FJ55" s="19"/>
      <c r="FK55" s="20"/>
      <c r="FL55" s="19"/>
      <c r="FM55" s="20"/>
      <c r="FN55" s="19"/>
      <c r="FO55" s="20"/>
      <c r="FP55" s="19"/>
      <c r="FQ55" s="20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</row>
    <row r="56" spans="1:189" ht="8.25" customHeight="1" x14ac:dyDescent="0.3">
      <c r="A56" s="1"/>
      <c r="B56" s="18"/>
      <c r="C56" s="18"/>
      <c r="D56" s="18"/>
      <c r="E56" s="18"/>
      <c r="F56" s="18"/>
      <c r="G56" s="3"/>
      <c r="H56" s="3"/>
      <c r="I56" s="19"/>
      <c r="J56" s="20"/>
      <c r="K56" s="19"/>
      <c r="L56" s="20"/>
      <c r="M56" s="19"/>
      <c r="N56" s="20"/>
      <c r="O56" s="19"/>
      <c r="P56" s="20"/>
      <c r="Q56" s="19"/>
      <c r="R56" s="20"/>
      <c r="S56" s="19"/>
      <c r="T56" s="20"/>
      <c r="U56" s="19"/>
      <c r="V56" s="20"/>
      <c r="W56" s="19"/>
      <c r="X56" s="20"/>
      <c r="Y56" s="19"/>
      <c r="Z56" s="20"/>
      <c r="AA56" s="19"/>
      <c r="AB56" s="20"/>
      <c r="AC56" s="19"/>
      <c r="AD56" s="20"/>
      <c r="AE56" s="19"/>
      <c r="AF56" s="20"/>
      <c r="AG56" s="19"/>
      <c r="AH56" s="20"/>
      <c r="AI56" s="19"/>
      <c r="AJ56" s="20"/>
      <c r="AK56" s="19"/>
      <c r="AL56" s="20"/>
      <c r="AM56" s="19"/>
      <c r="AN56" s="20"/>
      <c r="AO56" s="19"/>
      <c r="AP56" s="20"/>
      <c r="AQ56" s="19"/>
      <c r="AR56" s="20"/>
      <c r="AS56" s="19"/>
      <c r="AT56" s="20"/>
      <c r="AU56" s="19"/>
      <c r="AV56" s="20"/>
      <c r="AW56" s="19"/>
      <c r="AX56" s="20"/>
      <c r="AY56" s="19"/>
      <c r="AZ56" s="20"/>
      <c r="BA56" s="19"/>
      <c r="BB56" s="20"/>
      <c r="BC56" s="19"/>
      <c r="BD56" s="20"/>
      <c r="BE56" s="19"/>
      <c r="BF56" s="20"/>
      <c r="BG56" s="19"/>
      <c r="BH56" s="20"/>
      <c r="BI56" s="19"/>
      <c r="BJ56" s="20"/>
      <c r="BK56" s="19"/>
      <c r="BL56" s="20"/>
      <c r="BM56" s="19"/>
      <c r="BN56" s="20"/>
      <c r="BO56" s="19"/>
      <c r="BP56" s="20"/>
      <c r="BQ56" s="19"/>
      <c r="BR56" s="20"/>
      <c r="BS56" s="19"/>
      <c r="BT56" s="20"/>
      <c r="BU56" s="19"/>
      <c r="BV56" s="20"/>
      <c r="BW56" s="19"/>
      <c r="BX56" s="20"/>
      <c r="BY56" s="19"/>
      <c r="BZ56" s="20"/>
      <c r="CA56" s="19"/>
      <c r="CB56" s="20"/>
      <c r="CC56" s="19"/>
      <c r="CD56" s="20"/>
      <c r="CE56" s="19"/>
      <c r="CF56" s="20"/>
      <c r="CG56" s="19"/>
      <c r="CH56" s="20"/>
      <c r="CI56" s="19"/>
      <c r="CJ56" s="20"/>
      <c r="CK56" s="19"/>
      <c r="CL56" s="20"/>
      <c r="CM56" s="19"/>
      <c r="CN56" s="20"/>
      <c r="CO56" s="19"/>
      <c r="CP56" s="20"/>
      <c r="CQ56" s="19"/>
      <c r="CR56" s="20"/>
      <c r="CS56" s="19"/>
      <c r="CT56" s="20"/>
      <c r="CU56" s="19"/>
      <c r="CV56" s="20"/>
      <c r="CW56" s="19"/>
      <c r="CX56" s="20"/>
      <c r="CY56" s="19"/>
      <c r="CZ56" s="20"/>
      <c r="DA56" s="19"/>
      <c r="DB56" s="20"/>
      <c r="DC56" s="19"/>
      <c r="DD56" s="20"/>
      <c r="DE56" s="19"/>
      <c r="DF56" s="20"/>
      <c r="DG56" s="19"/>
      <c r="DH56" s="20"/>
      <c r="DI56" s="19"/>
      <c r="DJ56" s="20"/>
      <c r="DK56" s="19"/>
      <c r="DL56" s="20"/>
      <c r="DM56" s="19"/>
      <c r="DN56" s="20"/>
      <c r="DO56" s="19"/>
      <c r="DP56" s="20"/>
      <c r="DQ56" s="19"/>
      <c r="DR56" s="20"/>
      <c r="DS56" s="19"/>
      <c r="DT56" s="20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19"/>
      <c r="EO56" s="20"/>
      <c r="EP56" s="19"/>
      <c r="EQ56" s="20"/>
      <c r="ER56" s="19"/>
      <c r="ES56" s="20"/>
      <c r="ET56" s="19"/>
      <c r="EU56" s="20"/>
      <c r="EV56" s="19"/>
      <c r="EW56" s="20"/>
      <c r="EX56" s="19"/>
      <c r="EY56" s="20"/>
      <c r="EZ56" s="19"/>
      <c r="FA56" s="20"/>
      <c r="FB56" s="19"/>
      <c r="FC56" s="20"/>
      <c r="FD56" s="19"/>
      <c r="FE56" s="20"/>
      <c r="FF56" s="19"/>
      <c r="FG56" s="20"/>
      <c r="FH56" s="19"/>
      <c r="FI56" s="20"/>
      <c r="FJ56" s="19"/>
      <c r="FK56" s="20"/>
      <c r="FL56" s="19"/>
      <c r="FM56" s="20"/>
      <c r="FN56" s="19"/>
      <c r="FO56" s="20"/>
      <c r="FP56" s="19"/>
      <c r="FQ56" s="20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</row>
    <row r="57" spans="1:189" ht="8.25" customHeight="1" x14ac:dyDescent="0.3">
      <c r="A57" s="1"/>
      <c r="B57" s="18"/>
      <c r="C57" s="18"/>
      <c r="D57" s="18"/>
      <c r="E57" s="18"/>
      <c r="F57" s="18"/>
      <c r="G57" s="3"/>
      <c r="H57" s="3"/>
      <c r="I57" s="19"/>
      <c r="J57" s="20"/>
      <c r="K57" s="19"/>
      <c r="L57" s="20"/>
      <c r="M57" s="19"/>
      <c r="N57" s="20"/>
      <c r="O57" s="19"/>
      <c r="P57" s="20"/>
      <c r="Q57" s="19"/>
      <c r="R57" s="20"/>
      <c r="S57" s="19"/>
      <c r="T57" s="20"/>
      <c r="U57" s="19"/>
      <c r="V57" s="20"/>
      <c r="W57" s="19"/>
      <c r="X57" s="20"/>
      <c r="Y57" s="19"/>
      <c r="Z57" s="20"/>
      <c r="AA57" s="19"/>
      <c r="AB57" s="20"/>
      <c r="AC57" s="19"/>
      <c r="AD57" s="20"/>
      <c r="AE57" s="19"/>
      <c r="AF57" s="20"/>
      <c r="AG57" s="19"/>
      <c r="AH57" s="20"/>
      <c r="AI57" s="19"/>
      <c r="AJ57" s="20"/>
      <c r="AK57" s="19"/>
      <c r="AL57" s="20"/>
      <c r="AM57" s="19"/>
      <c r="AN57" s="20"/>
      <c r="AO57" s="19"/>
      <c r="AP57" s="20"/>
      <c r="AQ57" s="19"/>
      <c r="AR57" s="20"/>
      <c r="AS57" s="19"/>
      <c r="AT57" s="20"/>
      <c r="AU57" s="19"/>
      <c r="AV57" s="20"/>
      <c r="AW57" s="19"/>
      <c r="AX57" s="20"/>
      <c r="AY57" s="19"/>
      <c r="AZ57" s="20"/>
      <c r="BA57" s="19"/>
      <c r="BB57" s="20"/>
      <c r="BC57" s="19"/>
      <c r="BD57" s="20"/>
      <c r="BE57" s="19"/>
      <c r="BF57" s="20"/>
      <c r="BG57" s="19"/>
      <c r="BH57" s="20"/>
      <c r="BI57" s="19"/>
      <c r="BJ57" s="20"/>
      <c r="BK57" s="19"/>
      <c r="BL57" s="20"/>
      <c r="BM57" s="19"/>
      <c r="BN57" s="20"/>
      <c r="BO57" s="19"/>
      <c r="BP57" s="20"/>
      <c r="BQ57" s="19"/>
      <c r="BR57" s="20"/>
      <c r="BS57" s="19"/>
      <c r="BT57" s="20"/>
      <c r="BU57" s="19"/>
      <c r="BV57" s="20"/>
      <c r="BW57" s="19"/>
      <c r="BX57" s="20"/>
      <c r="BY57" s="19"/>
      <c r="BZ57" s="20"/>
      <c r="CA57" s="19"/>
      <c r="CB57" s="20"/>
      <c r="CC57" s="19"/>
      <c r="CD57" s="20"/>
      <c r="CE57" s="19"/>
      <c r="CF57" s="20"/>
      <c r="CG57" s="19"/>
      <c r="CH57" s="20"/>
      <c r="CI57" s="19"/>
      <c r="CJ57" s="20"/>
      <c r="CK57" s="19"/>
      <c r="CL57" s="20"/>
      <c r="CM57" s="19"/>
      <c r="CN57" s="20"/>
      <c r="CO57" s="19"/>
      <c r="CP57" s="20"/>
      <c r="CQ57" s="19"/>
      <c r="CR57" s="20"/>
      <c r="CS57" s="19"/>
      <c r="CT57" s="20"/>
      <c r="CU57" s="19"/>
      <c r="CV57" s="20"/>
      <c r="CW57" s="19"/>
      <c r="CX57" s="20"/>
      <c r="CY57" s="19"/>
      <c r="CZ57" s="20"/>
      <c r="DA57" s="19"/>
      <c r="DB57" s="20"/>
      <c r="DC57" s="19"/>
      <c r="DD57" s="20"/>
      <c r="DE57" s="19"/>
      <c r="DF57" s="20"/>
      <c r="DG57" s="19"/>
      <c r="DH57" s="20"/>
      <c r="DI57" s="19"/>
      <c r="DJ57" s="20"/>
      <c r="DK57" s="19"/>
      <c r="DL57" s="20"/>
      <c r="DM57" s="19"/>
      <c r="DN57" s="20"/>
      <c r="DO57" s="19"/>
      <c r="DP57" s="20"/>
      <c r="DQ57" s="19"/>
      <c r="DR57" s="20"/>
      <c r="DS57" s="19"/>
      <c r="DT57" s="20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19"/>
      <c r="EO57" s="20"/>
      <c r="EP57" s="19"/>
      <c r="EQ57" s="20"/>
      <c r="ER57" s="19"/>
      <c r="ES57" s="20"/>
      <c r="ET57" s="19"/>
      <c r="EU57" s="20"/>
      <c r="EV57" s="19"/>
      <c r="EW57" s="20"/>
      <c r="EX57" s="19"/>
      <c r="EY57" s="20"/>
      <c r="EZ57" s="19"/>
      <c r="FA57" s="20"/>
      <c r="FB57" s="19"/>
      <c r="FC57" s="20"/>
      <c r="FD57" s="19"/>
      <c r="FE57" s="20"/>
      <c r="FF57" s="19"/>
      <c r="FG57" s="20"/>
      <c r="FH57" s="19"/>
      <c r="FI57" s="20"/>
      <c r="FJ57" s="19"/>
      <c r="FK57" s="20"/>
      <c r="FL57" s="19"/>
      <c r="FM57" s="20"/>
      <c r="FN57" s="19"/>
      <c r="FO57" s="20"/>
      <c r="FP57" s="19"/>
      <c r="FQ57" s="20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</row>
    <row r="58" spans="1:189" ht="8.25" customHeight="1" x14ac:dyDescent="0.3">
      <c r="A58" s="1"/>
      <c r="B58" s="18"/>
      <c r="C58" s="18"/>
      <c r="D58" s="18"/>
      <c r="E58" s="18"/>
      <c r="F58" s="18"/>
      <c r="G58" s="3"/>
      <c r="H58" s="3"/>
      <c r="I58" s="19"/>
      <c r="J58" s="20"/>
      <c r="K58" s="19"/>
      <c r="L58" s="20"/>
      <c r="M58" s="19"/>
      <c r="N58" s="20"/>
      <c r="O58" s="19"/>
      <c r="P58" s="20"/>
      <c r="Q58" s="19"/>
      <c r="R58" s="20"/>
      <c r="S58" s="19"/>
      <c r="T58" s="20"/>
      <c r="U58" s="19"/>
      <c r="V58" s="20"/>
      <c r="W58" s="19"/>
      <c r="X58" s="20"/>
      <c r="Y58" s="19"/>
      <c r="Z58" s="20"/>
      <c r="AA58" s="19"/>
      <c r="AB58" s="20"/>
      <c r="AC58" s="19"/>
      <c r="AD58" s="20"/>
      <c r="AE58" s="19"/>
      <c r="AF58" s="20"/>
      <c r="AG58" s="19"/>
      <c r="AH58" s="20"/>
      <c r="AI58" s="19"/>
      <c r="AJ58" s="20"/>
      <c r="AK58" s="19"/>
      <c r="AL58" s="20"/>
      <c r="AM58" s="19"/>
      <c r="AN58" s="20"/>
      <c r="AO58" s="19"/>
      <c r="AP58" s="20"/>
      <c r="AQ58" s="19"/>
      <c r="AR58" s="20"/>
      <c r="AS58" s="19"/>
      <c r="AT58" s="20"/>
      <c r="AU58" s="19"/>
      <c r="AV58" s="20"/>
      <c r="AW58" s="19"/>
      <c r="AX58" s="20"/>
      <c r="AY58" s="19"/>
      <c r="AZ58" s="20"/>
      <c r="BA58" s="19"/>
      <c r="BB58" s="20"/>
      <c r="BC58" s="19"/>
      <c r="BD58" s="20"/>
      <c r="BE58" s="19"/>
      <c r="BF58" s="20"/>
      <c r="BG58" s="19"/>
      <c r="BH58" s="20"/>
      <c r="BI58" s="19"/>
      <c r="BJ58" s="20"/>
      <c r="BK58" s="19"/>
      <c r="BL58" s="20"/>
      <c r="BM58" s="19"/>
      <c r="BN58" s="20"/>
      <c r="BO58" s="19"/>
      <c r="BP58" s="20"/>
      <c r="BQ58" s="19"/>
      <c r="BR58" s="20"/>
      <c r="BS58" s="19"/>
      <c r="BT58" s="20"/>
      <c r="BU58" s="19"/>
      <c r="BV58" s="20"/>
      <c r="BW58" s="19"/>
      <c r="BX58" s="20"/>
      <c r="BY58" s="19"/>
      <c r="BZ58" s="20"/>
      <c r="CA58" s="19"/>
      <c r="CB58" s="20"/>
      <c r="CC58" s="19"/>
      <c r="CD58" s="20"/>
      <c r="CE58" s="19"/>
      <c r="CF58" s="20"/>
      <c r="CG58" s="19"/>
      <c r="CH58" s="20"/>
      <c r="CI58" s="19"/>
      <c r="CJ58" s="20"/>
      <c r="CK58" s="19"/>
      <c r="CL58" s="20"/>
      <c r="CM58" s="19"/>
      <c r="CN58" s="20"/>
      <c r="CO58" s="19"/>
      <c r="CP58" s="20"/>
      <c r="CQ58" s="19"/>
      <c r="CR58" s="20"/>
      <c r="CS58" s="19"/>
      <c r="CT58" s="20"/>
      <c r="CU58" s="19"/>
      <c r="CV58" s="20"/>
      <c r="CW58" s="19"/>
      <c r="CX58" s="20"/>
      <c r="CY58" s="19"/>
      <c r="CZ58" s="20"/>
      <c r="DA58" s="19"/>
      <c r="DB58" s="20"/>
      <c r="DC58" s="19"/>
      <c r="DD58" s="20"/>
      <c r="DE58" s="19"/>
      <c r="DF58" s="20"/>
      <c r="DG58" s="19"/>
      <c r="DH58" s="20"/>
      <c r="DI58" s="19"/>
      <c r="DJ58" s="20"/>
      <c r="DK58" s="19"/>
      <c r="DL58" s="20"/>
      <c r="DM58" s="19"/>
      <c r="DN58" s="20"/>
      <c r="DO58" s="19"/>
      <c r="DP58" s="20"/>
      <c r="DQ58" s="19"/>
      <c r="DR58" s="20"/>
      <c r="DS58" s="19"/>
      <c r="DT58" s="20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19"/>
      <c r="EO58" s="20"/>
      <c r="EP58" s="19"/>
      <c r="EQ58" s="20"/>
      <c r="ER58" s="19"/>
      <c r="ES58" s="20"/>
      <c r="ET58" s="19"/>
      <c r="EU58" s="20"/>
      <c r="EV58" s="19"/>
      <c r="EW58" s="20"/>
      <c r="EX58" s="19"/>
      <c r="EY58" s="20"/>
      <c r="EZ58" s="19"/>
      <c r="FA58" s="20"/>
      <c r="FB58" s="19"/>
      <c r="FC58" s="20"/>
      <c r="FD58" s="19"/>
      <c r="FE58" s="20"/>
      <c r="FF58" s="19"/>
      <c r="FG58" s="20"/>
      <c r="FH58" s="19"/>
      <c r="FI58" s="20"/>
      <c r="FJ58" s="19"/>
      <c r="FK58" s="20"/>
      <c r="FL58" s="19"/>
      <c r="FM58" s="20"/>
      <c r="FN58" s="19"/>
      <c r="FO58" s="20"/>
      <c r="FP58" s="19"/>
      <c r="FQ58" s="20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</row>
    <row r="59" spans="1:189" ht="8.25" customHeight="1" x14ac:dyDescent="0.3">
      <c r="A59" s="1"/>
      <c r="B59" s="18"/>
      <c r="C59" s="18"/>
      <c r="D59" s="18"/>
      <c r="E59" s="18"/>
      <c r="F59" s="18"/>
      <c r="G59" s="3"/>
      <c r="H59" s="3"/>
      <c r="I59" s="19"/>
      <c r="J59" s="20"/>
      <c r="K59" s="19"/>
      <c r="L59" s="20"/>
      <c r="M59" s="19"/>
      <c r="N59" s="20"/>
      <c r="O59" s="19"/>
      <c r="P59" s="20"/>
      <c r="Q59" s="19"/>
      <c r="R59" s="20"/>
      <c r="S59" s="19"/>
      <c r="T59" s="20"/>
      <c r="U59" s="19"/>
      <c r="V59" s="20"/>
      <c r="W59" s="19"/>
      <c r="X59" s="20"/>
      <c r="Y59" s="19"/>
      <c r="Z59" s="20"/>
      <c r="AA59" s="19"/>
      <c r="AB59" s="20"/>
      <c r="AC59" s="19"/>
      <c r="AD59" s="20"/>
      <c r="AE59" s="19"/>
      <c r="AF59" s="20"/>
      <c r="AG59" s="19"/>
      <c r="AH59" s="20"/>
      <c r="AI59" s="19"/>
      <c r="AJ59" s="20"/>
      <c r="AK59" s="19"/>
      <c r="AL59" s="20"/>
      <c r="AM59" s="19"/>
      <c r="AN59" s="20"/>
      <c r="AO59" s="19"/>
      <c r="AP59" s="20"/>
      <c r="AQ59" s="19"/>
      <c r="AR59" s="20"/>
      <c r="AS59" s="19"/>
      <c r="AT59" s="20"/>
      <c r="AU59" s="19"/>
      <c r="AV59" s="20"/>
      <c r="AW59" s="19"/>
      <c r="AX59" s="20"/>
      <c r="AY59" s="19"/>
      <c r="AZ59" s="20"/>
      <c r="BA59" s="19"/>
      <c r="BB59" s="20"/>
      <c r="BC59" s="19"/>
      <c r="BD59" s="20"/>
      <c r="BE59" s="19"/>
      <c r="BF59" s="20"/>
      <c r="BG59" s="19"/>
      <c r="BH59" s="20"/>
      <c r="BI59" s="19"/>
      <c r="BJ59" s="20"/>
      <c r="BK59" s="19"/>
      <c r="BL59" s="20"/>
      <c r="BM59" s="19"/>
      <c r="BN59" s="20"/>
      <c r="BO59" s="19"/>
      <c r="BP59" s="20"/>
      <c r="BQ59" s="19"/>
      <c r="BR59" s="20"/>
      <c r="BS59" s="19"/>
      <c r="BT59" s="20"/>
      <c r="BU59" s="19"/>
      <c r="BV59" s="20"/>
      <c r="BW59" s="19"/>
      <c r="BX59" s="20"/>
      <c r="BY59" s="19"/>
      <c r="BZ59" s="20"/>
      <c r="CA59" s="19"/>
      <c r="CB59" s="20"/>
      <c r="CC59" s="19"/>
      <c r="CD59" s="20"/>
      <c r="CE59" s="19"/>
      <c r="CF59" s="20"/>
      <c r="CG59" s="19"/>
      <c r="CH59" s="20"/>
      <c r="CI59" s="19"/>
      <c r="CJ59" s="20"/>
      <c r="CK59" s="19"/>
      <c r="CL59" s="20"/>
      <c r="CM59" s="19"/>
      <c r="CN59" s="20"/>
      <c r="CO59" s="19"/>
      <c r="CP59" s="20"/>
      <c r="CQ59" s="19"/>
      <c r="CR59" s="20"/>
      <c r="CS59" s="19"/>
      <c r="CT59" s="20"/>
      <c r="CU59" s="19"/>
      <c r="CV59" s="20"/>
      <c r="CW59" s="19"/>
      <c r="CX59" s="20"/>
      <c r="CY59" s="19"/>
      <c r="CZ59" s="20"/>
      <c r="DA59" s="19"/>
      <c r="DB59" s="20"/>
      <c r="DC59" s="19"/>
      <c r="DD59" s="20"/>
      <c r="DE59" s="19"/>
      <c r="DF59" s="20"/>
      <c r="DG59" s="19"/>
      <c r="DH59" s="20"/>
      <c r="DI59" s="19"/>
      <c r="DJ59" s="20"/>
      <c r="DK59" s="19"/>
      <c r="DL59" s="20"/>
      <c r="DM59" s="19"/>
      <c r="DN59" s="20"/>
      <c r="DO59" s="19"/>
      <c r="DP59" s="20"/>
      <c r="DQ59" s="19"/>
      <c r="DR59" s="20"/>
      <c r="DS59" s="19"/>
      <c r="DT59" s="20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19"/>
      <c r="EO59" s="20"/>
      <c r="EP59" s="19"/>
      <c r="EQ59" s="20"/>
      <c r="ER59" s="19"/>
      <c r="ES59" s="20"/>
      <c r="ET59" s="19"/>
      <c r="EU59" s="20"/>
      <c r="EV59" s="19"/>
      <c r="EW59" s="20"/>
      <c r="EX59" s="19"/>
      <c r="EY59" s="20"/>
      <c r="EZ59" s="19"/>
      <c r="FA59" s="20"/>
      <c r="FB59" s="19"/>
      <c r="FC59" s="20"/>
      <c r="FD59" s="19"/>
      <c r="FE59" s="20"/>
      <c r="FF59" s="19"/>
      <c r="FG59" s="20"/>
      <c r="FH59" s="19"/>
      <c r="FI59" s="20"/>
      <c r="FJ59" s="19"/>
      <c r="FK59" s="20"/>
      <c r="FL59" s="19"/>
      <c r="FM59" s="20"/>
      <c r="FN59" s="19"/>
      <c r="FO59" s="20"/>
      <c r="FP59" s="19"/>
      <c r="FQ59" s="20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</row>
    <row r="60" spans="1:189" ht="8.25" customHeight="1" x14ac:dyDescent="0.3">
      <c r="A60" s="1"/>
      <c r="B60" s="18"/>
      <c r="C60" s="18"/>
      <c r="D60" s="18"/>
      <c r="E60" s="18"/>
      <c r="F60" s="18"/>
      <c r="G60" s="3"/>
      <c r="H60" s="3"/>
      <c r="I60" s="19"/>
      <c r="J60" s="20"/>
      <c r="K60" s="19"/>
      <c r="L60" s="20"/>
      <c r="M60" s="19"/>
      <c r="N60" s="20"/>
      <c r="O60" s="19"/>
      <c r="P60" s="20"/>
      <c r="Q60" s="19"/>
      <c r="R60" s="20"/>
      <c r="S60" s="19"/>
      <c r="T60" s="20"/>
      <c r="U60" s="19"/>
      <c r="V60" s="20"/>
      <c r="W60" s="19"/>
      <c r="X60" s="20"/>
      <c r="Y60" s="19"/>
      <c r="Z60" s="20"/>
      <c r="AA60" s="19"/>
      <c r="AB60" s="20"/>
      <c r="AC60" s="19"/>
      <c r="AD60" s="20"/>
      <c r="AE60" s="19"/>
      <c r="AF60" s="20"/>
      <c r="AG60" s="19"/>
      <c r="AH60" s="20"/>
      <c r="AI60" s="19"/>
      <c r="AJ60" s="20"/>
      <c r="AK60" s="19"/>
      <c r="AL60" s="20"/>
      <c r="AM60" s="19"/>
      <c r="AN60" s="20"/>
      <c r="AO60" s="19"/>
      <c r="AP60" s="20"/>
      <c r="AQ60" s="19"/>
      <c r="AR60" s="20"/>
      <c r="AS60" s="19"/>
      <c r="AT60" s="20"/>
      <c r="AU60" s="19"/>
      <c r="AV60" s="20"/>
      <c r="AW60" s="19"/>
      <c r="AX60" s="20"/>
      <c r="AY60" s="19"/>
      <c r="AZ60" s="20"/>
      <c r="BA60" s="19"/>
      <c r="BB60" s="20"/>
      <c r="BC60" s="19"/>
      <c r="BD60" s="20"/>
      <c r="BE60" s="19"/>
      <c r="BF60" s="20"/>
      <c r="BG60" s="19"/>
      <c r="BH60" s="20"/>
      <c r="BI60" s="19"/>
      <c r="BJ60" s="20"/>
      <c r="BK60" s="19"/>
      <c r="BL60" s="20"/>
      <c r="BM60" s="19"/>
      <c r="BN60" s="20"/>
      <c r="BO60" s="19"/>
      <c r="BP60" s="20"/>
      <c r="BQ60" s="19"/>
      <c r="BR60" s="20"/>
      <c r="BS60" s="19"/>
      <c r="BT60" s="20"/>
      <c r="BU60" s="19"/>
      <c r="BV60" s="20"/>
      <c r="BW60" s="19"/>
      <c r="BX60" s="20"/>
      <c r="BY60" s="19"/>
      <c r="BZ60" s="20"/>
      <c r="CA60" s="19"/>
      <c r="CB60" s="20"/>
      <c r="CC60" s="19"/>
      <c r="CD60" s="20"/>
      <c r="CE60" s="19"/>
      <c r="CF60" s="20"/>
      <c r="CG60" s="19"/>
      <c r="CH60" s="20"/>
      <c r="CI60" s="19"/>
      <c r="CJ60" s="20"/>
      <c r="CK60" s="19"/>
      <c r="CL60" s="20"/>
      <c r="CM60" s="19"/>
      <c r="CN60" s="20"/>
      <c r="CO60" s="19"/>
      <c r="CP60" s="20"/>
      <c r="CQ60" s="19"/>
      <c r="CR60" s="20"/>
      <c r="CS60" s="19"/>
      <c r="CT60" s="20"/>
      <c r="CU60" s="19"/>
      <c r="CV60" s="20"/>
      <c r="CW60" s="19"/>
      <c r="CX60" s="20"/>
      <c r="CY60" s="19"/>
      <c r="CZ60" s="20"/>
      <c r="DA60" s="19"/>
      <c r="DB60" s="20"/>
      <c r="DC60" s="19"/>
      <c r="DD60" s="20"/>
      <c r="DE60" s="19"/>
      <c r="DF60" s="20"/>
      <c r="DG60" s="19"/>
      <c r="DH60" s="20"/>
      <c r="DI60" s="19"/>
      <c r="DJ60" s="20"/>
      <c r="DK60" s="19"/>
      <c r="DL60" s="20"/>
      <c r="DM60" s="19"/>
      <c r="DN60" s="20"/>
      <c r="DO60" s="19"/>
      <c r="DP60" s="20"/>
      <c r="DQ60" s="19"/>
      <c r="DR60" s="20"/>
      <c r="DS60" s="19"/>
      <c r="DT60" s="20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19"/>
      <c r="EO60" s="20"/>
      <c r="EP60" s="19"/>
      <c r="EQ60" s="20"/>
      <c r="ER60" s="19"/>
      <c r="ES60" s="20"/>
      <c r="ET60" s="19"/>
      <c r="EU60" s="20"/>
      <c r="EV60" s="19"/>
      <c r="EW60" s="20"/>
      <c r="EX60" s="19"/>
      <c r="EY60" s="20"/>
      <c r="EZ60" s="19"/>
      <c r="FA60" s="20"/>
      <c r="FB60" s="19"/>
      <c r="FC60" s="20"/>
      <c r="FD60" s="19"/>
      <c r="FE60" s="20"/>
      <c r="FF60" s="19"/>
      <c r="FG60" s="20"/>
      <c r="FH60" s="19"/>
      <c r="FI60" s="20"/>
      <c r="FJ60" s="19"/>
      <c r="FK60" s="20"/>
      <c r="FL60" s="19"/>
      <c r="FM60" s="20"/>
      <c r="FN60" s="19"/>
      <c r="FO60" s="20"/>
      <c r="FP60" s="19"/>
      <c r="FQ60" s="20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</row>
    <row r="61" spans="1:189" ht="15" customHeight="1" x14ac:dyDescent="0.3">
      <c r="A61" s="31"/>
      <c r="B61" s="313" t="s">
        <v>62</v>
      </c>
      <c r="C61" s="313" t="s">
        <v>24</v>
      </c>
      <c r="D61" s="313" t="s">
        <v>25</v>
      </c>
      <c r="E61" s="313" t="s">
        <v>63</v>
      </c>
      <c r="F61" s="313" t="s">
        <v>27</v>
      </c>
      <c r="G61" s="5" t="s">
        <v>28</v>
      </c>
      <c r="H61" s="5"/>
      <c r="I61" s="336">
        <v>6.7999999999999996E-3</v>
      </c>
      <c r="J61" s="281"/>
      <c r="K61" s="336">
        <v>6.7999999999999996E-3</v>
      </c>
      <c r="L61" s="281"/>
      <c r="M61" s="336">
        <v>6.7999999999999996E-3</v>
      </c>
      <c r="N61" s="281"/>
      <c r="O61" s="336">
        <v>6.7999999999999996E-3</v>
      </c>
      <c r="P61" s="281"/>
      <c r="Q61" s="336">
        <v>6.7999999999999996E-3</v>
      </c>
      <c r="R61" s="281"/>
      <c r="S61" s="336">
        <v>6.7999999999999996E-3</v>
      </c>
      <c r="T61" s="281"/>
      <c r="U61" s="336">
        <v>6.7999999999999996E-3</v>
      </c>
      <c r="V61" s="281"/>
      <c r="W61" s="336">
        <v>6.7999999999999996E-3</v>
      </c>
      <c r="X61" s="281"/>
      <c r="Y61" s="336">
        <v>6.7999999999999996E-3</v>
      </c>
      <c r="Z61" s="281"/>
      <c r="AA61" s="336">
        <v>6.7999999999999996E-3</v>
      </c>
      <c r="AB61" s="281"/>
      <c r="AC61" s="336">
        <v>6.7999999999999996E-3</v>
      </c>
      <c r="AD61" s="281"/>
      <c r="AE61" s="336">
        <v>6.7999999999999996E-3</v>
      </c>
      <c r="AF61" s="281"/>
      <c r="AG61" s="336">
        <v>6.7999999999999996E-3</v>
      </c>
      <c r="AH61" s="281"/>
      <c r="AI61" s="336">
        <v>5.4000000000000003E-3</v>
      </c>
      <c r="AJ61" s="281"/>
      <c r="AK61" s="336">
        <v>5.4000000000000003E-3</v>
      </c>
      <c r="AL61" s="281"/>
      <c r="AM61" s="336">
        <v>5.4000000000000003E-3</v>
      </c>
      <c r="AN61" s="281"/>
      <c r="AO61" s="336">
        <v>5.4000000000000003E-3</v>
      </c>
      <c r="AP61" s="281"/>
      <c r="AQ61" s="336">
        <v>5.4000000000000003E-3</v>
      </c>
      <c r="AR61" s="281"/>
      <c r="AS61" s="336">
        <v>5.4000000000000003E-3</v>
      </c>
      <c r="AT61" s="281"/>
      <c r="AU61" s="336">
        <v>5.4000000000000003E-3</v>
      </c>
      <c r="AV61" s="281"/>
      <c r="AW61" s="336">
        <v>5.4000000000000003E-3</v>
      </c>
      <c r="AX61" s="281"/>
      <c r="AY61" s="336">
        <v>5.4000000000000003E-3</v>
      </c>
      <c r="AZ61" s="281"/>
      <c r="BA61" s="336">
        <v>5.4000000000000003E-3</v>
      </c>
      <c r="BB61" s="281"/>
      <c r="BC61" s="336">
        <v>5.4000000000000003E-3</v>
      </c>
      <c r="BD61" s="281"/>
      <c r="BE61" s="336">
        <v>5.4000000000000003E-3</v>
      </c>
      <c r="BF61" s="281"/>
      <c r="BG61" s="336">
        <v>5.4000000000000003E-3</v>
      </c>
      <c r="BH61" s="281"/>
      <c r="BI61" s="336">
        <v>5.4000000000000003E-3</v>
      </c>
      <c r="BJ61" s="281"/>
      <c r="BK61" s="336">
        <v>5.4000000000000003E-3</v>
      </c>
      <c r="BL61" s="281"/>
      <c r="BM61" s="336">
        <v>5.4000000000000003E-3</v>
      </c>
      <c r="BN61" s="281"/>
      <c r="BO61" s="419">
        <v>5.4000000000000003E-3</v>
      </c>
      <c r="BP61" s="281"/>
      <c r="BQ61" s="336">
        <v>5.4000000000000003E-3</v>
      </c>
      <c r="BR61" s="281"/>
      <c r="BS61" s="336">
        <v>5.4000000000000003E-3</v>
      </c>
      <c r="BT61" s="281"/>
      <c r="BU61" s="336">
        <v>5.4000000000000003E-3</v>
      </c>
      <c r="BV61" s="281"/>
      <c r="BW61" s="336">
        <v>5.4000000000000003E-3</v>
      </c>
      <c r="BX61" s="281"/>
      <c r="BY61" s="336">
        <v>5.4000000000000003E-3</v>
      </c>
      <c r="BZ61" s="281"/>
      <c r="CA61" s="336">
        <v>5.4000000000000003E-3</v>
      </c>
      <c r="CB61" s="281"/>
      <c r="CC61" s="336">
        <v>5.4000000000000003E-3</v>
      </c>
      <c r="CD61" s="281"/>
      <c r="CE61" s="336">
        <v>5.4000000000000003E-3</v>
      </c>
      <c r="CF61" s="281"/>
      <c r="CG61" s="336">
        <v>5.4000000000000003E-3</v>
      </c>
      <c r="CH61" s="281"/>
      <c r="CI61" s="336">
        <v>5.4000000000000003E-3</v>
      </c>
      <c r="CJ61" s="281"/>
      <c r="CK61" s="336">
        <v>5.4000000000000003E-3</v>
      </c>
      <c r="CL61" s="281"/>
      <c r="CM61" s="336">
        <v>5.4000000000000003E-3</v>
      </c>
      <c r="CN61" s="281"/>
      <c r="CO61" s="336">
        <v>5.4000000000000003E-3</v>
      </c>
      <c r="CP61" s="281"/>
      <c r="CQ61" s="336">
        <v>5.4000000000000003E-3</v>
      </c>
      <c r="CR61" s="281"/>
      <c r="CS61" s="336">
        <v>5.4000000000000003E-3</v>
      </c>
      <c r="CT61" s="281"/>
      <c r="CU61" s="336">
        <v>5.4000000000000003E-3</v>
      </c>
      <c r="CV61" s="281"/>
      <c r="CW61" s="336">
        <v>5.4000000000000003E-3</v>
      </c>
      <c r="CX61" s="281"/>
      <c r="CY61" s="336">
        <v>5.4000000000000003E-3</v>
      </c>
      <c r="CZ61" s="281"/>
      <c r="DA61" s="336">
        <v>5.4000000000000003E-3</v>
      </c>
      <c r="DB61" s="281"/>
      <c r="DC61" s="336">
        <v>5.4000000000000003E-3</v>
      </c>
      <c r="DD61" s="281"/>
      <c r="DE61" s="336">
        <v>5.4000000000000003E-3</v>
      </c>
      <c r="DF61" s="281"/>
      <c r="DG61" s="336">
        <v>5.4000000000000003E-3</v>
      </c>
      <c r="DH61" s="281"/>
      <c r="DI61" s="336">
        <v>5.4000000000000003E-3</v>
      </c>
      <c r="DJ61" s="281"/>
      <c r="DK61" s="336">
        <v>5.4000000000000003E-3</v>
      </c>
      <c r="DL61" s="281"/>
      <c r="DM61" s="336">
        <v>5.4000000000000003E-3</v>
      </c>
      <c r="DN61" s="281"/>
      <c r="DO61" s="336">
        <v>5.4000000000000003E-3</v>
      </c>
      <c r="DP61" s="281"/>
      <c r="DQ61" s="336">
        <v>5.4000000000000003E-3</v>
      </c>
      <c r="DR61" s="281"/>
      <c r="DS61" s="336">
        <v>5.4000000000000003E-3</v>
      </c>
      <c r="DT61" s="281"/>
      <c r="DU61" s="388" t="s">
        <v>29</v>
      </c>
      <c r="DV61" s="388" t="s">
        <v>29</v>
      </c>
      <c r="DW61" s="388" t="s">
        <v>29</v>
      </c>
      <c r="DX61" s="388" t="s">
        <v>29</v>
      </c>
      <c r="DY61" s="388" t="s">
        <v>29</v>
      </c>
      <c r="DZ61" s="388" t="s">
        <v>29</v>
      </c>
      <c r="EA61" s="388" t="s">
        <v>29</v>
      </c>
      <c r="EB61" s="388" t="s">
        <v>29</v>
      </c>
      <c r="EC61" s="388" t="s">
        <v>29</v>
      </c>
      <c r="ED61" s="388" t="s">
        <v>29</v>
      </c>
      <c r="EE61" s="388" t="s">
        <v>29</v>
      </c>
      <c r="EF61" s="388" t="s">
        <v>29</v>
      </c>
      <c r="EG61" s="388"/>
      <c r="EH61" s="388" t="s">
        <v>29</v>
      </c>
      <c r="EI61" s="388" t="s">
        <v>29</v>
      </c>
      <c r="EJ61" s="388" t="s">
        <v>404</v>
      </c>
      <c r="EK61" s="388" t="s">
        <v>404</v>
      </c>
      <c r="EL61" s="388" t="s">
        <v>404</v>
      </c>
      <c r="EM61" s="388"/>
      <c r="EN61" s="336">
        <v>5.4000000000000003E-3</v>
      </c>
      <c r="EO61" s="281"/>
      <c r="EP61" s="336">
        <v>5.4000000000000003E-3</v>
      </c>
      <c r="EQ61" s="281"/>
      <c r="ER61" s="336">
        <v>5.4000000000000003E-3</v>
      </c>
      <c r="ES61" s="281"/>
      <c r="ET61" s="336">
        <v>5.4000000000000003E-3</v>
      </c>
      <c r="EU61" s="281"/>
      <c r="EV61" s="336">
        <v>5.4000000000000003E-3</v>
      </c>
      <c r="EW61" s="281"/>
      <c r="EX61" s="336">
        <v>5.4000000000000003E-3</v>
      </c>
      <c r="EY61" s="281"/>
      <c r="EZ61" s="336">
        <v>5.4000000000000003E-3</v>
      </c>
      <c r="FA61" s="281"/>
      <c r="FB61" s="336">
        <v>5.4000000000000003E-3</v>
      </c>
      <c r="FC61" s="281"/>
      <c r="FD61" s="336">
        <v>5.4000000000000003E-3</v>
      </c>
      <c r="FE61" s="281"/>
      <c r="FF61" s="336">
        <v>5.4000000000000003E-3</v>
      </c>
      <c r="FG61" s="281"/>
      <c r="FH61" s="336">
        <v>5.4000000000000003E-3</v>
      </c>
      <c r="FI61" s="281"/>
      <c r="FJ61" s="336">
        <v>5.4000000000000003E-3</v>
      </c>
      <c r="FK61" s="281"/>
      <c r="FL61" s="336">
        <v>5.4000000000000003E-3</v>
      </c>
      <c r="FM61" s="281"/>
      <c r="FN61" s="336">
        <v>5.4000000000000003E-3</v>
      </c>
      <c r="FO61" s="281"/>
      <c r="FP61" s="336">
        <v>5.4000000000000003E-3</v>
      </c>
      <c r="FQ61" s="281"/>
      <c r="FR61" s="388"/>
      <c r="FS61" s="388"/>
      <c r="FT61" s="388"/>
      <c r="FU61" s="388"/>
      <c r="FV61" s="388"/>
      <c r="FW61" s="388"/>
      <c r="FX61" s="285"/>
      <c r="FY61" s="285"/>
      <c r="FZ61" s="285"/>
      <c r="GA61" s="285"/>
      <c r="GB61" s="285"/>
      <c r="GC61" s="285"/>
      <c r="GD61" s="285"/>
      <c r="GE61" s="285"/>
      <c r="GF61" s="294"/>
      <c r="GG61" s="294"/>
    </row>
    <row r="62" spans="1:189" ht="4.5" customHeight="1" x14ac:dyDescent="0.3">
      <c r="A62" s="31"/>
      <c r="B62" s="301"/>
      <c r="C62" s="301"/>
      <c r="D62" s="301"/>
      <c r="E62" s="301"/>
      <c r="F62" s="301"/>
      <c r="G62" s="5"/>
      <c r="H62" s="5"/>
      <c r="I62" s="282"/>
      <c r="J62" s="281"/>
      <c r="K62" s="351"/>
      <c r="L62" s="281"/>
      <c r="M62" s="351"/>
      <c r="N62" s="281"/>
      <c r="O62" s="351"/>
      <c r="P62" s="281"/>
      <c r="Q62" s="351"/>
      <c r="R62" s="281"/>
      <c r="S62" s="351"/>
      <c r="T62" s="281"/>
      <c r="U62" s="328"/>
      <c r="V62" s="281"/>
      <c r="W62" s="328"/>
      <c r="X62" s="281"/>
      <c r="Y62" s="328"/>
      <c r="Z62" s="281"/>
      <c r="AA62" s="328"/>
      <c r="AB62" s="281"/>
      <c r="AC62" s="328"/>
      <c r="AD62" s="281"/>
      <c r="AE62" s="328"/>
      <c r="AF62" s="281"/>
      <c r="AG62" s="351"/>
      <c r="AH62" s="281"/>
      <c r="AI62" s="351"/>
      <c r="AJ62" s="281"/>
      <c r="AK62" s="351"/>
      <c r="AL62" s="281"/>
      <c r="AM62" s="351"/>
      <c r="AN62" s="281"/>
      <c r="AO62" s="328"/>
      <c r="AP62" s="281"/>
      <c r="AQ62" s="328"/>
      <c r="AR62" s="281"/>
      <c r="AS62" s="328"/>
      <c r="AT62" s="281"/>
      <c r="AU62" s="351"/>
      <c r="AV62" s="281"/>
      <c r="AW62" s="328"/>
      <c r="AX62" s="281"/>
      <c r="AY62" s="328"/>
      <c r="AZ62" s="281"/>
      <c r="BA62" s="328"/>
      <c r="BB62" s="281"/>
      <c r="BC62" s="328"/>
      <c r="BD62" s="281"/>
      <c r="BE62" s="328"/>
      <c r="BF62" s="281"/>
      <c r="BG62" s="328"/>
      <c r="BH62" s="281"/>
      <c r="BI62" s="328"/>
      <c r="BJ62" s="281"/>
      <c r="BK62" s="328"/>
      <c r="BL62" s="281"/>
      <c r="BM62" s="328"/>
      <c r="BN62" s="281"/>
      <c r="BO62" s="328"/>
      <c r="BP62" s="281"/>
      <c r="BQ62" s="351"/>
      <c r="BR62" s="281"/>
      <c r="BS62" s="351"/>
      <c r="BT62" s="281"/>
      <c r="BU62" s="328"/>
      <c r="BV62" s="281"/>
      <c r="BW62" s="328"/>
      <c r="BX62" s="281"/>
      <c r="BY62" s="351"/>
      <c r="BZ62" s="281"/>
      <c r="CA62" s="351"/>
      <c r="CB62" s="281"/>
      <c r="CC62" s="328"/>
      <c r="CD62" s="281"/>
      <c r="CE62" s="328"/>
      <c r="CF62" s="281"/>
      <c r="CG62" s="328"/>
      <c r="CH62" s="281"/>
      <c r="CI62" s="328"/>
      <c r="CJ62" s="281"/>
      <c r="CK62" s="328"/>
      <c r="CL62" s="281"/>
      <c r="CM62" s="328"/>
      <c r="CN62" s="281"/>
      <c r="CO62" s="351"/>
      <c r="CP62" s="281"/>
      <c r="CQ62" s="351"/>
      <c r="CR62" s="281"/>
      <c r="CS62" s="328"/>
      <c r="CT62" s="281"/>
      <c r="CU62" s="328"/>
      <c r="CV62" s="281"/>
      <c r="CW62" s="328"/>
      <c r="CX62" s="281"/>
      <c r="CY62" s="328"/>
      <c r="CZ62" s="281"/>
      <c r="DA62" s="328"/>
      <c r="DB62" s="281"/>
      <c r="DC62" s="328"/>
      <c r="DD62" s="281"/>
      <c r="DE62" s="328"/>
      <c r="DF62" s="281"/>
      <c r="DG62" s="328"/>
      <c r="DH62" s="281"/>
      <c r="DI62" s="328"/>
      <c r="DJ62" s="281"/>
      <c r="DK62" s="328"/>
      <c r="DL62" s="281"/>
      <c r="DM62" s="328"/>
      <c r="DN62" s="281"/>
      <c r="DO62" s="328"/>
      <c r="DP62" s="281"/>
      <c r="DQ62" s="328"/>
      <c r="DR62" s="281"/>
      <c r="DS62" s="328"/>
      <c r="DT62" s="281"/>
      <c r="DU62" s="301"/>
      <c r="DV62" s="301"/>
      <c r="DW62" s="301"/>
      <c r="DX62" s="301"/>
      <c r="DY62" s="301"/>
      <c r="DZ62" s="301"/>
      <c r="EA62" s="301"/>
      <c r="EB62" s="301"/>
      <c r="EC62" s="301"/>
      <c r="ED62" s="301"/>
      <c r="EE62" s="301"/>
      <c r="EF62" s="301"/>
      <c r="EG62" s="301"/>
      <c r="EH62" s="301"/>
      <c r="EI62" s="301"/>
      <c r="EJ62" s="301"/>
      <c r="EK62" s="301"/>
      <c r="EL62" s="301"/>
      <c r="EM62" s="301"/>
      <c r="EN62" s="328"/>
      <c r="EO62" s="281"/>
      <c r="EP62" s="328"/>
      <c r="EQ62" s="281"/>
      <c r="ER62" s="328"/>
      <c r="ES62" s="281"/>
      <c r="ET62" s="328"/>
      <c r="EU62" s="281"/>
      <c r="EV62" s="328"/>
      <c r="EW62" s="281"/>
      <c r="EX62" s="328"/>
      <c r="EY62" s="281"/>
      <c r="EZ62" s="328"/>
      <c r="FA62" s="281"/>
      <c r="FB62" s="328"/>
      <c r="FC62" s="281"/>
      <c r="FD62" s="328"/>
      <c r="FE62" s="281"/>
      <c r="FF62" s="328"/>
      <c r="FG62" s="281"/>
      <c r="FH62" s="328"/>
      <c r="FI62" s="281"/>
      <c r="FJ62" s="328"/>
      <c r="FK62" s="281"/>
      <c r="FL62" s="328"/>
      <c r="FM62" s="281"/>
      <c r="FN62" s="328"/>
      <c r="FO62" s="281"/>
      <c r="FP62" s="328"/>
      <c r="FQ62" s="281"/>
      <c r="FR62" s="301"/>
      <c r="FS62" s="301"/>
      <c r="FT62" s="301"/>
      <c r="FU62" s="301"/>
      <c r="FV62" s="301"/>
      <c r="FW62" s="301"/>
      <c r="FX62" s="286"/>
      <c r="FY62" s="286"/>
      <c r="FZ62" s="286"/>
      <c r="GA62" s="286"/>
      <c r="GB62" s="286"/>
      <c r="GC62" s="286"/>
      <c r="GD62" s="286"/>
      <c r="GE62" s="286"/>
      <c r="GF62" s="295"/>
      <c r="GG62" s="295"/>
    </row>
    <row r="63" spans="1:189" ht="15" customHeight="1" x14ac:dyDescent="0.3">
      <c r="A63" s="31"/>
      <c r="B63" s="301"/>
      <c r="C63" s="301"/>
      <c r="D63" s="301"/>
      <c r="E63" s="301"/>
      <c r="F63" s="301"/>
      <c r="G63" s="32" t="s">
        <v>30</v>
      </c>
      <c r="H63" s="32"/>
      <c r="I63" s="337">
        <f>I64/I2</f>
        <v>7.0070254092896656E-3</v>
      </c>
      <c r="J63" s="281"/>
      <c r="K63" s="337">
        <v>8.2000000000000007E-3</v>
      </c>
      <c r="L63" s="281"/>
      <c r="M63" s="337">
        <v>9.7999999999999997E-3</v>
      </c>
      <c r="N63" s="281"/>
      <c r="O63" s="337">
        <v>8.8000000000000005E-3</v>
      </c>
      <c r="P63" s="281"/>
      <c r="Q63" s="337">
        <v>8.0000000000000002E-3</v>
      </c>
      <c r="R63" s="281"/>
      <c r="S63" s="337">
        <v>7.3000000000000001E-3</v>
      </c>
      <c r="T63" s="281"/>
      <c r="U63" s="337">
        <f>U64/U2</f>
        <v>5.8555545287193155E-3</v>
      </c>
      <c r="V63" s="281"/>
      <c r="W63" s="337">
        <f>W64/W2</f>
        <v>6.4418391268124169E-3</v>
      </c>
      <c r="X63" s="281"/>
      <c r="Y63" s="337">
        <f>Y64/Y2</f>
        <v>6.5607870139283977E-3</v>
      </c>
      <c r="Z63" s="281"/>
      <c r="AA63" s="337">
        <f>AA64/AA2</f>
        <v>6.1224113229047866E-3</v>
      </c>
      <c r="AB63" s="281"/>
      <c r="AC63" s="337">
        <f>AC64/AC2</f>
        <v>5.4737819276074245E-3</v>
      </c>
      <c r="AD63" s="281"/>
      <c r="AE63" s="337">
        <f>AE64/AE2</f>
        <v>5.8812811202732188E-3</v>
      </c>
      <c r="AF63" s="281"/>
      <c r="AG63" s="337">
        <f>AG64/AG2</f>
        <v>8.1014770216458077E-3</v>
      </c>
      <c r="AH63" s="281"/>
      <c r="AI63" s="337">
        <f>AI64/AI2</f>
        <v>6.5855317247435294E-3</v>
      </c>
      <c r="AJ63" s="281"/>
      <c r="AK63" s="337">
        <f>AK64/AK2</f>
        <v>5.9808486692391411E-3</v>
      </c>
      <c r="AL63" s="281"/>
      <c r="AM63" s="337">
        <f>AM64/AM2</f>
        <v>6.8092031030010554E-3</v>
      </c>
      <c r="AN63" s="281"/>
      <c r="AO63" s="337">
        <f>AO64/AO2</f>
        <v>4.7890194459746863E-3</v>
      </c>
      <c r="AP63" s="281"/>
      <c r="AQ63" s="337">
        <f>AQ64/AQ2</f>
        <v>4.9155087499212794E-3</v>
      </c>
      <c r="AR63" s="281"/>
      <c r="AS63" s="337">
        <f>AS64/AS2</f>
        <v>5.2321268252930788E-3</v>
      </c>
      <c r="AT63" s="281"/>
      <c r="AU63" s="337">
        <f>AU64/AU2</f>
        <v>5.6750409336384687E-3</v>
      </c>
      <c r="AV63" s="281"/>
      <c r="AW63" s="337">
        <f>AW64/AW2</f>
        <v>5.2666093329233818E-3</v>
      </c>
      <c r="AX63" s="281"/>
      <c r="AY63" s="337">
        <f>AY64/AY2</f>
        <v>4.3815831147116548E-3</v>
      </c>
      <c r="AZ63" s="281"/>
      <c r="BA63" s="337">
        <f>BA64/BA2</f>
        <v>4.6668473732034222E-3</v>
      </c>
      <c r="BB63" s="281"/>
      <c r="BC63" s="337">
        <f>BC64/BC2</f>
        <v>4.1936734672967796E-3</v>
      </c>
      <c r="BD63" s="281"/>
      <c r="BE63" s="337">
        <f>BE64/BE2</f>
        <v>4.6367116186368613E-3</v>
      </c>
      <c r="BF63" s="281"/>
      <c r="BG63" s="337">
        <f>BG64/BG2</f>
        <v>5.189057261530656E-3</v>
      </c>
      <c r="BH63" s="281"/>
      <c r="BI63" s="337">
        <f>BI64/BI2</f>
        <v>5.0907598145510952E-3</v>
      </c>
      <c r="BJ63" s="281"/>
      <c r="BK63" s="337">
        <f>BK64/BK2</f>
        <v>5.4247255961402336E-3</v>
      </c>
      <c r="BL63" s="281"/>
      <c r="BM63" s="337">
        <f>BM64/BM2</f>
        <v>5.0129781850636627E-3</v>
      </c>
      <c r="BN63" s="281"/>
      <c r="BO63" s="337">
        <f>BO64/BO2</f>
        <v>5.4117506693043306E-3</v>
      </c>
      <c r="BP63" s="281"/>
      <c r="BQ63" s="337">
        <f>BQ64/BQ2</f>
        <v>5.8609128892911748E-3</v>
      </c>
      <c r="BR63" s="281"/>
      <c r="BS63" s="337">
        <f>BS64/BS2</f>
        <v>5.5585106906292777E-3</v>
      </c>
      <c r="BT63" s="281"/>
      <c r="BU63" s="337">
        <f>BU64/BU2</f>
        <v>4.4080772395360367E-3</v>
      </c>
      <c r="BV63" s="281"/>
      <c r="BW63" s="337">
        <f>BW64/BW2</f>
        <v>4.6938099276686383E-3</v>
      </c>
      <c r="BX63" s="281"/>
      <c r="BY63" s="337">
        <f>BY64/BY2</f>
        <v>5.7658949949020502E-3</v>
      </c>
      <c r="BZ63" s="281"/>
      <c r="CA63" s="337">
        <f>CA64/CA2</f>
        <v>5.5289495295814594E-3</v>
      </c>
      <c r="CB63" s="281"/>
      <c r="CC63" s="337">
        <f>CC64/CC2</f>
        <v>3.5362847278559368E-3</v>
      </c>
      <c r="CD63" s="281"/>
      <c r="CE63" s="337">
        <f>CE64/CE2</f>
        <v>4.1643305413640933E-3</v>
      </c>
      <c r="CF63" s="281"/>
      <c r="CG63" s="337">
        <f>CG64/CG2</f>
        <v>4.9421966815797053E-3</v>
      </c>
      <c r="CH63" s="281"/>
      <c r="CI63" s="337">
        <f>CI64/CI2</f>
        <v>4.5079991935125761E-3</v>
      </c>
      <c r="CJ63" s="281"/>
      <c r="CK63" s="337">
        <f>CK64/CK2</f>
        <v>5.1609221946192323E-3</v>
      </c>
      <c r="CL63" s="281"/>
      <c r="CM63" s="337">
        <f>CM64/CM2</f>
        <v>4.8254069904009539E-3</v>
      </c>
      <c r="CN63" s="281"/>
      <c r="CO63" s="337">
        <f>CO64/CO2</f>
        <v>5.529104621900106E-3</v>
      </c>
      <c r="CP63" s="281"/>
      <c r="CQ63" s="337">
        <f>CQ64/CQ2</f>
        <v>5.7136459101657881E-3</v>
      </c>
      <c r="CR63" s="281"/>
      <c r="CS63" s="337">
        <f>CS64/CS2</f>
        <v>4.3668938047221051E-3</v>
      </c>
      <c r="CT63" s="281"/>
      <c r="CU63" s="337">
        <f>CU64/CU2</f>
        <v>4.9344336291144196E-3</v>
      </c>
      <c r="CV63" s="281"/>
      <c r="CW63" s="337">
        <f>CW64/CW2</f>
        <v>4.8240649236985797E-3</v>
      </c>
      <c r="CX63" s="281"/>
      <c r="CY63" s="337">
        <f>CY64/CY2</f>
        <v>3.9513750460359346E-3</v>
      </c>
      <c r="CZ63" s="281"/>
      <c r="DA63" s="337">
        <f>DA64/DA2</f>
        <v>3.915528928295187E-3</v>
      </c>
      <c r="DB63" s="281"/>
      <c r="DC63" s="337">
        <f>DC64/DC2</f>
        <v>5.4305022376685925E-3</v>
      </c>
      <c r="DD63" s="281"/>
      <c r="DE63" s="337">
        <f>DE64/DE2</f>
        <v>5.2288590364473909E-3</v>
      </c>
      <c r="DF63" s="281"/>
      <c r="DG63" s="337">
        <f>DG64/DG2</f>
        <v>4.4310658963866659E-3</v>
      </c>
      <c r="DH63" s="281"/>
      <c r="DI63" s="337">
        <f>DI64/DI2</f>
        <v>5.7738128207830445E-3</v>
      </c>
      <c r="DJ63" s="281"/>
      <c r="DK63" s="337">
        <f>DK64/DK2</f>
        <v>5.1090642684332712E-3</v>
      </c>
      <c r="DL63" s="281"/>
      <c r="DM63" s="337">
        <f>DM64/DM2</f>
        <v>5.0266323607752669E-3</v>
      </c>
      <c r="DN63" s="281"/>
      <c r="DO63" s="337">
        <f>DO64/DO2</f>
        <v>4.7066656646496466E-3</v>
      </c>
      <c r="DP63" s="281"/>
      <c r="DQ63" s="337">
        <f>DQ64/DQ2</f>
        <v>4.6168516541063801E-3</v>
      </c>
      <c r="DR63" s="281"/>
      <c r="DS63" s="337">
        <f>DS64/DS2</f>
        <v>5.3842036417452417E-3</v>
      </c>
      <c r="DT63" s="281"/>
      <c r="DU63" s="301"/>
      <c r="DV63" s="301"/>
      <c r="DW63" s="301"/>
      <c r="DX63" s="301"/>
      <c r="DY63" s="301"/>
      <c r="DZ63" s="301"/>
      <c r="EA63" s="301"/>
      <c r="EB63" s="301"/>
      <c r="EC63" s="301"/>
      <c r="ED63" s="301"/>
      <c r="EE63" s="301"/>
      <c r="EF63" s="301"/>
      <c r="EG63" s="301"/>
      <c r="EH63" s="301"/>
      <c r="EI63" s="301"/>
      <c r="EJ63" s="301"/>
      <c r="EK63" s="301"/>
      <c r="EL63" s="301"/>
      <c r="EM63" s="301"/>
      <c r="EN63" s="337">
        <f>EN64/EN2</f>
        <v>5.017862832261721E-3</v>
      </c>
      <c r="EO63" s="281"/>
      <c r="EP63" s="337">
        <f>EP64/EP2</f>
        <v>4.1799453437003564E-3</v>
      </c>
      <c r="EQ63" s="281"/>
      <c r="ER63" s="337">
        <f>ER64/ER2</f>
        <v>4.7007104235232541E-3</v>
      </c>
      <c r="ES63" s="281"/>
      <c r="ET63" s="337">
        <f>ET64/ET2</f>
        <v>7.8527403846153851E-3</v>
      </c>
      <c r="EU63" s="281"/>
      <c r="EV63" s="337">
        <f>EV64/EV2</f>
        <v>6.0720074349442377E-3</v>
      </c>
      <c r="EW63" s="281"/>
      <c r="EX63" s="337">
        <f>EX64/EX2</f>
        <v>4.0631094527363186E-3</v>
      </c>
      <c r="EY63" s="281"/>
      <c r="EZ63" s="337">
        <f>EZ64/EZ2</f>
        <v>4.297682411013067E-3</v>
      </c>
      <c r="FA63" s="281"/>
      <c r="FB63" s="337">
        <f>FB64/FB2</f>
        <v>4.2826275669100092E-3</v>
      </c>
      <c r="FC63" s="281"/>
      <c r="FD63" s="337">
        <f>FD64/FD2</f>
        <v>4.2403079121331004E-3</v>
      </c>
      <c r="FE63" s="281"/>
      <c r="FF63" s="337">
        <f>FF64/FF2</f>
        <v>4.5852025099995409E-3</v>
      </c>
      <c r="FG63" s="281"/>
      <c r="FH63" s="337">
        <f>FH64/FH2</f>
        <v>5.385069013660042E-3</v>
      </c>
      <c r="FI63" s="281"/>
      <c r="FJ63" s="337">
        <f>FJ64/FJ2</f>
        <v>3.5724514059209019E-3</v>
      </c>
      <c r="FK63" s="281"/>
      <c r="FL63" s="337">
        <f>FL64/FL2</f>
        <v>3.8660334267592595E-3</v>
      </c>
      <c r="FM63" s="281"/>
      <c r="FN63" s="337">
        <f>FN64/FN2</f>
        <v>3.4417934124565249E-3</v>
      </c>
      <c r="FO63" s="281"/>
      <c r="FP63" s="337">
        <f>FP64/FP2</f>
        <v>0</v>
      </c>
      <c r="FQ63" s="281"/>
      <c r="FR63" s="301"/>
      <c r="FS63" s="301"/>
      <c r="FT63" s="301"/>
      <c r="FU63" s="301"/>
      <c r="FV63" s="301"/>
      <c r="FW63" s="301"/>
      <c r="FX63" s="286"/>
      <c r="FY63" s="286"/>
      <c r="FZ63" s="286"/>
      <c r="GA63" s="286"/>
      <c r="GB63" s="286"/>
      <c r="GC63" s="286"/>
      <c r="GD63" s="286"/>
      <c r="GE63" s="286"/>
      <c r="GF63" s="295"/>
      <c r="GG63" s="295"/>
    </row>
    <row r="64" spans="1:189" ht="15" customHeight="1" x14ac:dyDescent="0.3">
      <c r="A64" s="31"/>
      <c r="B64" s="301"/>
      <c r="C64" s="301"/>
      <c r="D64" s="301"/>
      <c r="E64" s="301"/>
      <c r="F64" s="301"/>
      <c r="G64" s="33" t="s">
        <v>64</v>
      </c>
      <c r="H64" s="33"/>
      <c r="I64" s="338">
        <f t="shared" ref="I64:I65" si="132">SUM(K64:AH64)</f>
        <v>1847536.0309319878</v>
      </c>
      <c r="J64" s="281"/>
      <c r="K64" s="338">
        <v>155632</v>
      </c>
      <c r="L64" s="281"/>
      <c r="M64" s="338">
        <v>155721</v>
      </c>
      <c r="N64" s="281"/>
      <c r="O64" s="338">
        <v>158337</v>
      </c>
      <c r="P64" s="281"/>
      <c r="Q64" s="338">
        <v>150378</v>
      </c>
      <c r="R64" s="281"/>
      <c r="S64" s="338">
        <v>143530</v>
      </c>
      <c r="T64" s="281"/>
      <c r="U64" s="338">
        <v>140282</v>
      </c>
      <c r="V64" s="281"/>
      <c r="W64" s="338">
        <v>149134.09</v>
      </c>
      <c r="X64" s="281"/>
      <c r="Y64" s="338">
        <v>164208.94093198774</v>
      </c>
      <c r="Z64" s="281"/>
      <c r="AA64" s="338">
        <v>164244</v>
      </c>
      <c r="AB64" s="281"/>
      <c r="AC64" s="338">
        <v>136657</v>
      </c>
      <c r="AD64" s="281"/>
      <c r="AE64" s="338">
        <v>170361</v>
      </c>
      <c r="AF64" s="281"/>
      <c r="AG64" s="338">
        <v>159051</v>
      </c>
      <c r="AH64" s="281"/>
      <c r="AI64" s="456">
        <v>131813</v>
      </c>
      <c r="AJ64" s="281"/>
      <c r="AK64" s="456">
        <v>116061</v>
      </c>
      <c r="AL64" s="281"/>
      <c r="AM64" s="456">
        <v>116560</v>
      </c>
      <c r="AN64" s="281"/>
      <c r="AO64" s="456">
        <v>86646</v>
      </c>
      <c r="AP64" s="281"/>
      <c r="AQ64" s="456">
        <v>89683</v>
      </c>
      <c r="AR64" s="281"/>
      <c r="AS64" s="456">
        <v>85366</v>
      </c>
      <c r="AT64" s="281"/>
      <c r="AU64" s="456">
        <v>113820</v>
      </c>
      <c r="AV64" s="281"/>
      <c r="AW64" s="456">
        <v>113464</v>
      </c>
      <c r="AX64" s="281"/>
      <c r="AY64" s="456">
        <v>99289</v>
      </c>
      <c r="AZ64" s="281"/>
      <c r="BA64" s="456">
        <v>108519</v>
      </c>
      <c r="BB64" s="281"/>
      <c r="BC64" s="456">
        <v>131797</v>
      </c>
      <c r="BD64" s="281"/>
      <c r="BE64" s="456">
        <v>122781</v>
      </c>
      <c r="BF64" s="281"/>
      <c r="BG64" s="456">
        <v>105692</v>
      </c>
      <c r="BH64" s="281"/>
      <c r="BI64" s="456">
        <v>107418</v>
      </c>
      <c r="BJ64" s="281"/>
      <c r="BK64" s="456">
        <v>128743</v>
      </c>
      <c r="BL64" s="281"/>
      <c r="BM64" s="456">
        <v>112155</v>
      </c>
      <c r="BN64" s="281"/>
      <c r="BO64" s="456">
        <v>124917</v>
      </c>
      <c r="BP64" s="281"/>
      <c r="BQ64" s="456">
        <v>126731</v>
      </c>
      <c r="BR64" s="281"/>
      <c r="BS64" s="456">
        <v>127122</v>
      </c>
      <c r="BT64" s="281"/>
      <c r="BU64" s="456">
        <v>114103</v>
      </c>
      <c r="BV64" s="281"/>
      <c r="BW64" s="456">
        <v>113905</v>
      </c>
      <c r="BX64" s="281"/>
      <c r="BY64" s="456">
        <v>135734</v>
      </c>
      <c r="BZ64" s="281"/>
      <c r="CA64" s="456">
        <v>153008</v>
      </c>
      <c r="CB64" s="281"/>
      <c r="CC64" s="456">
        <v>107886</v>
      </c>
      <c r="CD64" s="281"/>
      <c r="CE64" s="456">
        <v>111233</v>
      </c>
      <c r="CF64" s="281"/>
      <c r="CG64" s="456">
        <v>139226</v>
      </c>
      <c r="CH64" s="281"/>
      <c r="CI64" s="456">
        <v>155527</v>
      </c>
      <c r="CJ64" s="281"/>
      <c r="CK64" s="456">
        <v>159857</v>
      </c>
      <c r="CL64" s="281"/>
      <c r="CM64" s="456">
        <v>147928</v>
      </c>
      <c r="CN64" s="281"/>
      <c r="CO64" s="456">
        <v>143099</v>
      </c>
      <c r="CP64" s="281"/>
      <c r="CQ64" s="456">
        <v>139721</v>
      </c>
      <c r="CR64" s="281"/>
      <c r="CS64" s="456">
        <v>143761</v>
      </c>
      <c r="CT64" s="281"/>
      <c r="CU64" s="456">
        <v>154130</v>
      </c>
      <c r="CV64" s="281"/>
      <c r="CW64" s="456">
        <v>148011</v>
      </c>
      <c r="CX64" s="281"/>
      <c r="CY64" s="456">
        <v>146473</v>
      </c>
      <c r="CZ64" s="281"/>
      <c r="DA64" s="456">
        <v>137030</v>
      </c>
      <c r="DB64" s="281"/>
      <c r="DC64" s="383">
        <v>168090.2</v>
      </c>
      <c r="DD64" s="340"/>
      <c r="DE64" s="383">
        <v>141220</v>
      </c>
      <c r="DF64" s="340"/>
      <c r="DG64" s="383">
        <v>153072</v>
      </c>
      <c r="DH64" s="340"/>
      <c r="DI64" s="383">
        <v>183151.18</v>
      </c>
      <c r="DJ64" s="340"/>
      <c r="DK64" s="383">
        <v>179461.39</v>
      </c>
      <c r="DL64" s="340"/>
      <c r="DM64" s="383">
        <v>170014.59</v>
      </c>
      <c r="DN64" s="340"/>
      <c r="DO64" s="383">
        <v>163337</v>
      </c>
      <c r="DP64" s="340"/>
      <c r="DQ64" s="383">
        <v>163337</v>
      </c>
      <c r="DR64" s="340"/>
      <c r="DS64" s="383">
        <v>163337</v>
      </c>
      <c r="DT64" s="340"/>
      <c r="DU64" s="301"/>
      <c r="DV64" s="301"/>
      <c r="DW64" s="301"/>
      <c r="DX64" s="301"/>
      <c r="DY64" s="301"/>
      <c r="DZ64" s="301"/>
      <c r="EA64" s="301"/>
      <c r="EB64" s="301"/>
      <c r="EC64" s="301"/>
      <c r="ED64" s="301"/>
      <c r="EE64" s="301"/>
      <c r="EF64" s="301"/>
      <c r="EG64" s="301"/>
      <c r="EH64" s="301"/>
      <c r="EI64" s="301"/>
      <c r="EJ64" s="301"/>
      <c r="EK64" s="301"/>
      <c r="EL64" s="301"/>
      <c r="EM64" s="301"/>
      <c r="EN64" s="383">
        <v>163337</v>
      </c>
      <c r="EO64" s="340"/>
      <c r="EP64" s="383">
        <v>163337</v>
      </c>
      <c r="EQ64" s="340"/>
      <c r="ER64" s="383">
        <v>163337</v>
      </c>
      <c r="ES64" s="340"/>
      <c r="ET64" s="383">
        <v>163337</v>
      </c>
      <c r="EU64" s="340"/>
      <c r="EV64" s="383">
        <v>163337</v>
      </c>
      <c r="EW64" s="340"/>
      <c r="EX64" s="383">
        <v>163337</v>
      </c>
      <c r="EY64" s="340"/>
      <c r="EZ64" s="383">
        <v>163337</v>
      </c>
      <c r="FA64" s="340"/>
      <c r="FB64" s="383">
        <v>163337</v>
      </c>
      <c r="FC64" s="340"/>
      <c r="FD64" s="383">
        <v>163337</v>
      </c>
      <c r="FE64" s="340"/>
      <c r="FF64" s="383">
        <v>163337</v>
      </c>
      <c r="FG64" s="340"/>
      <c r="FH64" s="383">
        <v>163337</v>
      </c>
      <c r="FI64" s="340"/>
      <c r="FJ64" s="383">
        <v>93791.4</v>
      </c>
      <c r="FK64" s="340"/>
      <c r="FL64" s="383">
        <v>92784.802242222228</v>
      </c>
      <c r="FM64" s="340"/>
      <c r="FN64" s="383">
        <v>64723.61771333334</v>
      </c>
      <c r="FO64" s="340"/>
      <c r="FP64" s="383"/>
      <c r="FQ64" s="340"/>
      <c r="FR64" s="301"/>
      <c r="FS64" s="301"/>
      <c r="FT64" s="301"/>
      <c r="FU64" s="301"/>
      <c r="FV64" s="301"/>
      <c r="FW64" s="301"/>
      <c r="FX64" s="286"/>
      <c r="FY64" s="286"/>
      <c r="FZ64" s="286"/>
      <c r="GA64" s="286"/>
      <c r="GB64" s="286"/>
      <c r="GC64" s="286"/>
      <c r="GD64" s="286"/>
      <c r="GE64" s="286"/>
      <c r="GF64" s="295"/>
      <c r="GG64" s="295"/>
    </row>
    <row r="65" spans="1:189" ht="15" customHeight="1" outlineLevel="1" x14ac:dyDescent="0.3">
      <c r="A65" s="31"/>
      <c r="B65" s="302"/>
      <c r="C65" s="302"/>
      <c r="D65" s="302"/>
      <c r="E65" s="302"/>
      <c r="F65" s="302"/>
      <c r="G65" s="33" t="s">
        <v>65</v>
      </c>
      <c r="H65" s="33"/>
      <c r="I65" s="338">
        <f t="shared" si="132"/>
        <v>448157.36</v>
      </c>
      <c r="J65" s="281"/>
      <c r="K65" s="338">
        <f>K64*28%</f>
        <v>43576.960000000006</v>
      </c>
      <c r="L65" s="281"/>
      <c r="M65" s="338">
        <f>M64*30%</f>
        <v>46716.299999999996</v>
      </c>
      <c r="N65" s="281"/>
      <c r="O65" s="338">
        <f>O64*30%</f>
        <v>47501.1</v>
      </c>
      <c r="P65" s="281"/>
      <c r="Q65" s="338">
        <v>28668</v>
      </c>
      <c r="R65" s="281"/>
      <c r="S65" s="338">
        <v>27718</v>
      </c>
      <c r="T65" s="281"/>
      <c r="U65" s="338">
        <v>27737</v>
      </c>
      <c r="V65" s="281"/>
      <c r="W65" s="338">
        <v>28137</v>
      </c>
      <c r="X65" s="281"/>
      <c r="Y65" s="338">
        <v>38635</v>
      </c>
      <c r="Z65" s="281"/>
      <c r="AA65" s="338">
        <v>40026</v>
      </c>
      <c r="AB65" s="281"/>
      <c r="AC65" s="338">
        <v>34985</v>
      </c>
      <c r="AD65" s="281"/>
      <c r="AE65" s="338">
        <v>42574</v>
      </c>
      <c r="AF65" s="281"/>
      <c r="AG65" s="338">
        <v>41883</v>
      </c>
      <c r="AH65" s="281"/>
      <c r="AI65" s="456">
        <v>33915</v>
      </c>
      <c r="AJ65" s="281"/>
      <c r="AK65" s="456">
        <f>25296+2000</f>
        <v>27296</v>
      </c>
      <c r="AL65" s="281"/>
      <c r="AM65" s="456">
        <v>31911</v>
      </c>
      <c r="AN65" s="281"/>
      <c r="AO65" s="456">
        <v>26363</v>
      </c>
      <c r="AP65" s="281"/>
      <c r="AQ65" s="456">
        <v>33729</v>
      </c>
      <c r="AR65" s="281"/>
      <c r="AS65" s="456">
        <v>32881</v>
      </c>
      <c r="AT65" s="281"/>
      <c r="AU65" s="456">
        <v>41756</v>
      </c>
      <c r="AV65" s="281"/>
      <c r="AW65" s="456">
        <v>35445</v>
      </c>
      <c r="AX65" s="281"/>
      <c r="AY65" s="456">
        <v>32294</v>
      </c>
      <c r="AZ65" s="281"/>
      <c r="BA65" s="456">
        <v>37932</v>
      </c>
      <c r="BB65" s="281"/>
      <c r="BC65" s="456">
        <v>51050</v>
      </c>
      <c r="BD65" s="281"/>
      <c r="BE65" s="456">
        <v>42305</v>
      </c>
      <c r="BF65" s="281"/>
      <c r="BG65" s="456">
        <v>32766</v>
      </c>
      <c r="BH65" s="281"/>
      <c r="BI65" s="456">
        <v>35711</v>
      </c>
      <c r="BJ65" s="281"/>
      <c r="BK65" s="456">
        <v>42071</v>
      </c>
      <c r="BL65" s="281"/>
      <c r="BM65" s="456">
        <v>36031</v>
      </c>
      <c r="BN65" s="281"/>
      <c r="BO65" s="456">
        <v>37944</v>
      </c>
      <c r="BP65" s="281"/>
      <c r="BQ65" s="456">
        <v>40270</v>
      </c>
      <c r="BR65" s="281"/>
      <c r="BS65" s="456">
        <v>46061</v>
      </c>
      <c r="BT65" s="281"/>
      <c r="BU65" s="456">
        <v>36852</v>
      </c>
      <c r="BV65" s="281"/>
      <c r="BW65" s="456">
        <v>36361</v>
      </c>
      <c r="BX65" s="281"/>
      <c r="BY65" s="456">
        <v>39026</v>
      </c>
      <c r="BZ65" s="281"/>
      <c r="CA65" s="456">
        <v>50787</v>
      </c>
      <c r="CB65" s="281"/>
      <c r="CC65" s="456">
        <v>37227</v>
      </c>
      <c r="CD65" s="281"/>
      <c r="CE65" s="456">
        <v>35165</v>
      </c>
      <c r="CF65" s="281"/>
      <c r="CG65" s="456">
        <v>37210</v>
      </c>
      <c r="CH65" s="281"/>
      <c r="CI65" s="456">
        <v>40065</v>
      </c>
      <c r="CJ65" s="281"/>
      <c r="CK65" s="456">
        <v>37711</v>
      </c>
      <c r="CL65" s="281"/>
      <c r="CM65" s="456">
        <v>36290</v>
      </c>
      <c r="CN65" s="281"/>
      <c r="CO65" s="456">
        <v>34760</v>
      </c>
      <c r="CP65" s="281"/>
      <c r="CQ65" s="456">
        <v>34880</v>
      </c>
      <c r="CR65" s="281"/>
      <c r="CS65" s="456">
        <v>35082</v>
      </c>
      <c r="CT65" s="281"/>
      <c r="CU65" s="456">
        <v>35983</v>
      </c>
      <c r="CV65" s="281"/>
      <c r="CW65" s="456">
        <v>41035</v>
      </c>
      <c r="CX65" s="281"/>
      <c r="CY65" s="456">
        <v>38980</v>
      </c>
      <c r="CZ65" s="281"/>
      <c r="DA65" s="456">
        <v>35708</v>
      </c>
      <c r="DB65" s="281"/>
      <c r="DC65" s="383">
        <f>DC64*26%</f>
        <v>43703.452000000005</v>
      </c>
      <c r="DD65" s="340"/>
      <c r="DE65" s="383">
        <f>DE64*26%</f>
        <v>36717.200000000004</v>
      </c>
      <c r="DF65" s="340"/>
      <c r="DG65" s="383">
        <f>DG64*26%</f>
        <v>39798.720000000001</v>
      </c>
      <c r="DH65" s="340"/>
      <c r="DI65" s="383">
        <f>DI64*26%</f>
        <v>47619.306799999998</v>
      </c>
      <c r="DJ65" s="340"/>
      <c r="DK65" s="383">
        <f>DK64*26%</f>
        <v>46659.961400000007</v>
      </c>
      <c r="DL65" s="340"/>
      <c r="DM65" s="383">
        <f>DM64*26%</f>
        <v>44203.793400000002</v>
      </c>
      <c r="DN65" s="340"/>
      <c r="DO65" s="383">
        <f t="shared" ref="DO65:DQ65" si="133">DO64*26%</f>
        <v>42467.62</v>
      </c>
      <c r="DP65" s="340"/>
      <c r="DQ65" s="383">
        <f t="shared" si="133"/>
        <v>42467.62</v>
      </c>
      <c r="DR65" s="340"/>
      <c r="DS65" s="383">
        <f t="shared" ref="DS65" si="134">DS64*26%</f>
        <v>42467.62</v>
      </c>
      <c r="DT65" s="340"/>
      <c r="DU65" s="302"/>
      <c r="DV65" s="302"/>
      <c r="DW65" s="302"/>
      <c r="DX65" s="302"/>
      <c r="DY65" s="302"/>
      <c r="DZ65" s="302"/>
      <c r="EA65" s="302"/>
      <c r="EB65" s="302"/>
      <c r="EC65" s="302"/>
      <c r="ED65" s="302"/>
      <c r="EE65" s="302"/>
      <c r="EF65" s="302"/>
      <c r="EG65" s="302"/>
      <c r="EH65" s="302"/>
      <c r="EI65" s="302"/>
      <c r="EJ65" s="302"/>
      <c r="EK65" s="302"/>
      <c r="EL65" s="302"/>
      <c r="EM65" s="302"/>
      <c r="EN65" s="383">
        <f>EN64*26%</f>
        <v>42467.62</v>
      </c>
      <c r="EO65" s="340"/>
      <c r="EP65" s="383">
        <f t="shared" ref="EP65" si="135">EP64*26%</f>
        <v>42467.62</v>
      </c>
      <c r="EQ65" s="340"/>
      <c r="ER65" s="383">
        <f t="shared" ref="ER65:ET65" si="136">ER64*26%</f>
        <v>42467.62</v>
      </c>
      <c r="ES65" s="340"/>
      <c r="ET65" s="383">
        <f t="shared" si="136"/>
        <v>42467.62</v>
      </c>
      <c r="EU65" s="340"/>
      <c r="EV65" s="383">
        <f t="shared" ref="EV65" si="137">EV64*26%</f>
        <v>42467.62</v>
      </c>
      <c r="EW65" s="340"/>
      <c r="EX65" s="383">
        <f>EX64*26%</f>
        <v>42467.62</v>
      </c>
      <c r="EY65" s="340"/>
      <c r="EZ65" s="383">
        <f>EZ64*26%</f>
        <v>42467.62</v>
      </c>
      <c r="FA65" s="340"/>
      <c r="FB65" s="383">
        <f>FB64*26%</f>
        <v>42467.62</v>
      </c>
      <c r="FC65" s="340"/>
      <c r="FD65" s="383">
        <f>FD64*26%</f>
        <v>42467.62</v>
      </c>
      <c r="FE65" s="340"/>
      <c r="FF65" s="383">
        <f>FF64*26%</f>
        <v>42467.62</v>
      </c>
      <c r="FG65" s="340"/>
      <c r="FH65" s="383">
        <f>FH64*26%</f>
        <v>42467.62</v>
      </c>
      <c r="FI65" s="340"/>
      <c r="FJ65" s="383">
        <f>FJ64*26%</f>
        <v>24385.763999999999</v>
      </c>
      <c r="FK65" s="340"/>
      <c r="FL65" s="383">
        <f>FL64*26%</f>
        <v>24124.048582977779</v>
      </c>
      <c r="FM65" s="340"/>
      <c r="FN65" s="383">
        <f>FN64*26%</f>
        <v>16828.14060546667</v>
      </c>
      <c r="FO65" s="340"/>
      <c r="FP65" s="383">
        <f>FP64*26%</f>
        <v>0</v>
      </c>
      <c r="FQ65" s="340"/>
      <c r="FR65" s="302"/>
      <c r="FS65" s="302"/>
      <c r="FT65" s="302"/>
      <c r="FU65" s="302"/>
      <c r="FV65" s="302"/>
      <c r="FW65" s="302"/>
      <c r="FX65" s="287"/>
      <c r="FY65" s="287"/>
      <c r="FZ65" s="287"/>
      <c r="GA65" s="287"/>
      <c r="GB65" s="287"/>
      <c r="GC65" s="287"/>
      <c r="GD65" s="287"/>
      <c r="GE65" s="287"/>
      <c r="GF65" s="296"/>
      <c r="GG65" s="296"/>
    </row>
    <row r="66" spans="1:189" ht="8.25" customHeight="1" x14ac:dyDescent="0.3">
      <c r="A66" s="1"/>
      <c r="B66" s="18"/>
      <c r="C66" s="18"/>
      <c r="D66" s="18"/>
      <c r="E66" s="18"/>
      <c r="F66" s="18"/>
      <c r="G66" s="3"/>
      <c r="H66" s="3"/>
      <c r="I66" s="19"/>
      <c r="J66" s="20"/>
      <c r="K66" s="19"/>
      <c r="L66" s="20"/>
      <c r="M66" s="19"/>
      <c r="N66" s="20"/>
      <c r="O66" s="19"/>
      <c r="P66" s="20"/>
      <c r="Q66" s="19"/>
      <c r="R66" s="20"/>
      <c r="S66" s="19"/>
      <c r="T66" s="20"/>
      <c r="U66" s="19"/>
      <c r="V66" s="20"/>
      <c r="W66" s="19"/>
      <c r="X66" s="20"/>
      <c r="Y66" s="19"/>
      <c r="Z66" s="20"/>
      <c r="AA66" s="19"/>
      <c r="AB66" s="20"/>
      <c r="AC66" s="19"/>
      <c r="AD66" s="20"/>
      <c r="AE66" s="19"/>
      <c r="AF66" s="20"/>
      <c r="AG66" s="19"/>
      <c r="AH66" s="20"/>
      <c r="AI66" s="19"/>
      <c r="AJ66" s="20"/>
      <c r="AK66" s="19"/>
      <c r="AL66" s="20"/>
      <c r="AM66" s="19"/>
      <c r="AN66" s="20"/>
      <c r="AO66" s="19"/>
      <c r="AP66" s="20"/>
      <c r="AQ66" s="19"/>
      <c r="AR66" s="20"/>
      <c r="AS66" s="19"/>
      <c r="AT66" s="20"/>
      <c r="AU66" s="19"/>
      <c r="AV66" s="20"/>
      <c r="AW66" s="19"/>
      <c r="AX66" s="20"/>
      <c r="AY66" s="19"/>
      <c r="AZ66" s="20"/>
      <c r="BA66" s="19"/>
      <c r="BB66" s="20"/>
      <c r="BC66" s="19"/>
      <c r="BD66" s="20"/>
      <c r="BE66" s="19"/>
      <c r="BF66" s="20"/>
      <c r="BG66" s="19"/>
      <c r="BH66" s="20"/>
      <c r="BI66" s="19"/>
      <c r="BJ66" s="20"/>
      <c r="BK66" s="19"/>
      <c r="BL66" s="20"/>
      <c r="BM66" s="19"/>
      <c r="BN66" s="20"/>
      <c r="BO66" s="19"/>
      <c r="BP66" s="20"/>
      <c r="BQ66" s="19"/>
      <c r="BR66" s="20"/>
      <c r="BS66" s="19"/>
      <c r="BT66" s="20"/>
      <c r="BU66" s="19"/>
      <c r="BV66" s="20"/>
      <c r="BW66" s="19"/>
      <c r="BX66" s="20"/>
      <c r="BY66" s="19"/>
      <c r="BZ66" s="20"/>
      <c r="CA66" s="19"/>
      <c r="CB66" s="20"/>
      <c r="CC66" s="19"/>
      <c r="CD66" s="20"/>
      <c r="CE66" s="19"/>
      <c r="CF66" s="20"/>
      <c r="CG66" s="19"/>
      <c r="CH66" s="20"/>
      <c r="CI66" s="19"/>
      <c r="CJ66" s="20"/>
      <c r="CK66" s="19"/>
      <c r="CL66" s="20"/>
      <c r="CM66" s="19"/>
      <c r="CN66" s="20"/>
      <c r="CO66" s="19"/>
      <c r="CP66" s="20"/>
      <c r="CQ66" s="19"/>
      <c r="CR66" s="20"/>
      <c r="CS66" s="19"/>
      <c r="CT66" s="20"/>
      <c r="CU66" s="19"/>
      <c r="CV66" s="20"/>
      <c r="CW66" s="19"/>
      <c r="CX66" s="20"/>
      <c r="CY66" s="19"/>
      <c r="CZ66" s="20"/>
      <c r="DA66" s="19"/>
      <c r="DB66" s="20"/>
      <c r="DC66" s="19"/>
      <c r="DD66" s="20"/>
      <c r="DE66" s="19"/>
      <c r="DF66" s="20"/>
      <c r="DG66" s="19"/>
      <c r="DH66" s="20"/>
      <c r="DI66" s="19"/>
      <c r="DJ66" s="20"/>
      <c r="DK66" s="19"/>
      <c r="DL66" s="20"/>
      <c r="DM66" s="19"/>
      <c r="DN66" s="20"/>
      <c r="DO66" s="19"/>
      <c r="DP66" s="20"/>
      <c r="DQ66" s="19"/>
      <c r="DR66" s="20"/>
      <c r="DS66" s="19"/>
      <c r="DT66" s="20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19"/>
      <c r="EO66" s="20"/>
      <c r="EP66" s="19"/>
      <c r="EQ66" s="20"/>
      <c r="ER66" s="19"/>
      <c r="ES66" s="20"/>
      <c r="ET66" s="19"/>
      <c r="EU66" s="20"/>
      <c r="EV66" s="19"/>
      <c r="EW66" s="20"/>
      <c r="EX66" s="19"/>
      <c r="EY66" s="20"/>
      <c r="EZ66" s="19"/>
      <c r="FA66" s="20"/>
      <c r="FB66" s="19"/>
      <c r="FC66" s="20"/>
      <c r="FD66" s="19"/>
      <c r="FE66" s="20"/>
      <c r="FF66" s="19"/>
      <c r="FG66" s="20"/>
      <c r="FH66" s="19"/>
      <c r="FI66" s="20"/>
      <c r="FJ66" s="19"/>
      <c r="FK66" s="20"/>
      <c r="FL66" s="19"/>
      <c r="FM66" s="20"/>
      <c r="FN66" s="19"/>
      <c r="FO66" s="20"/>
      <c r="FP66" s="19"/>
      <c r="FQ66" s="20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</row>
    <row r="67" spans="1:189" ht="15" customHeight="1" x14ac:dyDescent="0.3">
      <c r="A67" s="1"/>
      <c r="B67" s="313" t="s">
        <v>66</v>
      </c>
      <c r="C67" s="313" t="s">
        <v>24</v>
      </c>
      <c r="D67" s="313" t="s">
        <v>25</v>
      </c>
      <c r="E67" s="313" t="s">
        <v>67</v>
      </c>
      <c r="F67" s="313" t="s">
        <v>53</v>
      </c>
      <c r="G67" s="5" t="s">
        <v>28</v>
      </c>
      <c r="H67" s="5"/>
      <c r="I67" s="338">
        <v>2.96</v>
      </c>
      <c r="J67" s="281"/>
      <c r="K67" s="338">
        <v>2.96</v>
      </c>
      <c r="L67" s="281"/>
      <c r="M67" s="338">
        <v>2.96</v>
      </c>
      <c r="N67" s="281"/>
      <c r="O67" s="338">
        <v>2.96</v>
      </c>
      <c r="P67" s="281"/>
      <c r="Q67" s="338">
        <v>2.96</v>
      </c>
      <c r="R67" s="281"/>
      <c r="S67" s="338">
        <v>2.96</v>
      </c>
      <c r="T67" s="281"/>
      <c r="U67" s="338">
        <v>2.96</v>
      </c>
      <c r="V67" s="281"/>
      <c r="W67" s="338">
        <v>2.96</v>
      </c>
      <c r="X67" s="281"/>
      <c r="Y67" s="338">
        <v>2.96</v>
      </c>
      <c r="Z67" s="281"/>
      <c r="AA67" s="338">
        <v>2.96</v>
      </c>
      <c r="AB67" s="281"/>
      <c r="AC67" s="338">
        <v>2.96</v>
      </c>
      <c r="AD67" s="281"/>
      <c r="AE67" s="338">
        <v>2.96</v>
      </c>
      <c r="AF67" s="281"/>
      <c r="AG67" s="338">
        <v>2.96</v>
      </c>
      <c r="AH67" s="281"/>
      <c r="AI67" s="338">
        <v>2.13</v>
      </c>
      <c r="AJ67" s="281"/>
      <c r="AK67" s="338">
        <v>2.13</v>
      </c>
      <c r="AL67" s="281"/>
      <c r="AM67" s="338">
        <v>2.13</v>
      </c>
      <c r="AN67" s="281"/>
      <c r="AO67" s="338">
        <v>2.13</v>
      </c>
      <c r="AP67" s="281"/>
      <c r="AQ67" s="338">
        <v>2.13</v>
      </c>
      <c r="AR67" s="281"/>
      <c r="AS67" s="338">
        <v>2.13</v>
      </c>
      <c r="AT67" s="281"/>
      <c r="AU67" s="338">
        <v>2.13</v>
      </c>
      <c r="AV67" s="281"/>
      <c r="AW67" s="338">
        <v>2.13</v>
      </c>
      <c r="AX67" s="281"/>
      <c r="AY67" s="338">
        <v>2.13</v>
      </c>
      <c r="AZ67" s="281"/>
      <c r="BA67" s="338">
        <v>2.13</v>
      </c>
      <c r="BB67" s="281"/>
      <c r="BC67" s="338">
        <v>2.13</v>
      </c>
      <c r="BD67" s="281"/>
      <c r="BE67" s="338">
        <v>2.13</v>
      </c>
      <c r="BF67" s="281"/>
      <c r="BG67" s="338">
        <v>2.13</v>
      </c>
      <c r="BH67" s="281"/>
      <c r="BI67" s="338">
        <v>2.13</v>
      </c>
      <c r="BJ67" s="281"/>
      <c r="BK67" s="338">
        <v>2.13</v>
      </c>
      <c r="BL67" s="281"/>
      <c r="BM67" s="338">
        <v>2.13</v>
      </c>
      <c r="BN67" s="281"/>
      <c r="BO67" s="338">
        <v>2.13</v>
      </c>
      <c r="BP67" s="281"/>
      <c r="BQ67" s="338">
        <v>2.13</v>
      </c>
      <c r="BR67" s="281"/>
      <c r="BS67" s="338">
        <v>2.13</v>
      </c>
      <c r="BT67" s="281"/>
      <c r="BU67" s="338">
        <v>2.13</v>
      </c>
      <c r="BV67" s="281"/>
      <c r="BW67" s="338">
        <v>2.13</v>
      </c>
      <c r="BX67" s="281"/>
      <c r="BY67" s="338">
        <v>2.13</v>
      </c>
      <c r="BZ67" s="281"/>
      <c r="CA67" s="338">
        <v>2.13</v>
      </c>
      <c r="CB67" s="281"/>
      <c r="CC67" s="338">
        <v>2.13</v>
      </c>
      <c r="CD67" s="281"/>
      <c r="CE67" s="338">
        <v>2.83</v>
      </c>
      <c r="CF67" s="281"/>
      <c r="CG67" s="338">
        <v>2.83</v>
      </c>
      <c r="CH67" s="281"/>
      <c r="CI67" s="338">
        <v>2.83</v>
      </c>
      <c r="CJ67" s="281"/>
      <c r="CK67" s="338">
        <v>2.83</v>
      </c>
      <c r="CL67" s="281"/>
      <c r="CM67" s="338">
        <v>2.83</v>
      </c>
      <c r="CN67" s="281"/>
      <c r="CO67" s="338">
        <v>2.83</v>
      </c>
      <c r="CP67" s="281"/>
      <c r="CQ67" s="338">
        <v>2.83</v>
      </c>
      <c r="CR67" s="281"/>
      <c r="CS67" s="338">
        <v>2.83</v>
      </c>
      <c r="CT67" s="281"/>
      <c r="CU67" s="338">
        <v>2.83</v>
      </c>
      <c r="CV67" s="281"/>
      <c r="CW67" s="338">
        <v>2.83</v>
      </c>
      <c r="CX67" s="281"/>
      <c r="CY67" s="338">
        <v>2.83</v>
      </c>
      <c r="CZ67" s="281"/>
      <c r="DA67" s="338">
        <v>2.83</v>
      </c>
      <c r="DB67" s="281"/>
      <c r="DC67" s="338">
        <v>2.83</v>
      </c>
      <c r="DD67" s="281"/>
      <c r="DE67" s="338">
        <v>2.83</v>
      </c>
      <c r="DF67" s="281"/>
      <c r="DG67" s="338">
        <v>2.83</v>
      </c>
      <c r="DH67" s="281"/>
      <c r="DI67" s="338">
        <v>2.83</v>
      </c>
      <c r="DJ67" s="281"/>
      <c r="DK67" s="338">
        <v>2.83</v>
      </c>
      <c r="DL67" s="281"/>
      <c r="DM67" s="338">
        <v>2.83</v>
      </c>
      <c r="DN67" s="281"/>
      <c r="DO67" s="338">
        <v>2.83</v>
      </c>
      <c r="DP67" s="281"/>
      <c r="DQ67" s="338">
        <v>2.83</v>
      </c>
      <c r="DR67" s="281"/>
      <c r="DS67" s="338">
        <v>2.83</v>
      </c>
      <c r="DT67" s="281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38">
        <v>2.83</v>
      </c>
      <c r="EO67" s="281"/>
      <c r="EP67" s="338">
        <v>2.83</v>
      </c>
      <c r="EQ67" s="281"/>
      <c r="ER67" s="338">
        <v>2.83</v>
      </c>
      <c r="ES67" s="281"/>
      <c r="ET67" s="338">
        <v>2.83</v>
      </c>
      <c r="EU67" s="281"/>
      <c r="EV67" s="338">
        <v>2.83</v>
      </c>
      <c r="EW67" s="281"/>
      <c r="EX67" s="338">
        <v>2.83</v>
      </c>
      <c r="EY67" s="281"/>
      <c r="EZ67" s="338">
        <v>2.83</v>
      </c>
      <c r="FA67" s="281"/>
      <c r="FB67" s="338">
        <v>2.83</v>
      </c>
      <c r="FC67" s="281"/>
      <c r="FD67" s="338">
        <v>2.83</v>
      </c>
      <c r="FE67" s="281"/>
      <c r="FF67" s="338">
        <v>2.83</v>
      </c>
      <c r="FG67" s="281"/>
      <c r="FH67" s="338">
        <v>2.83</v>
      </c>
      <c r="FI67" s="281"/>
      <c r="FJ67" s="338">
        <v>2.83</v>
      </c>
      <c r="FK67" s="281"/>
      <c r="FL67" s="338">
        <v>2.83</v>
      </c>
      <c r="FM67" s="281"/>
      <c r="FN67" s="338">
        <v>2.83</v>
      </c>
      <c r="FO67" s="281"/>
      <c r="FP67" s="338">
        <v>2.83</v>
      </c>
      <c r="FQ67" s="281"/>
      <c r="FR67" s="34"/>
      <c r="FS67" s="34"/>
      <c r="FT67" s="34"/>
      <c r="FU67" s="34"/>
      <c r="FV67" s="34"/>
      <c r="FW67" s="34"/>
      <c r="FX67" s="222"/>
      <c r="FY67" s="235"/>
      <c r="FZ67" s="235"/>
      <c r="GA67" s="235"/>
      <c r="GB67" s="235"/>
      <c r="GC67" s="235"/>
      <c r="GD67" s="235"/>
      <c r="GE67" s="235"/>
      <c r="GF67" s="258"/>
      <c r="GG67" s="258"/>
    </row>
    <row r="68" spans="1:189" ht="4.5" customHeight="1" x14ac:dyDescent="0.3">
      <c r="A68" s="1"/>
      <c r="B68" s="301"/>
      <c r="C68" s="301"/>
      <c r="D68" s="301"/>
      <c r="E68" s="301"/>
      <c r="F68" s="301"/>
      <c r="G68" s="5"/>
      <c r="H68" s="5"/>
      <c r="I68" s="351"/>
      <c r="J68" s="281"/>
      <c r="K68" s="328"/>
      <c r="L68" s="281"/>
      <c r="M68" s="351"/>
      <c r="N68" s="281"/>
      <c r="O68" s="351"/>
      <c r="P68" s="281"/>
      <c r="Q68" s="351"/>
      <c r="R68" s="281"/>
      <c r="S68" s="351"/>
      <c r="T68" s="281"/>
      <c r="U68" s="351"/>
      <c r="V68" s="281"/>
      <c r="W68" s="328"/>
      <c r="X68" s="281"/>
      <c r="Y68" s="351"/>
      <c r="Z68" s="281"/>
      <c r="AA68" s="328"/>
      <c r="AB68" s="281"/>
      <c r="AC68" s="351"/>
      <c r="AD68" s="281"/>
      <c r="AE68" s="351"/>
      <c r="AF68" s="281"/>
      <c r="AG68" s="351"/>
      <c r="AH68" s="281"/>
      <c r="AI68" s="351"/>
      <c r="AJ68" s="281"/>
      <c r="AK68" s="351"/>
      <c r="AL68" s="281"/>
      <c r="AM68" s="351"/>
      <c r="AN68" s="281"/>
      <c r="AO68" s="328"/>
      <c r="AP68" s="281"/>
      <c r="AQ68" s="351"/>
      <c r="AR68" s="281"/>
      <c r="AS68" s="328"/>
      <c r="AT68" s="281"/>
      <c r="AU68" s="351"/>
      <c r="AV68" s="281"/>
      <c r="AW68" s="351"/>
      <c r="AX68" s="281"/>
      <c r="AY68" s="351"/>
      <c r="AZ68" s="281"/>
      <c r="BA68" s="351"/>
      <c r="BB68" s="281"/>
      <c r="BC68" s="351"/>
      <c r="BD68" s="281"/>
      <c r="BE68" s="351"/>
      <c r="BF68" s="281"/>
      <c r="BG68" s="351"/>
      <c r="BH68" s="281"/>
      <c r="BI68" s="351"/>
      <c r="BJ68" s="281"/>
      <c r="BK68" s="351"/>
      <c r="BL68" s="281"/>
      <c r="BM68" s="351"/>
      <c r="BN68" s="281"/>
      <c r="BO68" s="351"/>
      <c r="BP68" s="281"/>
      <c r="BQ68" s="351"/>
      <c r="BR68" s="281"/>
      <c r="BS68" s="351"/>
      <c r="BT68" s="281"/>
      <c r="BU68" s="351"/>
      <c r="BV68" s="281"/>
      <c r="BW68" s="351"/>
      <c r="BX68" s="281"/>
      <c r="BY68" s="351"/>
      <c r="BZ68" s="281"/>
      <c r="CA68" s="351"/>
      <c r="CB68" s="281"/>
      <c r="CC68" s="351"/>
      <c r="CD68" s="281"/>
      <c r="CE68" s="351"/>
      <c r="CF68" s="281"/>
      <c r="CG68" s="351"/>
      <c r="CH68" s="281"/>
      <c r="CI68" s="351"/>
      <c r="CJ68" s="281"/>
      <c r="CK68" s="351"/>
      <c r="CL68" s="281"/>
      <c r="CM68" s="351"/>
      <c r="CN68" s="281"/>
      <c r="CO68" s="351"/>
      <c r="CP68" s="281"/>
      <c r="CQ68" s="351"/>
      <c r="CR68" s="281"/>
      <c r="CS68" s="351"/>
      <c r="CT68" s="281"/>
      <c r="CU68" s="351"/>
      <c r="CV68" s="281"/>
      <c r="CW68" s="351"/>
      <c r="CX68" s="281"/>
      <c r="CY68" s="351"/>
      <c r="CZ68" s="281"/>
      <c r="DA68" s="351"/>
      <c r="DB68" s="281"/>
      <c r="DC68" s="351"/>
      <c r="DD68" s="281"/>
      <c r="DE68" s="351"/>
      <c r="DF68" s="281"/>
      <c r="DG68" s="351"/>
      <c r="DH68" s="281"/>
      <c r="DI68" s="351"/>
      <c r="DJ68" s="281"/>
      <c r="DK68" s="351"/>
      <c r="DL68" s="281"/>
      <c r="DM68" s="351"/>
      <c r="DN68" s="281"/>
      <c r="DO68" s="351"/>
      <c r="DP68" s="281"/>
      <c r="DQ68" s="351"/>
      <c r="DR68" s="281"/>
      <c r="DS68" s="351"/>
      <c r="DT68" s="281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1"/>
      <c r="EO68" s="281"/>
      <c r="EP68" s="351"/>
      <c r="EQ68" s="281"/>
      <c r="ER68" s="351"/>
      <c r="ES68" s="281"/>
      <c r="ET68" s="351"/>
      <c r="EU68" s="281"/>
      <c r="EV68" s="351"/>
      <c r="EW68" s="281"/>
      <c r="EX68" s="351"/>
      <c r="EY68" s="281"/>
      <c r="EZ68" s="351"/>
      <c r="FA68" s="281"/>
      <c r="FB68" s="351"/>
      <c r="FC68" s="281"/>
      <c r="FD68" s="351"/>
      <c r="FE68" s="281"/>
      <c r="FF68" s="351"/>
      <c r="FG68" s="281"/>
      <c r="FH68" s="351"/>
      <c r="FI68" s="281"/>
      <c r="FJ68" s="351"/>
      <c r="FK68" s="281"/>
      <c r="FL68" s="351"/>
      <c r="FM68" s="281"/>
      <c r="FN68" s="351"/>
      <c r="FO68" s="281"/>
      <c r="FP68" s="351"/>
      <c r="FQ68" s="281"/>
      <c r="FR68" s="35"/>
      <c r="FS68" s="35"/>
      <c r="FT68" s="35"/>
      <c r="FU68" s="35"/>
      <c r="FV68" s="35"/>
      <c r="FW68" s="35"/>
      <c r="FX68" s="223"/>
      <c r="FY68" s="236"/>
      <c r="FZ68" s="236"/>
      <c r="GA68" s="236"/>
      <c r="GB68" s="236"/>
      <c r="GC68" s="236"/>
      <c r="GD68" s="236"/>
      <c r="GE68" s="236"/>
      <c r="GF68" s="259"/>
      <c r="GG68" s="259"/>
    </row>
    <row r="69" spans="1:189" ht="15" customHeight="1" x14ac:dyDescent="0.3">
      <c r="A69" s="1"/>
      <c r="B69" s="301"/>
      <c r="C69" s="301"/>
      <c r="D69" s="301"/>
      <c r="E69" s="301"/>
      <c r="F69" s="301"/>
      <c r="G69" s="32" t="s">
        <v>30</v>
      </c>
      <c r="H69" s="32"/>
      <c r="I69" s="355">
        <f>I74/I70</f>
        <v>2.9456741092542904</v>
      </c>
      <c r="J69" s="281"/>
      <c r="K69" s="355">
        <f>K74/K70</f>
        <v>2.2859491203581443</v>
      </c>
      <c r="L69" s="281"/>
      <c r="M69" s="355">
        <f>M74/M70</f>
        <v>3.0577027210192811</v>
      </c>
      <c r="N69" s="281"/>
      <c r="O69" s="355">
        <f>O74/O70</f>
        <v>3.0654161764211518</v>
      </c>
      <c r="P69" s="281"/>
      <c r="Q69" s="355">
        <f>Q74/Q70</f>
        <v>3.2797489009617782</v>
      </c>
      <c r="R69" s="281"/>
      <c r="S69" s="355">
        <f>S74/S70</f>
        <v>3.3135202229842187</v>
      </c>
      <c r="T69" s="281"/>
      <c r="U69" s="355">
        <f>U74/U70</f>
        <v>3.2719551893493528</v>
      </c>
      <c r="V69" s="281"/>
      <c r="W69" s="355">
        <f>W74/W70</f>
        <v>2.5751509376890498</v>
      </c>
      <c r="X69" s="281"/>
      <c r="Y69" s="355">
        <f>Y74/Y70</f>
        <v>2.9766781716732078</v>
      </c>
      <c r="Z69" s="281"/>
      <c r="AA69" s="355">
        <f>AA74/AA70</f>
        <v>2.7185425500588929</v>
      </c>
      <c r="AB69" s="281"/>
      <c r="AC69" s="355">
        <f>AC74/AC70</f>
        <v>3.1002723935099286</v>
      </c>
      <c r="AD69" s="281"/>
      <c r="AE69" s="355">
        <f>AE74/AE70</f>
        <v>2.9413263018914275</v>
      </c>
      <c r="AF69" s="281"/>
      <c r="AG69" s="355">
        <f>AG74/AG70</f>
        <v>3.2491382656897545</v>
      </c>
      <c r="AH69" s="281"/>
      <c r="AI69" s="355">
        <f>AI74/AI70</f>
        <v>3.3871647665857689</v>
      </c>
      <c r="AJ69" s="281"/>
      <c r="AK69" s="355">
        <f>AK74/AK70</f>
        <v>3.6808658136000392</v>
      </c>
      <c r="AL69" s="281"/>
      <c r="AM69" s="355">
        <f>AM74/AM70</f>
        <v>3.3220212971510765</v>
      </c>
      <c r="AN69" s="281"/>
      <c r="AO69" s="355">
        <f>AO74/AO70</f>
        <v>1.9620291154754435</v>
      </c>
      <c r="AP69" s="281"/>
      <c r="AQ69" s="355">
        <f>AQ74/AQ70</f>
        <v>2.4837596490892029</v>
      </c>
      <c r="AR69" s="281"/>
      <c r="AS69" s="355">
        <f>AS74/AS70</f>
        <v>2.4646752900894047</v>
      </c>
      <c r="AT69" s="281"/>
      <c r="AU69" s="355">
        <f>AU74/AU70</f>
        <v>2.9373701692978074</v>
      </c>
      <c r="AV69" s="281"/>
      <c r="AW69" s="355">
        <f>AW74/AW70</f>
        <v>3.597245675201528</v>
      </c>
      <c r="AX69" s="281"/>
      <c r="AY69" s="355">
        <f>AY74/AY70</f>
        <v>3.8463245187331814</v>
      </c>
      <c r="AZ69" s="281"/>
      <c r="BA69" s="355">
        <f>BA74/BA70</f>
        <v>5.4809711875361433</v>
      </c>
      <c r="BB69" s="281"/>
      <c r="BC69" s="355">
        <f>BC74/BC70</f>
        <v>6.4875169200421725</v>
      </c>
      <c r="BD69" s="281"/>
      <c r="BE69" s="355">
        <f>BE74/BE70</f>
        <v>4.7314015935430467</v>
      </c>
      <c r="BF69" s="281"/>
      <c r="BG69" s="355">
        <f>BG74/BG70</f>
        <v>3.6429797690619337</v>
      </c>
      <c r="BH69" s="281"/>
      <c r="BI69" s="355">
        <f>BI74/BI70</f>
        <v>4.6085169918475772</v>
      </c>
      <c r="BJ69" s="281"/>
      <c r="BK69" s="355">
        <f>BK74/BK70</f>
        <v>4.099419637861188</v>
      </c>
      <c r="BL69" s="281"/>
      <c r="BM69" s="355">
        <f>BM74/BM70</f>
        <v>4.0011550561797753</v>
      </c>
      <c r="BN69" s="281"/>
      <c r="BO69" s="355">
        <f>BO74/BO70</f>
        <v>4.5612291614202976</v>
      </c>
      <c r="BP69" s="281"/>
      <c r="BQ69" s="355">
        <f>BQ74/BQ70</f>
        <v>4.1190024710046522</v>
      </c>
      <c r="BR69" s="281"/>
      <c r="BS69" s="355">
        <f>BS74/BS70</f>
        <v>4.3000037599285612</v>
      </c>
      <c r="BT69" s="281"/>
      <c r="BU69" s="355">
        <f>BU74/BU70</f>
        <v>3.6754749460043192</v>
      </c>
      <c r="BV69" s="281"/>
      <c r="BW69" s="355">
        <f>BW74/BW70</f>
        <v>3.5680913729627322</v>
      </c>
      <c r="BX69" s="281"/>
      <c r="BY69" s="355">
        <f>BY74/BY70</f>
        <v>4.3882704409818176</v>
      </c>
      <c r="BZ69" s="281"/>
      <c r="CA69" s="355">
        <f>CA74/CA70</f>
        <v>5.0725641907663581</v>
      </c>
      <c r="CB69" s="281"/>
      <c r="CC69" s="355">
        <f>CC74/CC70</f>
        <v>3.5651313310668895</v>
      </c>
      <c r="CD69" s="281"/>
      <c r="CE69" s="355">
        <f>CE74/CE70</f>
        <v>3.7153215484448423</v>
      </c>
      <c r="CF69" s="281"/>
      <c r="CG69" s="355">
        <f>CG74/CG70</f>
        <v>4.6241083339103142</v>
      </c>
      <c r="CH69" s="281"/>
      <c r="CI69" s="355">
        <f>CI74/CI70</f>
        <v>4.6115060905861815</v>
      </c>
      <c r="CJ69" s="281"/>
      <c r="CK69" s="355">
        <f>CK74/CK70</f>
        <v>5.0109118426031021</v>
      </c>
      <c r="CL69" s="281"/>
      <c r="CM69" s="355">
        <f>CM74/CM70</f>
        <v>4.5542124580536916</v>
      </c>
      <c r="CN69" s="281"/>
      <c r="CO69" s="355">
        <f>CO74/CO70</f>
        <v>5.8046299017489273</v>
      </c>
      <c r="CP69" s="281"/>
      <c r="CQ69" s="355">
        <f>CQ74/CQ70</f>
        <v>4.3313517814334137</v>
      </c>
      <c r="CR69" s="281"/>
      <c r="CS69" s="355">
        <f>CS74/CS70</f>
        <v>5.2525534101357563</v>
      </c>
      <c r="CT69" s="281"/>
      <c r="CU69" s="355">
        <f>CU74/CU70</f>
        <v>5.9234920991958608</v>
      </c>
      <c r="CV69" s="281"/>
      <c r="CW69" s="355">
        <f>CW74/CW70</f>
        <v>7.3284136583207342</v>
      </c>
      <c r="CX69" s="281"/>
      <c r="CY69" s="355">
        <f>CY74/CY70</f>
        <v>6.2517091476336235</v>
      </c>
      <c r="CZ69" s="281"/>
      <c r="DA69" s="355">
        <f>DA74/DA70</f>
        <v>6.0546898148148154</v>
      </c>
      <c r="DB69" s="281"/>
      <c r="DC69" s="355">
        <f>DC74/DC70</f>
        <v>5.2421708990592064</v>
      </c>
      <c r="DD69" s="281"/>
      <c r="DE69" s="355">
        <f>DE74/DE70</f>
        <v>4.9658818738341086</v>
      </c>
      <c r="DF69" s="281"/>
      <c r="DG69" s="355">
        <f>DG74/DG70</f>
        <v>5.0748497348261639</v>
      </c>
      <c r="DH69" s="281"/>
      <c r="DI69" s="355">
        <f>DI74/DI70</f>
        <v>6.7750182921388413</v>
      </c>
      <c r="DJ69" s="281"/>
      <c r="DK69" s="355">
        <f>DK74/DK70</f>
        <v>5.5098336150055944</v>
      </c>
      <c r="DL69" s="281"/>
      <c r="DM69" s="355">
        <f>DM74/DM70</f>
        <v>5.1004754969949149</v>
      </c>
      <c r="DN69" s="281"/>
      <c r="DO69" s="355">
        <f>DO74/DO70</f>
        <v>5.7594632276054378</v>
      </c>
      <c r="DP69" s="281"/>
      <c r="DQ69" s="355">
        <f>DQ74/DQ70</f>
        <v>4.8848006897021117</v>
      </c>
      <c r="DR69" s="281"/>
      <c r="DS69" s="355">
        <f>DS74/DS70</f>
        <v>6.94544476162352</v>
      </c>
      <c r="DT69" s="281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55">
        <f>EN74/EN70</f>
        <v>6.6816691643018844</v>
      </c>
      <c r="EO69" s="281"/>
      <c r="EP69" s="355">
        <f>EP74/EP70</f>
        <v>6.7168875754933302</v>
      </c>
      <c r="EQ69" s="281"/>
      <c r="ER69" s="355">
        <f>ER74/ER70</f>
        <v>6.5625019300250127</v>
      </c>
      <c r="ES69" s="281"/>
      <c r="ET69" s="355">
        <f>ET74/ET70</f>
        <v>5.2343132211361798</v>
      </c>
      <c r="EU69" s="281"/>
      <c r="EV69" s="355">
        <f>EV74/EV70</f>
        <v>6.9860193347533999</v>
      </c>
      <c r="EW69" s="281"/>
      <c r="EX69" s="355">
        <f>EX74/EX70</f>
        <v>6.4414096849510294</v>
      </c>
      <c r="EY69" s="281"/>
      <c r="EZ69" s="355">
        <f>EZ74/EZ70</f>
        <v>5.1453452832356659</v>
      </c>
      <c r="FA69" s="281"/>
      <c r="FB69" s="355">
        <f>FB74/FB70</f>
        <v>6.9613582171415374</v>
      </c>
      <c r="FC69" s="281"/>
      <c r="FD69" s="355">
        <f>FD74/FD70</f>
        <v>7.8991026608484534</v>
      </c>
      <c r="FE69" s="281"/>
      <c r="FF69" s="355">
        <f>FF74/FF70</f>
        <v>8.2731480245595304</v>
      </c>
      <c r="FG69" s="281"/>
      <c r="FH69" s="355">
        <f>FH74/FH70</f>
        <v>13.392999564649543</v>
      </c>
      <c r="FI69" s="281"/>
      <c r="FJ69" s="355">
        <f>FJ74/FJ70</f>
        <v>9.8610991041433369</v>
      </c>
      <c r="FK69" s="281"/>
      <c r="FL69" s="355">
        <f>FL74/FL70</f>
        <v>9.2959424281340315</v>
      </c>
      <c r="FM69" s="281"/>
      <c r="FN69" s="355">
        <f>FN74/FN70</f>
        <v>9.051562786162739</v>
      </c>
      <c r="FO69" s="281"/>
      <c r="FP69" s="355">
        <f>FP74/FP70</f>
        <v>4.3052777777777775</v>
      </c>
      <c r="FQ69" s="281"/>
      <c r="FR69" s="36"/>
      <c r="FS69" s="36"/>
      <c r="FT69" s="36"/>
      <c r="FU69" s="36"/>
      <c r="FV69" s="36"/>
      <c r="FW69" s="36"/>
      <c r="FX69" s="224"/>
      <c r="FY69" s="237"/>
      <c r="FZ69" s="237"/>
      <c r="GA69" s="237"/>
      <c r="GB69" s="237"/>
      <c r="GC69" s="237"/>
      <c r="GD69" s="237"/>
      <c r="GE69" s="237"/>
      <c r="GF69" s="260"/>
      <c r="GG69" s="260"/>
    </row>
    <row r="70" spans="1:189" ht="15" customHeight="1" x14ac:dyDescent="0.3">
      <c r="A70" s="37"/>
      <c r="B70" s="301"/>
      <c r="C70" s="301"/>
      <c r="D70" s="301"/>
      <c r="E70" s="301"/>
      <c r="F70" s="301"/>
      <c r="G70" s="38" t="s">
        <v>68</v>
      </c>
      <c r="H70" s="38"/>
      <c r="I70" s="384">
        <f>SUM(I71:I73)</f>
        <v>718379</v>
      </c>
      <c r="J70" s="281"/>
      <c r="K70" s="384">
        <f>SUM(K71:K73)</f>
        <v>79521</v>
      </c>
      <c r="L70" s="281"/>
      <c r="M70" s="384">
        <f>SUM(M71:M73)</f>
        <v>59022</v>
      </c>
      <c r="N70" s="281"/>
      <c r="O70" s="384">
        <f>SUM(O71:O73)</f>
        <v>59494</v>
      </c>
      <c r="P70" s="281"/>
      <c r="Q70" s="384">
        <f>SUM(Q71:Q73)</f>
        <v>52091</v>
      </c>
      <c r="R70" s="281"/>
      <c r="S70" s="384">
        <f>SUM(S71:S73)</f>
        <v>49869</v>
      </c>
      <c r="T70" s="281"/>
      <c r="U70" s="384">
        <f>SUM(U71:U73)</f>
        <v>49274</v>
      </c>
      <c r="V70" s="281"/>
      <c r="W70" s="384">
        <f>SUM(W71:W73)</f>
        <v>66120</v>
      </c>
      <c r="X70" s="281"/>
      <c r="Y70" s="384">
        <f>SUM(Y71:Y73)</f>
        <v>62083</v>
      </c>
      <c r="Z70" s="281"/>
      <c r="AA70" s="384">
        <f>SUM(AA71:AA73)</f>
        <v>67920</v>
      </c>
      <c r="AB70" s="281"/>
      <c r="AC70" s="384">
        <f>SUM(AC71:AC73)</f>
        <v>50662</v>
      </c>
      <c r="AD70" s="281"/>
      <c r="AE70" s="384">
        <f>SUM(AE71:AE73)</f>
        <v>65136</v>
      </c>
      <c r="AF70" s="281"/>
      <c r="AG70" s="384">
        <f>SUM(AG71:AG73)</f>
        <v>57187</v>
      </c>
      <c r="AH70" s="281"/>
      <c r="AI70" s="384">
        <f>SUM(AI71:AI73)</f>
        <v>49033</v>
      </c>
      <c r="AJ70" s="281"/>
      <c r="AK70" s="384">
        <f>SUM(AK71:AK73)</f>
        <v>40794</v>
      </c>
      <c r="AL70" s="281"/>
      <c r="AM70" s="384">
        <f>SUM(AM71:AM73)</f>
        <v>46579</v>
      </c>
      <c r="AN70" s="281"/>
      <c r="AO70" s="384">
        <f>SUM(AO71:AO73)</f>
        <v>66906</v>
      </c>
      <c r="AP70" s="281"/>
      <c r="AQ70" s="384">
        <f>SUM(AQ71:AQ73)</f>
        <v>52207</v>
      </c>
      <c r="AR70" s="281"/>
      <c r="AS70" s="384">
        <f>SUM(AS71:AS73)</f>
        <v>52570</v>
      </c>
      <c r="AT70" s="281"/>
      <c r="AU70" s="384">
        <f>SUM(AU71:AU73)</f>
        <v>55996</v>
      </c>
      <c r="AV70" s="281"/>
      <c r="AW70" s="384">
        <f>SUM(AW71:AW73)</f>
        <v>45031</v>
      </c>
      <c r="AX70" s="281"/>
      <c r="AY70" s="384">
        <f>SUM(AY71:AY73)</f>
        <v>38648</v>
      </c>
      <c r="AZ70" s="281"/>
      <c r="BA70" s="384">
        <f>SUM(BA71:BA73)</f>
        <v>29397</v>
      </c>
      <c r="BB70" s="281"/>
      <c r="BC70" s="384">
        <f>SUM(BC71:BC73)</f>
        <v>29403</v>
      </c>
      <c r="BD70" s="281"/>
      <c r="BE70" s="384">
        <f>SUM(BE71:BE73)</f>
        <v>38656</v>
      </c>
      <c r="BF70" s="281"/>
      <c r="BG70" s="384">
        <f>SUM(BG71:BG73)</f>
        <v>41916</v>
      </c>
      <c r="BH70" s="281"/>
      <c r="BI70" s="384">
        <f>SUM(BI71:BI73)</f>
        <v>32751</v>
      </c>
      <c r="BJ70" s="281"/>
      <c r="BK70" s="384">
        <f>SUM(BK71:BK73)</f>
        <v>44679</v>
      </c>
      <c r="BL70" s="281"/>
      <c r="BM70" s="384">
        <f>SUM(BM71:BM73)</f>
        <v>42275</v>
      </c>
      <c r="BN70" s="281"/>
      <c r="BO70" s="384">
        <f>SUM(BO71:BO73)</f>
        <v>39710</v>
      </c>
      <c r="BP70" s="281"/>
      <c r="BQ70" s="384">
        <f>SUM(BQ71:BQ73)</f>
        <v>44921</v>
      </c>
      <c r="BR70" s="281"/>
      <c r="BS70" s="384">
        <f>SUM(BS71:BS73)</f>
        <v>42554</v>
      </c>
      <c r="BT70" s="281"/>
      <c r="BU70" s="384">
        <f>SUM(BU71:BU73)</f>
        <v>46300</v>
      </c>
      <c r="BV70" s="281"/>
      <c r="BW70" s="384">
        <f>SUM(BW71:BW73)</f>
        <v>46447</v>
      </c>
      <c r="BX70" s="281"/>
      <c r="BY70" s="384">
        <f>SUM(BY71:BY73)</f>
        <v>43063</v>
      </c>
      <c r="BZ70" s="281"/>
      <c r="CA70" s="384">
        <f>SUM(CA71:CA73)</f>
        <v>40699</v>
      </c>
      <c r="CB70" s="281"/>
      <c r="CC70" s="384">
        <f>SUM(CC71:CC73)</f>
        <v>46181</v>
      </c>
      <c r="CD70" s="281"/>
      <c r="CE70" s="384">
        <f>SUM(CE71:CE73)</f>
        <v>44690</v>
      </c>
      <c r="CF70" s="281"/>
      <c r="CG70" s="384">
        <f>SUM(CG71:CG73)</f>
        <v>43329</v>
      </c>
      <c r="CH70" s="281"/>
      <c r="CI70" s="384">
        <f>SUM(CI71:CI73)</f>
        <v>49831</v>
      </c>
      <c r="CJ70" s="281"/>
      <c r="CK70" s="384">
        <f>SUM(CK71:CK73)</f>
        <v>44931</v>
      </c>
      <c r="CL70" s="281"/>
      <c r="CM70" s="384">
        <f>SUM(CM71:CM73)</f>
        <v>47680</v>
      </c>
      <c r="CN70" s="281"/>
      <c r="CO70" s="384">
        <f>SUM(CO71:CO73)</f>
        <v>34707</v>
      </c>
      <c r="CP70" s="281"/>
      <c r="CQ70" s="384">
        <f>SUM(CQ71:CQ73)</f>
        <v>48388</v>
      </c>
      <c r="CR70" s="281"/>
      <c r="CS70" s="384">
        <f>SUM(CS71:CS73)</f>
        <v>36978</v>
      </c>
      <c r="CT70" s="281"/>
      <c r="CU70" s="384">
        <f>SUM(CU71:CU73)</f>
        <v>35566</v>
      </c>
      <c r="CV70" s="281"/>
      <c r="CW70" s="384">
        <f>SUM(CW71:CW73)</f>
        <v>27119</v>
      </c>
      <c r="CX70" s="281"/>
      <c r="CY70" s="384">
        <f>SUM(CY71:CY73)</f>
        <v>33976</v>
      </c>
      <c r="CZ70" s="281"/>
      <c r="DA70" s="384">
        <f>SUM(DA71:DA73)</f>
        <v>32400</v>
      </c>
      <c r="DB70" s="281"/>
      <c r="DC70" s="384">
        <f>SUM(DC71:DC73)</f>
        <v>42411</v>
      </c>
      <c r="DD70" s="281"/>
      <c r="DE70" s="384">
        <f>SUM(DE71:DE73)</f>
        <v>38061</v>
      </c>
      <c r="DF70" s="281"/>
      <c r="DG70" s="384">
        <f>SUM(DG71:DG73)</f>
        <v>39031</v>
      </c>
      <c r="DH70" s="281"/>
      <c r="DI70" s="384">
        <f>SUM(DI71:DI73)</f>
        <v>33621</v>
      </c>
      <c r="DJ70" s="281"/>
      <c r="DK70" s="384">
        <f>SUM(DK71:DK73)</f>
        <v>42011</v>
      </c>
      <c r="DL70" s="281"/>
      <c r="DM70" s="384">
        <f>SUM(DM71:DM73)</f>
        <v>43260</v>
      </c>
      <c r="DN70" s="281"/>
      <c r="DO70" s="384">
        <f>SUM(DO71:DO73)</f>
        <v>37297</v>
      </c>
      <c r="DP70" s="281"/>
      <c r="DQ70" s="384">
        <f>SUM(DQ71:DQ73)</f>
        <v>44077</v>
      </c>
      <c r="DR70" s="281"/>
      <c r="DS70" s="384">
        <f>SUM(DS71:DS73)</f>
        <v>30477</v>
      </c>
      <c r="DT70" s="281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84">
        <f>SUM(EN71:EN73)</f>
        <v>31363</v>
      </c>
      <c r="EO70" s="281"/>
      <c r="EP70" s="384">
        <f>SUM(EP71:EP73)</f>
        <v>30963</v>
      </c>
      <c r="EQ70" s="281"/>
      <c r="ER70" s="384">
        <f>SUM(ER71:ER73)</f>
        <v>32383</v>
      </c>
      <c r="ES70" s="281"/>
      <c r="ET70" s="384">
        <f>SUM(ET71:ET73)</f>
        <v>40821</v>
      </c>
      <c r="EU70" s="281"/>
      <c r="EV70" s="384">
        <f>SUM(EV71:EV73)</f>
        <v>30515</v>
      </c>
      <c r="EW70" s="281"/>
      <c r="EX70" s="384">
        <f>SUM(EX71:EX73)</f>
        <v>32979</v>
      </c>
      <c r="EY70" s="281"/>
      <c r="EZ70" s="384">
        <f>SUM(EZ71:EZ73)</f>
        <v>43515</v>
      </c>
      <c r="FA70" s="281"/>
      <c r="FB70" s="384">
        <f>SUM(FB71:FB73)</f>
        <v>34641</v>
      </c>
      <c r="FC70" s="281"/>
      <c r="FD70" s="384">
        <f>SUM(FD71:FD73)</f>
        <v>30479</v>
      </c>
      <c r="FE70" s="281"/>
      <c r="FF70" s="384">
        <f>SUM(FF71:FF73)</f>
        <v>29968</v>
      </c>
      <c r="FG70" s="281"/>
      <c r="FH70" s="384">
        <f>SUM(FH71:FH73)</f>
        <v>18376</v>
      </c>
      <c r="FI70" s="281"/>
      <c r="FJ70" s="384">
        <f>SUM(FJ71:FJ73)</f>
        <v>17860</v>
      </c>
      <c r="FK70" s="281"/>
      <c r="FL70" s="384">
        <f>SUM(FL71:FL73)</f>
        <v>19415</v>
      </c>
      <c r="FM70" s="281"/>
      <c r="FN70" s="384">
        <f>SUM(FN71:FN73)</f>
        <v>16034</v>
      </c>
      <c r="FO70" s="281"/>
      <c r="FP70" s="384">
        <f>SUM(FP71:FP73)</f>
        <v>13968</v>
      </c>
      <c r="FQ70" s="281"/>
      <c r="FR70" s="39"/>
      <c r="FS70" s="39"/>
      <c r="FT70" s="39"/>
      <c r="FU70" s="39"/>
      <c r="FV70" s="39"/>
      <c r="FW70" s="39"/>
      <c r="FX70" s="225"/>
      <c r="FY70" s="238"/>
      <c r="FZ70" s="238"/>
      <c r="GA70" s="238"/>
      <c r="GB70" s="238"/>
      <c r="GC70" s="238"/>
      <c r="GD70" s="238"/>
      <c r="GE70" s="238"/>
      <c r="GF70" s="261"/>
      <c r="GG70" s="261"/>
    </row>
    <row r="71" spans="1:189" ht="15" customHeight="1" outlineLevel="1" x14ac:dyDescent="0.3">
      <c r="A71" s="1"/>
      <c r="B71" s="301"/>
      <c r="C71" s="301"/>
      <c r="D71" s="301"/>
      <c r="E71" s="301"/>
      <c r="F71" s="301"/>
      <c r="G71" s="40" t="str">
        <f>G224</f>
        <v>Contatos recebidos eletrônico</v>
      </c>
      <c r="H71" s="5"/>
      <c r="I71" s="284">
        <f t="shared" ref="I71:I73" si="138">SUM(K71:AH71)</f>
        <v>300049</v>
      </c>
      <c r="J71" s="281"/>
      <c r="K71" s="284">
        <f>K224</f>
        <v>33486</v>
      </c>
      <c r="L71" s="281"/>
      <c r="M71" s="284">
        <f>M224</f>
        <v>22506</v>
      </c>
      <c r="N71" s="281"/>
      <c r="O71" s="284">
        <f>O224</f>
        <v>21864</v>
      </c>
      <c r="P71" s="281"/>
      <c r="Q71" s="284">
        <f>Q224</f>
        <v>21994</v>
      </c>
      <c r="R71" s="281"/>
      <c r="S71" s="284">
        <f>S224</f>
        <v>18364</v>
      </c>
      <c r="T71" s="281"/>
      <c r="U71" s="284">
        <f>U224</f>
        <v>18699</v>
      </c>
      <c r="V71" s="281"/>
      <c r="W71" s="284">
        <f>W224</f>
        <v>28055</v>
      </c>
      <c r="X71" s="281"/>
      <c r="Y71" s="284">
        <f>Y224</f>
        <v>25299</v>
      </c>
      <c r="Z71" s="281"/>
      <c r="AA71" s="284">
        <f>AA224</f>
        <v>35255</v>
      </c>
      <c r="AB71" s="281"/>
      <c r="AC71" s="284">
        <f>AC224</f>
        <v>14153</v>
      </c>
      <c r="AD71" s="281"/>
      <c r="AE71" s="284">
        <f>AE224</f>
        <v>33593</v>
      </c>
      <c r="AF71" s="281"/>
      <c r="AG71" s="284">
        <f>AG224</f>
        <v>26781</v>
      </c>
      <c r="AH71" s="281"/>
      <c r="AI71" s="284">
        <f>AI224</f>
        <v>20082</v>
      </c>
      <c r="AJ71" s="281"/>
      <c r="AK71" s="284">
        <f>AK224</f>
        <v>19723</v>
      </c>
      <c r="AL71" s="281"/>
      <c r="AM71" s="284">
        <f>AM224</f>
        <v>22229</v>
      </c>
      <c r="AN71" s="281"/>
      <c r="AO71" s="284">
        <f>AO224</f>
        <v>45210</v>
      </c>
      <c r="AP71" s="281"/>
      <c r="AQ71" s="284">
        <f>AQ224</f>
        <v>30755</v>
      </c>
      <c r="AR71" s="281"/>
      <c r="AS71" s="284">
        <f>AS224</f>
        <v>30450</v>
      </c>
      <c r="AT71" s="281"/>
      <c r="AU71" s="284">
        <f>AU224</f>
        <v>33515</v>
      </c>
      <c r="AV71" s="281"/>
      <c r="AW71" s="284">
        <f>AW224</f>
        <v>25441</v>
      </c>
      <c r="AX71" s="281"/>
      <c r="AY71" s="284">
        <f>AY224</f>
        <v>18298</v>
      </c>
      <c r="AZ71" s="281"/>
      <c r="BA71" s="284">
        <f>BA224</f>
        <v>13127</v>
      </c>
      <c r="BB71" s="281"/>
      <c r="BC71" s="284">
        <f>BC224</f>
        <v>13792</v>
      </c>
      <c r="BD71" s="281"/>
      <c r="BE71" s="284">
        <f>BE224</f>
        <v>20596</v>
      </c>
      <c r="BF71" s="281"/>
      <c r="BG71" s="284">
        <f>BG224</f>
        <v>17238</v>
      </c>
      <c r="BH71" s="281"/>
      <c r="BI71" s="284">
        <f>BI224</f>
        <v>14043</v>
      </c>
      <c r="BJ71" s="281"/>
      <c r="BK71" s="284">
        <f>BK224</f>
        <v>23700</v>
      </c>
      <c r="BL71" s="281"/>
      <c r="BM71" s="284">
        <f>BM224</f>
        <v>23711</v>
      </c>
      <c r="BN71" s="281"/>
      <c r="BO71" s="284">
        <f>BO224</f>
        <v>20637</v>
      </c>
      <c r="BP71" s="281"/>
      <c r="BQ71" s="284">
        <f>BQ224</f>
        <v>23888</v>
      </c>
      <c r="BR71" s="281"/>
      <c r="BS71" s="284">
        <f>BS224</f>
        <v>20939</v>
      </c>
      <c r="BT71" s="281"/>
      <c r="BU71" s="284">
        <f>BU224</f>
        <v>24462</v>
      </c>
      <c r="BV71" s="281"/>
      <c r="BW71" s="284">
        <f>BW224</f>
        <v>22795</v>
      </c>
      <c r="BX71" s="281"/>
      <c r="BY71" s="284">
        <f>BY224</f>
        <v>22004</v>
      </c>
      <c r="BZ71" s="281"/>
      <c r="CA71" s="284">
        <f>CA224</f>
        <v>19953</v>
      </c>
      <c r="CB71" s="281"/>
      <c r="CC71" s="284">
        <f>CC224</f>
        <v>25151</v>
      </c>
      <c r="CD71" s="281"/>
      <c r="CE71" s="284">
        <f>CE224</f>
        <v>26844</v>
      </c>
      <c r="CF71" s="281"/>
      <c r="CG71" s="284">
        <f>CG224</f>
        <v>27755</v>
      </c>
      <c r="CH71" s="281"/>
      <c r="CI71" s="284">
        <f>CI224</f>
        <v>31076</v>
      </c>
      <c r="CJ71" s="281"/>
      <c r="CK71" s="284">
        <f>CK224</f>
        <v>26614</v>
      </c>
      <c r="CL71" s="281"/>
      <c r="CM71" s="284">
        <f>CM224</f>
        <v>27780</v>
      </c>
      <c r="CN71" s="281"/>
      <c r="CO71" s="284">
        <f>CO224</f>
        <v>19061</v>
      </c>
      <c r="CP71" s="281"/>
      <c r="CQ71" s="284">
        <f>CQ224</f>
        <v>30892</v>
      </c>
      <c r="CR71" s="281"/>
      <c r="CS71" s="284">
        <f>CS224</f>
        <v>15886</v>
      </c>
      <c r="CT71" s="281"/>
      <c r="CU71" s="284">
        <f>CU224</f>
        <v>15427</v>
      </c>
      <c r="CV71" s="281"/>
      <c r="CW71" s="284">
        <f>CW224</f>
        <v>9555</v>
      </c>
      <c r="CX71" s="281"/>
      <c r="CY71" s="284">
        <f>CY224</f>
        <v>14621</v>
      </c>
      <c r="CZ71" s="281"/>
      <c r="DA71" s="284">
        <f>DA224</f>
        <v>12591</v>
      </c>
      <c r="DB71" s="281"/>
      <c r="DC71" s="284">
        <f>DC224</f>
        <v>26112</v>
      </c>
      <c r="DD71" s="281"/>
      <c r="DE71" s="284">
        <f>DE224</f>
        <v>21694</v>
      </c>
      <c r="DF71" s="281"/>
      <c r="DG71" s="284">
        <f>DG224</f>
        <v>19992</v>
      </c>
      <c r="DH71" s="281"/>
      <c r="DI71" s="284">
        <f>DI224</f>
        <v>16993</v>
      </c>
      <c r="DJ71" s="281"/>
      <c r="DK71" s="284">
        <f>DK224</f>
        <v>23193</v>
      </c>
      <c r="DL71" s="281"/>
      <c r="DM71" s="284">
        <f>DM224</f>
        <v>24033</v>
      </c>
      <c r="DN71" s="281"/>
      <c r="DO71" s="284">
        <f>DO224</f>
        <v>19916</v>
      </c>
      <c r="DP71" s="281"/>
      <c r="DQ71" s="284">
        <f>DQ224</f>
        <v>25234</v>
      </c>
      <c r="DR71" s="281"/>
      <c r="DS71" s="284">
        <f>DS224</f>
        <v>15415</v>
      </c>
      <c r="DT71" s="281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284">
        <f>EN224</f>
        <v>17041</v>
      </c>
      <c r="EO71" s="281"/>
      <c r="EP71" s="284">
        <f>EP224</f>
        <v>16742</v>
      </c>
      <c r="EQ71" s="281"/>
      <c r="ER71" s="284">
        <f>ER224</f>
        <v>19117</v>
      </c>
      <c r="ES71" s="281"/>
      <c r="ET71" s="284">
        <f>ET224</f>
        <v>23696</v>
      </c>
      <c r="EU71" s="281"/>
      <c r="EV71" s="284">
        <f>EV224</f>
        <v>14911</v>
      </c>
      <c r="EW71" s="281"/>
      <c r="EX71" s="284">
        <f>EX224</f>
        <v>20211</v>
      </c>
      <c r="EY71" s="281"/>
      <c r="EZ71" s="284">
        <f>EZ224</f>
        <v>27430</v>
      </c>
      <c r="FA71" s="281"/>
      <c r="FB71" s="284">
        <f>FB224</f>
        <v>19008</v>
      </c>
      <c r="FC71" s="281"/>
      <c r="FD71" s="284">
        <f>FD224</f>
        <v>18410</v>
      </c>
      <c r="FE71" s="281"/>
      <c r="FF71" s="284">
        <f>FF224</f>
        <v>16754</v>
      </c>
      <c r="FG71" s="281"/>
      <c r="FH71" s="284">
        <f>FH224</f>
        <v>15556</v>
      </c>
      <c r="FI71" s="281"/>
      <c r="FJ71" s="284">
        <f>FJ224</f>
        <v>15981</v>
      </c>
      <c r="FK71" s="281"/>
      <c r="FL71" s="284">
        <f>FL224</f>
        <v>18056</v>
      </c>
      <c r="FM71" s="281"/>
      <c r="FN71" s="284">
        <f>FN224</f>
        <v>15239</v>
      </c>
      <c r="FO71" s="281"/>
      <c r="FP71" s="284">
        <f>FP224</f>
        <v>13670</v>
      </c>
      <c r="FQ71" s="281"/>
      <c r="FR71" s="36"/>
      <c r="FS71" s="36"/>
      <c r="FT71" s="36"/>
      <c r="FU71" s="36"/>
      <c r="FV71" s="36"/>
      <c r="FW71" s="36"/>
      <c r="FX71" s="224"/>
      <c r="FY71" s="237"/>
      <c r="FZ71" s="237"/>
      <c r="GA71" s="237"/>
      <c r="GB71" s="237"/>
      <c r="GC71" s="237"/>
      <c r="GD71" s="237"/>
      <c r="GE71" s="237"/>
      <c r="GF71" s="260"/>
      <c r="GG71" s="260"/>
    </row>
    <row r="72" spans="1:189" ht="15" customHeight="1" outlineLevel="1" x14ac:dyDescent="0.3">
      <c r="A72" s="1"/>
      <c r="B72" s="301"/>
      <c r="C72" s="301"/>
      <c r="D72" s="301"/>
      <c r="E72" s="301"/>
      <c r="F72" s="301"/>
      <c r="G72" s="41" t="s">
        <v>389</v>
      </c>
      <c r="H72" s="5"/>
      <c r="I72" s="284">
        <f t="shared" si="138"/>
        <v>398941</v>
      </c>
      <c r="J72" s="281"/>
      <c r="K72" s="284">
        <f>K237</f>
        <v>45535</v>
      </c>
      <c r="L72" s="281"/>
      <c r="M72" s="284">
        <f>M237</f>
        <v>35758</v>
      </c>
      <c r="N72" s="281"/>
      <c r="O72" s="284">
        <f>O237</f>
        <v>36264</v>
      </c>
      <c r="P72" s="281"/>
      <c r="Q72" s="284">
        <f>Q237</f>
        <v>28392</v>
      </c>
      <c r="R72" s="281"/>
      <c r="S72" s="284">
        <f>S237</f>
        <v>27240</v>
      </c>
      <c r="T72" s="281"/>
      <c r="U72" s="284">
        <f>U237</f>
        <v>28241</v>
      </c>
      <c r="V72" s="281"/>
      <c r="W72" s="284">
        <f>W237</f>
        <v>35702</v>
      </c>
      <c r="X72" s="281"/>
      <c r="Y72" s="284">
        <f>Y237</f>
        <v>34822</v>
      </c>
      <c r="Z72" s="281"/>
      <c r="AA72" s="284">
        <f>AA237</f>
        <v>31268</v>
      </c>
      <c r="AB72" s="281"/>
      <c r="AC72" s="284">
        <f>AC237</f>
        <v>35228</v>
      </c>
      <c r="AD72" s="281"/>
      <c r="AE72" s="284">
        <f>AE237</f>
        <v>30744</v>
      </c>
      <c r="AF72" s="281"/>
      <c r="AG72" s="284">
        <f>AG237</f>
        <v>29747</v>
      </c>
      <c r="AH72" s="281"/>
      <c r="AI72" s="284">
        <f>AI237</f>
        <v>28503</v>
      </c>
      <c r="AJ72" s="281"/>
      <c r="AK72" s="284">
        <f>AK237</f>
        <v>20502</v>
      </c>
      <c r="AL72" s="281"/>
      <c r="AM72" s="284">
        <f>AM237</f>
        <v>23986</v>
      </c>
      <c r="AN72" s="281"/>
      <c r="AO72" s="284">
        <f>AO237</f>
        <v>21639</v>
      </c>
      <c r="AP72" s="281"/>
      <c r="AQ72" s="284">
        <f>AQ237</f>
        <v>21397</v>
      </c>
      <c r="AR72" s="281"/>
      <c r="AS72" s="284">
        <f>AS237</f>
        <v>20661</v>
      </c>
      <c r="AT72" s="281"/>
      <c r="AU72" s="284">
        <f>AU237</f>
        <v>20651</v>
      </c>
      <c r="AV72" s="281"/>
      <c r="AW72" s="284">
        <f>AW237</f>
        <v>17286</v>
      </c>
      <c r="AX72" s="281"/>
      <c r="AY72" s="284">
        <f>AY237</f>
        <v>17872</v>
      </c>
      <c r="AZ72" s="281"/>
      <c r="BA72" s="284">
        <f>BA237</f>
        <v>14314</v>
      </c>
      <c r="BB72" s="281"/>
      <c r="BC72" s="284">
        <f>BC237</f>
        <v>13517</v>
      </c>
      <c r="BD72" s="281"/>
      <c r="BE72" s="284">
        <f>BE237</f>
        <v>16350</v>
      </c>
      <c r="BF72" s="281"/>
      <c r="BG72" s="284">
        <v>23597</v>
      </c>
      <c r="BH72" s="281"/>
      <c r="BI72" s="284">
        <v>17453</v>
      </c>
      <c r="BJ72" s="281"/>
      <c r="BK72" s="284">
        <v>19655</v>
      </c>
      <c r="BL72" s="281"/>
      <c r="BM72" s="284">
        <v>17491</v>
      </c>
      <c r="BN72" s="281"/>
      <c r="BO72" s="284">
        <v>17363</v>
      </c>
      <c r="BP72" s="281"/>
      <c r="BQ72" s="284">
        <v>19485</v>
      </c>
      <c r="BR72" s="281"/>
      <c r="BS72" s="335">
        <v>18786</v>
      </c>
      <c r="BT72" s="281"/>
      <c r="BU72" s="335">
        <v>18827</v>
      </c>
      <c r="BV72" s="281"/>
      <c r="BW72" s="284">
        <v>20164</v>
      </c>
      <c r="BX72" s="281"/>
      <c r="BY72" s="335">
        <v>17863</v>
      </c>
      <c r="BZ72" s="281"/>
      <c r="CA72" s="335">
        <v>16564</v>
      </c>
      <c r="CB72" s="281"/>
      <c r="CC72" s="335">
        <v>17196</v>
      </c>
      <c r="CD72" s="281"/>
      <c r="CE72" s="335">
        <v>13819</v>
      </c>
      <c r="CF72" s="281"/>
      <c r="CG72" s="385">
        <v>12416</v>
      </c>
      <c r="CH72" s="281"/>
      <c r="CI72" s="385">
        <v>16857</v>
      </c>
      <c r="CJ72" s="281"/>
      <c r="CK72" s="385">
        <v>17261</v>
      </c>
      <c r="CL72" s="281"/>
      <c r="CM72" s="385">
        <v>18939</v>
      </c>
      <c r="CN72" s="281"/>
      <c r="CO72" s="385">
        <v>14836</v>
      </c>
      <c r="CP72" s="281"/>
      <c r="CQ72" s="385">
        <v>16200</v>
      </c>
      <c r="CR72" s="281"/>
      <c r="CS72" s="385">
        <v>19462</v>
      </c>
      <c r="CT72" s="281"/>
      <c r="CU72" s="385">
        <v>18447</v>
      </c>
      <c r="CV72" s="281"/>
      <c r="CW72" s="385">
        <v>15216</v>
      </c>
      <c r="CX72" s="281"/>
      <c r="CY72" s="385">
        <v>17562</v>
      </c>
      <c r="CZ72" s="281"/>
      <c r="DA72" s="385">
        <v>18362</v>
      </c>
      <c r="DB72" s="281"/>
      <c r="DC72" s="385">
        <v>13442</v>
      </c>
      <c r="DD72" s="281"/>
      <c r="DE72" s="385">
        <v>13189</v>
      </c>
      <c r="DF72" s="281"/>
      <c r="DG72" s="385">
        <v>15527</v>
      </c>
      <c r="DH72" s="281"/>
      <c r="DI72" s="385">
        <v>13546</v>
      </c>
      <c r="DJ72" s="281"/>
      <c r="DK72" s="385">
        <v>15650</v>
      </c>
      <c r="DL72" s="281"/>
      <c r="DM72" s="385">
        <v>13928</v>
      </c>
      <c r="DN72" s="281"/>
      <c r="DO72" s="385">
        <v>13678</v>
      </c>
      <c r="DP72" s="281"/>
      <c r="DQ72" s="385">
        <v>15529</v>
      </c>
      <c r="DR72" s="281"/>
      <c r="DS72" s="385">
        <v>12833</v>
      </c>
      <c r="DT72" s="281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85">
        <v>12291</v>
      </c>
      <c r="EO72" s="281"/>
      <c r="EP72" s="385">
        <v>11982</v>
      </c>
      <c r="EQ72" s="281"/>
      <c r="ER72" s="385">
        <v>11327</v>
      </c>
      <c r="ES72" s="281"/>
      <c r="ET72" s="385">
        <v>13819</v>
      </c>
      <c r="EU72" s="281"/>
      <c r="EV72" s="385">
        <v>11247</v>
      </c>
      <c r="EW72" s="281"/>
      <c r="EX72" s="385">
        <v>10223</v>
      </c>
      <c r="EY72" s="281"/>
      <c r="EZ72" s="385">
        <v>13533</v>
      </c>
      <c r="FA72" s="281"/>
      <c r="FB72" s="385">
        <v>13071</v>
      </c>
      <c r="FC72" s="281"/>
      <c r="FD72" s="385">
        <v>9858</v>
      </c>
      <c r="FE72" s="281"/>
      <c r="FF72" s="385">
        <v>10971</v>
      </c>
      <c r="FG72" s="281"/>
      <c r="FH72" s="385"/>
      <c r="FI72" s="281"/>
      <c r="FJ72" s="385"/>
      <c r="FK72" s="281"/>
      <c r="FL72" s="385"/>
      <c r="FM72" s="281"/>
      <c r="FN72" s="385"/>
      <c r="FO72" s="281"/>
      <c r="FP72" s="385"/>
      <c r="FQ72" s="281"/>
      <c r="FR72" s="36"/>
      <c r="FS72" s="36"/>
      <c r="FT72" s="36"/>
      <c r="FU72" s="36"/>
      <c r="FV72" s="36"/>
      <c r="FW72" s="36"/>
      <c r="FX72" s="224"/>
      <c r="FY72" s="237"/>
      <c r="FZ72" s="237"/>
      <c r="GA72" s="237"/>
      <c r="GB72" s="237"/>
      <c r="GC72" s="237"/>
      <c r="GD72" s="237"/>
      <c r="GE72" s="237"/>
      <c r="GF72" s="260"/>
      <c r="GG72" s="260"/>
    </row>
    <row r="73" spans="1:189" ht="15" customHeight="1" outlineLevel="1" x14ac:dyDescent="0.3">
      <c r="A73" s="1"/>
      <c r="B73" s="301"/>
      <c r="C73" s="301"/>
      <c r="D73" s="301"/>
      <c r="E73" s="301"/>
      <c r="F73" s="301"/>
      <c r="G73" s="5" t="str">
        <f>G249</f>
        <v>Contatos recebidos Parceiro</v>
      </c>
      <c r="H73" s="5"/>
      <c r="I73" s="284">
        <f t="shared" si="138"/>
        <v>19389</v>
      </c>
      <c r="J73" s="281"/>
      <c r="K73" s="284">
        <f>K249</f>
        <v>500</v>
      </c>
      <c r="L73" s="281"/>
      <c r="M73" s="284">
        <f>M249</f>
        <v>758</v>
      </c>
      <c r="N73" s="281"/>
      <c r="O73" s="284">
        <f>O249</f>
        <v>1366</v>
      </c>
      <c r="P73" s="281"/>
      <c r="Q73" s="284">
        <f>Q249</f>
        <v>1705</v>
      </c>
      <c r="R73" s="281"/>
      <c r="S73" s="284">
        <f>S249</f>
        <v>4265</v>
      </c>
      <c r="T73" s="281"/>
      <c r="U73" s="284">
        <f>U249</f>
        <v>2334</v>
      </c>
      <c r="V73" s="281"/>
      <c r="W73" s="284">
        <f>W249</f>
        <v>2363</v>
      </c>
      <c r="X73" s="281"/>
      <c r="Y73" s="284">
        <f>Y249</f>
        <v>1962</v>
      </c>
      <c r="Z73" s="281"/>
      <c r="AA73" s="284">
        <f>AA249</f>
        <v>1397</v>
      </c>
      <c r="AB73" s="281"/>
      <c r="AC73" s="284">
        <f>AC249</f>
        <v>1281</v>
      </c>
      <c r="AD73" s="281"/>
      <c r="AE73" s="284">
        <f>AE249</f>
        <v>799</v>
      </c>
      <c r="AF73" s="281"/>
      <c r="AG73" s="284">
        <f>AG249</f>
        <v>659</v>
      </c>
      <c r="AH73" s="281"/>
      <c r="AI73" s="284">
        <f>AI249</f>
        <v>448</v>
      </c>
      <c r="AJ73" s="281"/>
      <c r="AK73" s="284">
        <f>AK249</f>
        <v>569</v>
      </c>
      <c r="AL73" s="281"/>
      <c r="AM73" s="284">
        <f>AM249</f>
        <v>364</v>
      </c>
      <c r="AN73" s="281"/>
      <c r="AO73" s="284">
        <f>AO249</f>
        <v>57</v>
      </c>
      <c r="AP73" s="281"/>
      <c r="AQ73" s="284">
        <f>AQ249</f>
        <v>55</v>
      </c>
      <c r="AR73" s="281"/>
      <c r="AS73" s="284">
        <f>AS249</f>
        <v>1459</v>
      </c>
      <c r="AT73" s="281"/>
      <c r="AU73" s="284">
        <f>AU249</f>
        <v>1830</v>
      </c>
      <c r="AV73" s="281"/>
      <c r="AW73" s="284">
        <f>AW249</f>
        <v>2304</v>
      </c>
      <c r="AX73" s="281"/>
      <c r="AY73" s="284">
        <f>AY249</f>
        <v>2478</v>
      </c>
      <c r="AZ73" s="281"/>
      <c r="BA73" s="284">
        <f>BA249</f>
        <v>1956</v>
      </c>
      <c r="BB73" s="281"/>
      <c r="BC73" s="284">
        <f>BC249</f>
        <v>2094</v>
      </c>
      <c r="BD73" s="281"/>
      <c r="BE73" s="284">
        <f>BE249</f>
        <v>1710</v>
      </c>
      <c r="BF73" s="281"/>
      <c r="BG73" s="284">
        <f>BG249</f>
        <v>1081</v>
      </c>
      <c r="BH73" s="281"/>
      <c r="BI73" s="284">
        <f>BI249</f>
        <v>1255</v>
      </c>
      <c r="BJ73" s="281"/>
      <c r="BK73" s="284">
        <f>BK249</f>
        <v>1324</v>
      </c>
      <c r="BL73" s="281"/>
      <c r="BM73" s="284">
        <f>BM249</f>
        <v>1073</v>
      </c>
      <c r="BN73" s="281"/>
      <c r="BO73" s="284">
        <f>BO249</f>
        <v>1710</v>
      </c>
      <c r="BP73" s="281"/>
      <c r="BQ73" s="284">
        <f>BQ249</f>
        <v>1548</v>
      </c>
      <c r="BR73" s="281"/>
      <c r="BS73" s="335">
        <f>BS249</f>
        <v>2829</v>
      </c>
      <c r="BT73" s="281"/>
      <c r="BU73" s="335">
        <f>BU249</f>
        <v>3011</v>
      </c>
      <c r="BV73" s="281"/>
      <c r="BW73" s="335">
        <f>BW249</f>
        <v>3488</v>
      </c>
      <c r="BX73" s="281"/>
      <c r="BY73" s="335">
        <f>BY249</f>
        <v>3196</v>
      </c>
      <c r="BZ73" s="281"/>
      <c r="CA73" s="335">
        <f>CA249</f>
        <v>4182</v>
      </c>
      <c r="CB73" s="281"/>
      <c r="CC73" s="335">
        <f>CC249</f>
        <v>3834</v>
      </c>
      <c r="CD73" s="281"/>
      <c r="CE73" s="335">
        <f>CE249</f>
        <v>4027</v>
      </c>
      <c r="CF73" s="281"/>
      <c r="CG73" s="335">
        <f>CG249</f>
        <v>3158</v>
      </c>
      <c r="CH73" s="281"/>
      <c r="CI73" s="335">
        <f>CI249</f>
        <v>1898</v>
      </c>
      <c r="CJ73" s="281"/>
      <c r="CK73" s="335">
        <f>CK249</f>
        <v>1056</v>
      </c>
      <c r="CL73" s="281"/>
      <c r="CM73" s="335">
        <f>CM249</f>
        <v>961</v>
      </c>
      <c r="CN73" s="281"/>
      <c r="CO73" s="335">
        <f>CO249</f>
        <v>810</v>
      </c>
      <c r="CP73" s="281"/>
      <c r="CQ73" s="335">
        <f>CQ249</f>
        <v>1296</v>
      </c>
      <c r="CR73" s="281"/>
      <c r="CS73" s="335">
        <f>CS249</f>
        <v>1630</v>
      </c>
      <c r="CT73" s="281"/>
      <c r="CU73" s="335">
        <f>CU249</f>
        <v>1692</v>
      </c>
      <c r="CV73" s="281"/>
      <c r="CW73" s="335">
        <f>CW249</f>
        <v>2348</v>
      </c>
      <c r="CX73" s="281"/>
      <c r="CY73" s="335">
        <f>CY249</f>
        <v>1793</v>
      </c>
      <c r="CZ73" s="281"/>
      <c r="DA73" s="335">
        <f>DA249</f>
        <v>1447</v>
      </c>
      <c r="DB73" s="281"/>
      <c r="DC73" s="335">
        <f>DC249</f>
        <v>2857</v>
      </c>
      <c r="DD73" s="281"/>
      <c r="DE73" s="335">
        <f>DE249</f>
        <v>3178</v>
      </c>
      <c r="DF73" s="281"/>
      <c r="DG73" s="335">
        <f>DG249</f>
        <v>3512</v>
      </c>
      <c r="DH73" s="281"/>
      <c r="DI73" s="335">
        <f>DI249</f>
        <v>3082</v>
      </c>
      <c r="DJ73" s="281"/>
      <c r="DK73" s="335">
        <f>DK249</f>
        <v>3168</v>
      </c>
      <c r="DL73" s="281"/>
      <c r="DM73" s="335">
        <f>DM249</f>
        <v>5299</v>
      </c>
      <c r="DN73" s="281"/>
      <c r="DO73" s="335">
        <f>DO249</f>
        <v>3703</v>
      </c>
      <c r="DP73" s="281"/>
      <c r="DQ73" s="335">
        <f>DQ249</f>
        <v>3314</v>
      </c>
      <c r="DR73" s="281"/>
      <c r="DS73" s="335">
        <f>DS249</f>
        <v>2229</v>
      </c>
      <c r="DT73" s="281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35">
        <f>EN249</f>
        <v>2031</v>
      </c>
      <c r="EO73" s="281"/>
      <c r="EP73" s="335">
        <f>EP249</f>
        <v>2239</v>
      </c>
      <c r="EQ73" s="281"/>
      <c r="ER73" s="335">
        <f>ER249</f>
        <v>1939</v>
      </c>
      <c r="ES73" s="281"/>
      <c r="ET73" s="335">
        <f>ET249</f>
        <v>3306</v>
      </c>
      <c r="EU73" s="281"/>
      <c r="EV73" s="335">
        <f>EV249</f>
        <v>4357</v>
      </c>
      <c r="EW73" s="281"/>
      <c r="EX73" s="335">
        <f>EX249</f>
        <v>2545</v>
      </c>
      <c r="EY73" s="281"/>
      <c r="EZ73" s="335">
        <f>EZ249</f>
        <v>2552</v>
      </c>
      <c r="FA73" s="281"/>
      <c r="FB73" s="335">
        <f>FB249</f>
        <v>2562</v>
      </c>
      <c r="FC73" s="281"/>
      <c r="FD73" s="335">
        <f>FD249</f>
        <v>2211</v>
      </c>
      <c r="FE73" s="281"/>
      <c r="FF73" s="335">
        <f>FF249</f>
        <v>2243</v>
      </c>
      <c r="FG73" s="281"/>
      <c r="FH73" s="335">
        <f>FH249</f>
        <v>2820</v>
      </c>
      <c r="FI73" s="281"/>
      <c r="FJ73" s="335">
        <f>FJ249</f>
        <v>1879</v>
      </c>
      <c r="FK73" s="281"/>
      <c r="FL73" s="335">
        <f>FL249</f>
        <v>1359</v>
      </c>
      <c r="FM73" s="281"/>
      <c r="FN73" s="335">
        <f>FN249</f>
        <v>795</v>
      </c>
      <c r="FO73" s="281"/>
      <c r="FP73" s="335">
        <f>FP249</f>
        <v>298</v>
      </c>
      <c r="FQ73" s="281"/>
      <c r="FR73" s="39"/>
      <c r="FS73" s="39"/>
      <c r="FT73" s="39"/>
      <c r="FU73" s="39"/>
      <c r="FV73" s="39"/>
      <c r="FW73" s="39"/>
      <c r="FX73" s="225"/>
      <c r="FY73" s="238"/>
      <c r="FZ73" s="238"/>
      <c r="GA73" s="238"/>
      <c r="GB73" s="238"/>
      <c r="GC73" s="238"/>
      <c r="GD73" s="238"/>
      <c r="GE73" s="238"/>
      <c r="GF73" s="261"/>
      <c r="GG73" s="261"/>
    </row>
    <row r="74" spans="1:189" ht="15" customHeight="1" x14ac:dyDescent="0.3">
      <c r="A74" s="37"/>
      <c r="B74" s="301"/>
      <c r="C74" s="301"/>
      <c r="D74" s="301"/>
      <c r="E74" s="301"/>
      <c r="F74" s="301"/>
      <c r="G74" s="38" t="s">
        <v>69</v>
      </c>
      <c r="H74" s="38"/>
      <c r="I74" s="386">
        <f>SUM(I75:J76)</f>
        <v>2116110.4209319879</v>
      </c>
      <c r="J74" s="281"/>
      <c r="K74" s="386">
        <f>SUM(K75:L76)</f>
        <v>181780.96</v>
      </c>
      <c r="L74" s="281"/>
      <c r="M74" s="386">
        <f>SUM(M75:N76)</f>
        <v>180471.73</v>
      </c>
      <c r="N74" s="281"/>
      <c r="O74" s="386">
        <f>SUM(O75:P76)</f>
        <v>182373.87</v>
      </c>
      <c r="P74" s="281"/>
      <c r="Q74" s="386">
        <f>SUM(Q75:R76)</f>
        <v>170845.4</v>
      </c>
      <c r="R74" s="281"/>
      <c r="S74" s="386">
        <f>SUM(S75:T76)</f>
        <v>165241.94</v>
      </c>
      <c r="T74" s="281"/>
      <c r="U74" s="386">
        <f>SUM(U75:V76)</f>
        <v>161222.32</v>
      </c>
      <c r="V74" s="281"/>
      <c r="W74" s="386">
        <f>SUM(W75:X76)</f>
        <v>170268.97999999998</v>
      </c>
      <c r="X74" s="281"/>
      <c r="Y74" s="386">
        <f>SUM(Y75:Z76)</f>
        <v>184801.11093198776</v>
      </c>
      <c r="Z74" s="281"/>
      <c r="AA74" s="386">
        <f>SUM(AA75:AB76)</f>
        <v>184643.41</v>
      </c>
      <c r="AB74" s="281"/>
      <c r="AC74" s="386">
        <f>SUM(AC75:AD76)</f>
        <v>157066</v>
      </c>
      <c r="AD74" s="281"/>
      <c r="AE74" s="386">
        <f>SUM(AE75:AF76)</f>
        <v>191586.23</v>
      </c>
      <c r="AF74" s="281"/>
      <c r="AG74" s="386">
        <f>SUM(AG75:AH76)</f>
        <v>185808.47</v>
      </c>
      <c r="AH74" s="281"/>
      <c r="AI74" s="386">
        <f>SUM(AI75:AJ76)</f>
        <v>166082.85</v>
      </c>
      <c r="AJ74" s="281"/>
      <c r="AK74" s="386">
        <f>SUM(AK75:AL76)</f>
        <v>150157.24</v>
      </c>
      <c r="AL74" s="281"/>
      <c r="AM74" s="386">
        <f>SUM(AM75:AN76)</f>
        <v>154736.43</v>
      </c>
      <c r="AN74" s="281"/>
      <c r="AO74" s="386">
        <f>SUM(AO75:AP76)</f>
        <v>131271.52000000002</v>
      </c>
      <c r="AP74" s="281"/>
      <c r="AQ74" s="386">
        <f>SUM(AQ75:AR76)</f>
        <v>129669.64000000001</v>
      </c>
      <c r="AR74" s="281"/>
      <c r="AS74" s="386">
        <f>SUM(AS75:AT76)</f>
        <v>129567.98</v>
      </c>
      <c r="AT74" s="281"/>
      <c r="AU74" s="386">
        <f>SUM(AU75:AV76)</f>
        <v>164480.98000000001</v>
      </c>
      <c r="AV74" s="281"/>
      <c r="AW74" s="386">
        <f>SUM(AW75:AX76)</f>
        <v>161987.57</v>
      </c>
      <c r="AX74" s="281"/>
      <c r="AY74" s="386">
        <f>SUM(AY75:AZ76)</f>
        <v>148652.75</v>
      </c>
      <c r="AZ74" s="281"/>
      <c r="BA74" s="386">
        <f>SUM(BA75:BB76)</f>
        <v>161124.11000000002</v>
      </c>
      <c r="BB74" s="281"/>
      <c r="BC74" s="386">
        <f>SUM(BC75:BD76)</f>
        <v>190752.46</v>
      </c>
      <c r="BD74" s="281"/>
      <c r="BE74" s="386">
        <f>SUM(BE75:BF76)</f>
        <v>182897.06</v>
      </c>
      <c r="BF74" s="281"/>
      <c r="BG74" s="386">
        <f>BG75+BG76</f>
        <v>152699.14000000001</v>
      </c>
      <c r="BH74" s="281"/>
      <c r="BI74" s="386">
        <f>BI75+BI76</f>
        <v>150933.54</v>
      </c>
      <c r="BJ74" s="281"/>
      <c r="BK74" s="386">
        <f>BK75+BK76</f>
        <v>183157.97</v>
      </c>
      <c r="BL74" s="281"/>
      <c r="BM74" s="386">
        <f>BM75+BM76</f>
        <v>169148.83000000002</v>
      </c>
      <c r="BN74" s="281"/>
      <c r="BO74" s="386">
        <f>BO75+BO76</f>
        <v>181126.41</v>
      </c>
      <c r="BP74" s="281"/>
      <c r="BQ74" s="386">
        <f>BQ75+BQ76</f>
        <v>185029.71</v>
      </c>
      <c r="BR74" s="281"/>
      <c r="BS74" s="386">
        <f>BS75+BS76</f>
        <v>182982.36</v>
      </c>
      <c r="BT74" s="281"/>
      <c r="BU74" s="386">
        <f>BU75+BU76</f>
        <v>170174.49</v>
      </c>
      <c r="BV74" s="281"/>
      <c r="BW74" s="386">
        <f>BW75+BW76</f>
        <v>165727.14000000001</v>
      </c>
      <c r="BX74" s="281"/>
      <c r="BY74" s="386">
        <f>BY75+BY76</f>
        <v>188972.09</v>
      </c>
      <c r="BZ74" s="281"/>
      <c r="CA74" s="386">
        <f>CA75+CA76</f>
        <v>206448.29</v>
      </c>
      <c r="CB74" s="281"/>
      <c r="CC74" s="386">
        <f>CC75+CC76</f>
        <v>164641.33000000002</v>
      </c>
      <c r="CD74" s="281"/>
      <c r="CE74" s="386">
        <f>CE75+CE76</f>
        <v>166037.72</v>
      </c>
      <c r="CF74" s="281"/>
      <c r="CG74" s="386">
        <f>CG75+CG76</f>
        <v>200357.99</v>
      </c>
      <c r="CH74" s="281"/>
      <c r="CI74" s="386">
        <f>CI75+CI76</f>
        <v>229795.96</v>
      </c>
      <c r="CJ74" s="281"/>
      <c r="CK74" s="386">
        <f>CK75+CK76</f>
        <v>225145.28</v>
      </c>
      <c r="CL74" s="281"/>
      <c r="CM74" s="386">
        <f>CM75+CM76</f>
        <v>217144.85</v>
      </c>
      <c r="CN74" s="281"/>
      <c r="CO74" s="386">
        <f>CO75+CO76</f>
        <v>201461.29</v>
      </c>
      <c r="CP74" s="281"/>
      <c r="CQ74" s="386">
        <f>CQ75+CQ76</f>
        <v>209585.45</v>
      </c>
      <c r="CR74" s="281"/>
      <c r="CS74" s="386">
        <f>CS75+CS76</f>
        <v>194228.91999999998</v>
      </c>
      <c r="CT74" s="281"/>
      <c r="CU74" s="386">
        <f>CU75+CU76</f>
        <v>210674.91999999998</v>
      </c>
      <c r="CV74" s="281"/>
      <c r="CW74" s="386">
        <f>CW75+CW76</f>
        <v>198739.25</v>
      </c>
      <c r="CX74" s="281"/>
      <c r="CY74" s="386">
        <f>CY75+CY76</f>
        <v>212408.07</v>
      </c>
      <c r="CZ74" s="281"/>
      <c r="DA74" s="386">
        <f>DA75+DA76</f>
        <v>196171.95</v>
      </c>
      <c r="DB74" s="281"/>
      <c r="DC74" s="386">
        <f>DC75+DC76</f>
        <v>222325.71000000002</v>
      </c>
      <c r="DD74" s="281"/>
      <c r="DE74" s="386">
        <f>DE75+DE76</f>
        <v>189006.43</v>
      </c>
      <c r="DF74" s="281"/>
      <c r="DG74" s="386">
        <f>DG75+DG76</f>
        <v>198076.46</v>
      </c>
      <c r="DH74" s="281"/>
      <c r="DI74" s="386">
        <f>DI75+DI76</f>
        <v>227782.88999999998</v>
      </c>
      <c r="DJ74" s="281"/>
      <c r="DK74" s="386">
        <f>DK75+DK76</f>
        <v>231473.62000000002</v>
      </c>
      <c r="DL74" s="281"/>
      <c r="DM74" s="386">
        <f>DM75+DM76</f>
        <v>220646.57</v>
      </c>
      <c r="DN74" s="281"/>
      <c r="DO74" s="386">
        <f>DO75+DO76</f>
        <v>214810.7</v>
      </c>
      <c r="DP74" s="281"/>
      <c r="DQ74" s="386">
        <f>DQ75+DQ76</f>
        <v>215307.36</v>
      </c>
      <c r="DR74" s="281"/>
      <c r="DS74" s="386">
        <f>DS75+DS76</f>
        <v>211676.32</v>
      </c>
      <c r="DT74" s="281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86">
        <f>EN75+EN76</f>
        <v>209557.19</v>
      </c>
      <c r="EO74" s="281"/>
      <c r="EP74" s="386">
        <f>EP75+EP76</f>
        <v>207974.99</v>
      </c>
      <c r="EQ74" s="281"/>
      <c r="ER74" s="386">
        <f>ER75+ER76</f>
        <v>212513.5</v>
      </c>
      <c r="ES74" s="281"/>
      <c r="ET74" s="386">
        <f>ET75+ET76</f>
        <v>213669.9</v>
      </c>
      <c r="EU74" s="281"/>
      <c r="EV74" s="386">
        <f>EV75+EV76</f>
        <v>213178.38</v>
      </c>
      <c r="EW74" s="281"/>
      <c r="EX74" s="386">
        <f>EX75+EX76</f>
        <v>212431.25</v>
      </c>
      <c r="EY74" s="281"/>
      <c r="EZ74" s="386">
        <f>EZ75+EZ76</f>
        <v>223899.7</v>
      </c>
      <c r="FA74" s="281"/>
      <c r="FB74" s="386">
        <f>FB75+FB76</f>
        <v>241148.41</v>
      </c>
      <c r="FC74" s="281"/>
      <c r="FD74" s="386">
        <f>FD75+FD76</f>
        <v>240756.75</v>
      </c>
      <c r="FE74" s="281"/>
      <c r="FF74" s="386">
        <f>FF75+FF76</f>
        <v>247929.7</v>
      </c>
      <c r="FG74" s="281"/>
      <c r="FH74" s="386">
        <f>FH75+FH76</f>
        <v>246109.76</v>
      </c>
      <c r="FI74" s="281"/>
      <c r="FJ74" s="386">
        <f>FJ75+FJ76</f>
        <v>176119.22999999998</v>
      </c>
      <c r="FK74" s="281"/>
      <c r="FL74" s="386">
        <f>FL75+FL76</f>
        <v>180480.72224222223</v>
      </c>
      <c r="FM74" s="281"/>
      <c r="FN74" s="386">
        <f>FN75+FN76</f>
        <v>145132.75771333335</v>
      </c>
      <c r="FO74" s="281"/>
      <c r="FP74" s="386">
        <f>FP75+FP76</f>
        <v>60136.12</v>
      </c>
      <c r="FQ74" s="281"/>
      <c r="FR74" s="39"/>
      <c r="FS74" s="39"/>
      <c r="FT74" s="39"/>
      <c r="FU74" s="39"/>
      <c r="FV74" s="39"/>
      <c r="FW74" s="39"/>
      <c r="FX74" s="225"/>
      <c r="FY74" s="238"/>
      <c r="FZ74" s="238"/>
      <c r="GA74" s="238"/>
      <c r="GB74" s="238"/>
      <c r="GC74" s="238"/>
      <c r="GD74" s="238"/>
      <c r="GE74" s="238"/>
      <c r="GF74" s="261"/>
      <c r="GG74" s="261"/>
    </row>
    <row r="75" spans="1:189" ht="15" customHeight="1" x14ac:dyDescent="0.3">
      <c r="A75" s="1"/>
      <c r="B75" s="301"/>
      <c r="C75" s="301"/>
      <c r="D75" s="301"/>
      <c r="E75" s="301"/>
      <c r="F75" s="301"/>
      <c r="G75" s="42" t="s">
        <v>70</v>
      </c>
      <c r="H75" s="42"/>
      <c r="I75" s="486">
        <f>I64</f>
        <v>1847536.0309319878</v>
      </c>
      <c r="J75" s="281"/>
      <c r="K75" s="486">
        <f>K64</f>
        <v>155632</v>
      </c>
      <c r="L75" s="281"/>
      <c r="M75" s="486">
        <f>M64</f>
        <v>155721</v>
      </c>
      <c r="N75" s="281"/>
      <c r="O75" s="486">
        <f>O64</f>
        <v>158337</v>
      </c>
      <c r="P75" s="281"/>
      <c r="Q75" s="486">
        <f>Q64</f>
        <v>150378</v>
      </c>
      <c r="R75" s="281"/>
      <c r="S75" s="486">
        <f>S64</f>
        <v>143530</v>
      </c>
      <c r="T75" s="281"/>
      <c r="U75" s="486">
        <f>U64</f>
        <v>140282</v>
      </c>
      <c r="V75" s="281"/>
      <c r="W75" s="486">
        <f>W64</f>
        <v>149134.09</v>
      </c>
      <c r="X75" s="281"/>
      <c r="Y75" s="486">
        <f>Y64</f>
        <v>164208.94093198774</v>
      </c>
      <c r="Z75" s="281"/>
      <c r="AA75" s="486">
        <f>AA64</f>
        <v>164244</v>
      </c>
      <c r="AB75" s="281"/>
      <c r="AC75" s="486">
        <f>AC64</f>
        <v>136657</v>
      </c>
      <c r="AD75" s="281"/>
      <c r="AE75" s="486">
        <f>AE64</f>
        <v>170361</v>
      </c>
      <c r="AF75" s="281"/>
      <c r="AG75" s="486">
        <f>AG64</f>
        <v>159051</v>
      </c>
      <c r="AH75" s="281"/>
      <c r="AI75" s="486">
        <f>AI64</f>
        <v>131813</v>
      </c>
      <c r="AJ75" s="281"/>
      <c r="AK75" s="486">
        <f>AK64</f>
        <v>116061</v>
      </c>
      <c r="AL75" s="281"/>
      <c r="AM75" s="486">
        <f>AM64</f>
        <v>116560</v>
      </c>
      <c r="AN75" s="281"/>
      <c r="AO75" s="486">
        <f>AO64</f>
        <v>86646</v>
      </c>
      <c r="AP75" s="281"/>
      <c r="AQ75" s="486">
        <f>AQ64</f>
        <v>89683</v>
      </c>
      <c r="AR75" s="281"/>
      <c r="AS75" s="486">
        <f>AS64</f>
        <v>85366</v>
      </c>
      <c r="AT75" s="281"/>
      <c r="AU75" s="486">
        <f>AU64</f>
        <v>113820</v>
      </c>
      <c r="AV75" s="281"/>
      <c r="AW75" s="486">
        <f>AW64</f>
        <v>113464</v>
      </c>
      <c r="AX75" s="281"/>
      <c r="AY75" s="486">
        <f>AY64</f>
        <v>99289</v>
      </c>
      <c r="AZ75" s="281"/>
      <c r="BA75" s="486">
        <f>BA64</f>
        <v>108519</v>
      </c>
      <c r="BB75" s="281"/>
      <c r="BC75" s="486">
        <f>BC64</f>
        <v>131797</v>
      </c>
      <c r="BD75" s="281"/>
      <c r="BE75" s="486">
        <f>BE64</f>
        <v>122781</v>
      </c>
      <c r="BF75" s="281"/>
      <c r="BG75" s="486">
        <f>BG64</f>
        <v>105692</v>
      </c>
      <c r="BH75" s="281"/>
      <c r="BI75" s="486">
        <f>BI64</f>
        <v>107418</v>
      </c>
      <c r="BJ75" s="281"/>
      <c r="BK75" s="43">
        <f>BK64</f>
        <v>128743</v>
      </c>
      <c r="BL75" s="43"/>
      <c r="BM75" s="43">
        <f>BM64</f>
        <v>112155</v>
      </c>
      <c r="BN75" s="44">
        <f>BM75/BM74</f>
        <v>0.66305513316290743</v>
      </c>
      <c r="BO75" s="43">
        <f>BO64</f>
        <v>124917</v>
      </c>
      <c r="BP75" s="44">
        <f>BO75/BO74</f>
        <v>0.68966750900655516</v>
      </c>
      <c r="BQ75" s="43">
        <f>BQ64</f>
        <v>126731</v>
      </c>
      <c r="BR75" s="44">
        <f>BQ75/BQ74</f>
        <v>0.68492243759123872</v>
      </c>
      <c r="BS75" s="43">
        <f>BS64</f>
        <v>127122</v>
      </c>
      <c r="BT75" s="44">
        <f>BS75/BS74</f>
        <v>0.69472270441806527</v>
      </c>
      <c r="BU75" s="43">
        <f>BU64</f>
        <v>114103</v>
      </c>
      <c r="BV75" s="44">
        <f>BU75/BU74</f>
        <v>0.67050590250042763</v>
      </c>
      <c r="BW75" s="43">
        <f>BW64</f>
        <v>113905</v>
      </c>
      <c r="BX75" s="44">
        <f>BW75/BW74</f>
        <v>0.68730444512588573</v>
      </c>
      <c r="BY75" s="43">
        <f>BY64</f>
        <v>135734</v>
      </c>
      <c r="BZ75" s="44">
        <f>BY75/BY74</f>
        <v>0.71827538130101642</v>
      </c>
      <c r="CA75" s="43">
        <f>CA64</f>
        <v>153008</v>
      </c>
      <c r="CB75" s="44">
        <f>CA75/CA74</f>
        <v>0.74114442895119159</v>
      </c>
      <c r="CC75" s="43">
        <f>CC64</f>
        <v>107886</v>
      </c>
      <c r="CD75" s="44">
        <f>CC75/CC74</f>
        <v>0.65527896306474198</v>
      </c>
      <c r="CE75" s="43">
        <f>CE64</f>
        <v>111233</v>
      </c>
      <c r="CF75" s="44">
        <f>CE75/CE74</f>
        <v>0.66992608667476283</v>
      </c>
      <c r="CG75" s="43">
        <f>CG64</f>
        <v>139226</v>
      </c>
      <c r="CH75" s="44">
        <f>CG75/CG74</f>
        <v>0.6948861884669536</v>
      </c>
      <c r="CI75" s="43">
        <f>CI64</f>
        <v>155527</v>
      </c>
      <c r="CJ75" s="44">
        <f>CI75/CI74</f>
        <v>0.67680476192879979</v>
      </c>
      <c r="CK75" s="43">
        <f>CK64</f>
        <v>159857</v>
      </c>
      <c r="CL75" s="44">
        <f>CK75/CK74</f>
        <v>0.71001710539967788</v>
      </c>
      <c r="CM75" s="43">
        <f>CM64</f>
        <v>147928</v>
      </c>
      <c r="CN75" s="44">
        <f>CM75/CM74</f>
        <v>0.68124111624107131</v>
      </c>
      <c r="CO75" s="43">
        <f>CO64</f>
        <v>143099</v>
      </c>
      <c r="CP75" s="44">
        <f>CO75/CO74</f>
        <v>0.71030519063984943</v>
      </c>
      <c r="CQ75" s="43">
        <f>CQ64</f>
        <v>139721</v>
      </c>
      <c r="CR75" s="44">
        <f>CQ75/CQ74</f>
        <v>0.66665410218123444</v>
      </c>
      <c r="CS75" s="43">
        <f>CS64</f>
        <v>143761</v>
      </c>
      <c r="CT75" s="44">
        <f>CS75/CS74</f>
        <v>0.7401626904994375</v>
      </c>
      <c r="CU75" s="43">
        <f>CU64</f>
        <v>154130</v>
      </c>
      <c r="CV75" s="44">
        <f>CU75/CU74</f>
        <v>0.731601084742313</v>
      </c>
      <c r="CW75" s="43">
        <f>CW64</f>
        <v>148011</v>
      </c>
      <c r="CX75" s="44">
        <f>CW75/CW74</f>
        <v>0.74474971602237605</v>
      </c>
      <c r="CY75" s="43">
        <f>CY64</f>
        <v>146473</v>
      </c>
      <c r="CZ75" s="44">
        <f>CY75/CY74</f>
        <v>0.68958302761283974</v>
      </c>
      <c r="DA75" s="43">
        <f>DA64</f>
        <v>137030</v>
      </c>
      <c r="DB75" s="44">
        <f>DA75/DA74</f>
        <v>0.69851984445278748</v>
      </c>
      <c r="DC75" s="188">
        <v>168090.2</v>
      </c>
      <c r="DD75" s="44">
        <f>DC75/DC74</f>
        <v>0.75605380952117507</v>
      </c>
      <c r="DE75" s="188">
        <f>DE64</f>
        <v>141220</v>
      </c>
      <c r="DF75" s="44">
        <f>DE75/DE74</f>
        <v>0.74717034759082013</v>
      </c>
      <c r="DG75" s="188">
        <f>DG64</f>
        <v>153072</v>
      </c>
      <c r="DH75" s="44">
        <f>DG75/DG74</f>
        <v>0.77279248629544373</v>
      </c>
      <c r="DI75" s="188">
        <f>DI64</f>
        <v>183151.18</v>
      </c>
      <c r="DJ75" s="44">
        <f>DI75/DI74</f>
        <v>0.80406030496847236</v>
      </c>
      <c r="DK75" s="188">
        <f>DK64</f>
        <v>179461.39</v>
      </c>
      <c r="DL75" s="44">
        <f>DK75/DK74</f>
        <v>0.77529953521269501</v>
      </c>
      <c r="DM75" s="188">
        <f>DM64</f>
        <v>170014.59</v>
      </c>
      <c r="DN75" s="44">
        <f>DM75/DM74</f>
        <v>0.77052904108139997</v>
      </c>
      <c r="DO75" s="188">
        <f>DO64</f>
        <v>163337</v>
      </c>
      <c r="DP75" s="44">
        <f>DO75/DO74</f>
        <v>0.76037646169394724</v>
      </c>
      <c r="DQ75" s="188">
        <f>DQ64</f>
        <v>163337</v>
      </c>
      <c r="DR75" s="44">
        <f>DQ75/DQ74</f>
        <v>0.75862246418329593</v>
      </c>
      <c r="DS75" s="188">
        <f>DS64</f>
        <v>163337</v>
      </c>
      <c r="DT75" s="44">
        <f>DS75/DS74</f>
        <v>0.77163567469426908</v>
      </c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188">
        <f>EN64</f>
        <v>163337</v>
      </c>
      <c r="EO75" s="44">
        <f>EN75/EN74</f>
        <v>0.77943877754802882</v>
      </c>
      <c r="EP75" s="188">
        <f>EP64</f>
        <v>163337</v>
      </c>
      <c r="EQ75" s="44">
        <f>EP75/EP74</f>
        <v>0.78536847146861266</v>
      </c>
      <c r="ER75" s="188">
        <f>ER64</f>
        <v>163337</v>
      </c>
      <c r="ES75" s="44">
        <f>ER75/ER74</f>
        <v>0.76859587743837454</v>
      </c>
      <c r="ET75" s="188">
        <f>ET64</f>
        <v>163337</v>
      </c>
      <c r="EU75" s="44">
        <f>ET75/ET74</f>
        <v>0.76443616999867559</v>
      </c>
      <c r="EV75" s="188">
        <f>EV64</f>
        <v>163337</v>
      </c>
      <c r="EW75" s="44">
        <f>EV75/EV74</f>
        <v>0.7661987111450983</v>
      </c>
      <c r="EX75" s="188">
        <f>EX64</f>
        <v>163337</v>
      </c>
      <c r="EY75" s="44">
        <f>EX75/EX74</f>
        <v>0.76889346553296656</v>
      </c>
      <c r="EZ75" s="188">
        <f>EZ64</f>
        <v>163337</v>
      </c>
      <c r="FA75" s="44">
        <f>EZ75/EZ74</f>
        <v>0.72950968670346583</v>
      </c>
      <c r="FB75" s="188">
        <f>FB64</f>
        <v>163337</v>
      </c>
      <c r="FC75" s="44">
        <f>FB75/FB74</f>
        <v>0.67732978210389194</v>
      </c>
      <c r="FD75" s="188">
        <f>FD64</f>
        <v>163337</v>
      </c>
      <c r="FE75" s="44">
        <f>FD75/FD74</f>
        <v>0.67843165352580981</v>
      </c>
      <c r="FF75" s="188">
        <f>FF64</f>
        <v>163337</v>
      </c>
      <c r="FG75" s="44">
        <f>FF75/FF74</f>
        <v>0.65880368507685849</v>
      </c>
      <c r="FH75" s="188">
        <f>FH64</f>
        <v>163337</v>
      </c>
      <c r="FI75" s="44">
        <f>FH75/FH74</f>
        <v>0.66367542676893432</v>
      </c>
      <c r="FJ75" s="188">
        <f>FJ64</f>
        <v>93791.4</v>
      </c>
      <c r="FK75" s="44">
        <f>FJ75/FJ74</f>
        <v>0.53254491289792716</v>
      </c>
      <c r="FL75" s="188">
        <f>FL64</f>
        <v>92784.802242222228</v>
      </c>
      <c r="FM75" s="44">
        <f>FL75/FL74</f>
        <v>0.51409813241824376</v>
      </c>
      <c r="FN75" s="188">
        <f>FN64</f>
        <v>64723.61771333334</v>
      </c>
      <c r="FO75" s="44">
        <f>FN75/FN74</f>
        <v>0.4459614681971083</v>
      </c>
      <c r="FP75" s="188">
        <f>FP64</f>
        <v>0</v>
      </c>
      <c r="FQ75" s="44">
        <f>FP75/FP74</f>
        <v>0</v>
      </c>
      <c r="FR75" s="45"/>
      <c r="FS75" s="45"/>
      <c r="FT75" s="45"/>
      <c r="FU75" s="45"/>
      <c r="FV75" s="45"/>
      <c r="FW75" s="45"/>
      <c r="FX75" s="226"/>
      <c r="FY75" s="237" t="s">
        <v>29</v>
      </c>
      <c r="FZ75" s="237" t="s">
        <v>29</v>
      </c>
      <c r="GA75" s="237" t="s">
        <v>29</v>
      </c>
      <c r="GB75" s="237" t="s">
        <v>29</v>
      </c>
      <c r="GC75" s="237" t="s">
        <v>29</v>
      </c>
      <c r="GD75" s="237"/>
      <c r="GE75" s="237"/>
      <c r="GF75" s="260"/>
      <c r="GG75" s="260"/>
    </row>
    <row r="76" spans="1:189" ht="15" customHeight="1" x14ac:dyDescent="0.3">
      <c r="A76" s="1"/>
      <c r="B76" s="301"/>
      <c r="C76" s="301"/>
      <c r="D76" s="301"/>
      <c r="E76" s="301"/>
      <c r="F76" s="301"/>
      <c r="G76" s="42" t="s">
        <v>71</v>
      </c>
      <c r="H76" s="42"/>
      <c r="I76" s="486">
        <f>SUM(I77:J89)</f>
        <v>268574.39</v>
      </c>
      <c r="J76" s="281"/>
      <c r="K76" s="486">
        <f>SUM(K77:L89)</f>
        <v>26148.960000000003</v>
      </c>
      <c r="L76" s="281"/>
      <c r="M76" s="486">
        <f>SUM(M77:N89)</f>
        <v>24750.730000000003</v>
      </c>
      <c r="N76" s="281"/>
      <c r="O76" s="486">
        <f>SUM(O77:P89)</f>
        <v>24036.870000000003</v>
      </c>
      <c r="P76" s="281"/>
      <c r="Q76" s="486">
        <f>SUM(Q77:R89)</f>
        <v>20467.400000000001</v>
      </c>
      <c r="R76" s="281"/>
      <c r="S76" s="486">
        <f>SUM(S77:T89)</f>
        <v>21711.940000000002</v>
      </c>
      <c r="T76" s="281"/>
      <c r="U76" s="486">
        <f>SUM(U77:V89)</f>
        <v>20940.32</v>
      </c>
      <c r="V76" s="281"/>
      <c r="W76" s="486">
        <f>SUM(W77:X89)</f>
        <v>21134.89</v>
      </c>
      <c r="X76" s="281"/>
      <c r="Y76" s="486">
        <f>SUM(Y77:Z89)</f>
        <v>20592.169999999998</v>
      </c>
      <c r="Z76" s="281"/>
      <c r="AA76" s="486">
        <f>SUM(AA77:AB89)</f>
        <v>20399.41</v>
      </c>
      <c r="AB76" s="281"/>
      <c r="AC76" s="486">
        <f>SUM(AC77:AD89)</f>
        <v>20409</v>
      </c>
      <c r="AD76" s="281"/>
      <c r="AE76" s="486">
        <f>SUM(AE77:AF89)</f>
        <v>21225.23</v>
      </c>
      <c r="AF76" s="281"/>
      <c r="AG76" s="486">
        <f>SUM(AG77:AH89)</f>
        <v>26757.47</v>
      </c>
      <c r="AH76" s="281"/>
      <c r="AI76" s="486">
        <f>SUM(AI77:AJ89)</f>
        <v>34269.85</v>
      </c>
      <c r="AJ76" s="281"/>
      <c r="AK76" s="486">
        <f>SUM(AK77:AL89)</f>
        <v>34096.239999999998</v>
      </c>
      <c r="AL76" s="281"/>
      <c r="AM76" s="486">
        <f>SUM(AM77:AN89)</f>
        <v>38176.43</v>
      </c>
      <c r="AN76" s="281"/>
      <c r="AO76" s="486">
        <f>SUM(AO77:AP89)</f>
        <v>44625.520000000004</v>
      </c>
      <c r="AP76" s="281"/>
      <c r="AQ76" s="486">
        <f>SUM(AQ77:AR89)</f>
        <v>39986.640000000007</v>
      </c>
      <c r="AR76" s="281"/>
      <c r="AS76" s="486">
        <f>SUM(AS77:AT89)</f>
        <v>44201.979999999996</v>
      </c>
      <c r="AT76" s="281"/>
      <c r="AU76" s="486">
        <f>SUM(AU77:AV89)</f>
        <v>50660.98</v>
      </c>
      <c r="AV76" s="281"/>
      <c r="AW76" s="486">
        <f>SUM(AW77:AX89)</f>
        <v>48523.57</v>
      </c>
      <c r="AX76" s="281"/>
      <c r="AY76" s="486">
        <f>SUM(AY77:AZ89)</f>
        <v>49363.750000000007</v>
      </c>
      <c r="AZ76" s="281"/>
      <c r="BA76" s="486">
        <f>SUM(BA77:BB89)</f>
        <v>52605.110000000008</v>
      </c>
      <c r="BB76" s="281"/>
      <c r="BC76" s="486">
        <f>SUM(BC77:BD89)</f>
        <v>58955.46</v>
      </c>
      <c r="BD76" s="281"/>
      <c r="BE76" s="486">
        <f>SUM(BE77:BF89)</f>
        <v>60116.060000000005</v>
      </c>
      <c r="BF76" s="281"/>
      <c r="BG76" s="486">
        <f>SUM(BG77:BH89)</f>
        <v>47007.140000000007</v>
      </c>
      <c r="BH76" s="281"/>
      <c r="BI76" s="486">
        <f>SUM(BI77:BJ89)</f>
        <v>43515.540000000008</v>
      </c>
      <c r="BJ76" s="281"/>
      <c r="BK76" s="46">
        <f>SUM(BK77:BK89)</f>
        <v>54414.970000000008</v>
      </c>
      <c r="BL76" s="47"/>
      <c r="BM76" s="46">
        <f>SUM(BM77:BM89)</f>
        <v>56993.830000000009</v>
      </c>
      <c r="BN76" s="48">
        <f>BM76/BM74</f>
        <v>0.33694486683709252</v>
      </c>
      <c r="BO76" s="46">
        <f>SUM(BO77:BO89)</f>
        <v>56209.41</v>
      </c>
      <c r="BP76" s="48">
        <f>BO76/BO74</f>
        <v>0.31033249099344484</v>
      </c>
      <c r="BQ76" s="46">
        <f>SUM(BQ77:BQ89)</f>
        <v>58298.71</v>
      </c>
      <c r="BR76" s="48">
        <f>BQ76/BQ74</f>
        <v>0.31507756240876128</v>
      </c>
      <c r="BS76" s="46">
        <f>SUM(BS77:BS89)</f>
        <v>55860.36</v>
      </c>
      <c r="BT76" s="48">
        <f>BS76/BS74</f>
        <v>0.30527729558193478</v>
      </c>
      <c r="BU76" s="46">
        <f>SUM(BU77:BU89)</f>
        <v>56071.490000000005</v>
      </c>
      <c r="BV76" s="48">
        <f>BU76/BU74</f>
        <v>0.32949409749957242</v>
      </c>
      <c r="BW76" s="46">
        <f>SUM(BW77:BW89)</f>
        <v>51822.14</v>
      </c>
      <c r="BX76" s="48">
        <f>BW76/BW74</f>
        <v>0.31269555487411416</v>
      </c>
      <c r="BY76" s="46">
        <f>SUM(BY77:BY89)</f>
        <v>53238.090000000004</v>
      </c>
      <c r="BZ76" s="48">
        <f>BY76/BY74</f>
        <v>0.28172461869898358</v>
      </c>
      <c r="CA76" s="46">
        <f>SUM(CA77:CA89)</f>
        <v>53440.29</v>
      </c>
      <c r="CB76" s="48">
        <f>CA76/CA74</f>
        <v>0.25885557104880841</v>
      </c>
      <c r="CC76" s="46">
        <f>SUM(CC77:CC89)</f>
        <v>56755.33</v>
      </c>
      <c r="CD76" s="48">
        <f>CC76/CC74</f>
        <v>0.34472103693525796</v>
      </c>
      <c r="CE76" s="46">
        <f>SUM(CE77:CE89)</f>
        <v>54804.72</v>
      </c>
      <c r="CF76" s="48">
        <f>CE76/CE74</f>
        <v>0.33007391332523717</v>
      </c>
      <c r="CG76" s="46">
        <f>SUM(CG77:CG89)</f>
        <v>61131.99</v>
      </c>
      <c r="CH76" s="48">
        <f>CG76/CG74</f>
        <v>0.30511381153304645</v>
      </c>
      <c r="CI76" s="46">
        <f>SUM(CI77:CI89)</f>
        <v>74268.959999999992</v>
      </c>
      <c r="CJ76" s="48">
        <f>CI76/CI74</f>
        <v>0.32319523807120021</v>
      </c>
      <c r="CK76" s="46">
        <f>SUM(CK77:CK89)</f>
        <v>65288.28</v>
      </c>
      <c r="CL76" s="48">
        <f>CK76/CK74</f>
        <v>0.28998289460032206</v>
      </c>
      <c r="CM76" s="46">
        <f>SUM(CM77:CM89)</f>
        <v>69216.850000000006</v>
      </c>
      <c r="CN76" s="48">
        <f>CM76/CM74</f>
        <v>0.31875888375892869</v>
      </c>
      <c r="CO76" s="46">
        <f>SUM(CO77:CO89)</f>
        <v>58362.29</v>
      </c>
      <c r="CP76" s="48">
        <f>CO76/CO74</f>
        <v>0.28969480936015052</v>
      </c>
      <c r="CQ76" s="46">
        <f>SUM(CQ77:CQ89)</f>
        <v>69864.45</v>
      </c>
      <c r="CR76" s="48">
        <f>CQ76/CQ74</f>
        <v>0.33334589781876556</v>
      </c>
      <c r="CS76" s="46">
        <f>SUM(CS77:CS89)</f>
        <v>50467.92</v>
      </c>
      <c r="CT76" s="48">
        <f>CS76/CS74</f>
        <v>0.25983730950056255</v>
      </c>
      <c r="CU76" s="46">
        <f>SUM(CU77:CU89)</f>
        <v>56544.92</v>
      </c>
      <c r="CV76" s="48">
        <f>CU76/CU74</f>
        <v>0.26839891525768705</v>
      </c>
      <c r="CW76" s="46">
        <f>SUM(CW77:CW89)</f>
        <v>50728.25</v>
      </c>
      <c r="CX76" s="48">
        <f>CW76/CW74</f>
        <v>0.25525028397762395</v>
      </c>
      <c r="CY76" s="46">
        <f>SUM(CY77:CY89)</f>
        <v>65935.070000000007</v>
      </c>
      <c r="CZ76" s="48">
        <f>CY76/CY74</f>
        <v>0.31041697238716026</v>
      </c>
      <c r="DA76" s="46">
        <f>SUM(DA77:DA89)</f>
        <v>59141.95</v>
      </c>
      <c r="DB76" s="48">
        <f>DA76/DA74</f>
        <v>0.30148015554721252</v>
      </c>
      <c r="DC76" s="46">
        <f>SUM(DC77:DC89)</f>
        <v>54235.51</v>
      </c>
      <c r="DD76" s="48">
        <f>DC76/DC74</f>
        <v>0.24394619047882496</v>
      </c>
      <c r="DE76" s="46">
        <f>SUM(DE77:DE89)</f>
        <v>47786.430000000008</v>
      </c>
      <c r="DF76" s="48">
        <f>DE76/DE74</f>
        <v>0.25282965240917998</v>
      </c>
      <c r="DG76" s="46">
        <f>SUM(DG77:DG89)</f>
        <v>45004.459999999992</v>
      </c>
      <c r="DH76" s="48">
        <f>DG76/DG74</f>
        <v>0.22720751370455627</v>
      </c>
      <c r="DI76" s="46">
        <f>SUM(DI77:DI89)</f>
        <v>44631.71</v>
      </c>
      <c r="DJ76" s="48">
        <f>DI76/DI74</f>
        <v>0.19593969503152761</v>
      </c>
      <c r="DK76" s="46">
        <f>SUM(DK77:DK89)</f>
        <v>52012.23</v>
      </c>
      <c r="DL76" s="48">
        <f>DK76/DK74</f>
        <v>0.2247004647873049</v>
      </c>
      <c r="DM76" s="46">
        <f>SUM(DM77:DM89)</f>
        <v>50631.98000000001</v>
      </c>
      <c r="DN76" s="48">
        <f>DM76/DM74</f>
        <v>0.22947095891860003</v>
      </c>
      <c r="DO76" s="46">
        <f>SUM(DO77:DO89)</f>
        <v>51473.7</v>
      </c>
      <c r="DP76" s="48">
        <f>DO76/DO74</f>
        <v>0.23962353830605271</v>
      </c>
      <c r="DQ76" s="46">
        <f>SUM(DQ77:DQ89)</f>
        <v>51970.359999999993</v>
      </c>
      <c r="DR76" s="48">
        <f>DQ76/DQ74</f>
        <v>0.24137753581670407</v>
      </c>
      <c r="DS76" s="46">
        <f>SUM(DS77:DS89)</f>
        <v>48339.32</v>
      </c>
      <c r="DT76" s="48">
        <f>DS76/DS74</f>
        <v>0.22836432530573092</v>
      </c>
      <c r="DU76" s="36" t="s">
        <v>29</v>
      </c>
      <c r="DV76" s="36" t="s">
        <v>29</v>
      </c>
      <c r="DW76" s="36" t="s">
        <v>29</v>
      </c>
      <c r="DX76" s="36" t="s">
        <v>29</v>
      </c>
      <c r="DY76" s="36" t="s">
        <v>29</v>
      </c>
      <c r="DZ76" s="36" t="s">
        <v>29</v>
      </c>
      <c r="EA76" s="36" t="s">
        <v>29</v>
      </c>
      <c r="EB76" s="36" t="s">
        <v>29</v>
      </c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46">
        <f>SUM(EN77:EN89)</f>
        <v>46220.19</v>
      </c>
      <c r="EO76" s="48">
        <f>EN76/EN74</f>
        <v>0.22056122245197124</v>
      </c>
      <c r="EP76" s="46">
        <f>SUM(EP77:EP89)</f>
        <v>44637.99</v>
      </c>
      <c r="EQ76" s="48">
        <f>EP76/EP74</f>
        <v>0.21463152853138737</v>
      </c>
      <c r="ER76" s="46">
        <f>SUM(ER77:ER89)</f>
        <v>49176.5</v>
      </c>
      <c r="ES76" s="48">
        <f>ER76/ER74</f>
        <v>0.23140412256162549</v>
      </c>
      <c r="ET76" s="46">
        <f>SUM(ET77:ET89)</f>
        <v>50332.9</v>
      </c>
      <c r="EU76" s="48">
        <f>ET76/ET74</f>
        <v>0.2355638300013245</v>
      </c>
      <c r="EV76" s="46">
        <f>SUM(EV77:EV89)</f>
        <v>49841.380000000012</v>
      </c>
      <c r="EW76" s="48">
        <f>EV76/EV74</f>
        <v>0.23380128885490176</v>
      </c>
      <c r="EX76" s="46">
        <f>SUM(EX77:EX89)</f>
        <v>49094.25</v>
      </c>
      <c r="EY76" s="48">
        <f>EX76/EX74</f>
        <v>0.23110653446703344</v>
      </c>
      <c r="EZ76" s="46">
        <f>SUM(EZ78,EZ79,EZ82,EZ85,EZ86,EZ87,EZ90,EZ91)</f>
        <v>60562.700000000004</v>
      </c>
      <c r="FA76" s="48">
        <f>EZ76/EZ74</f>
        <v>0.27049031329653411</v>
      </c>
      <c r="FB76" s="46">
        <f>SUM(FB78,FB79,FB82,FB85,FB86,FB87,FB90,FB91)</f>
        <v>77811.41</v>
      </c>
      <c r="FC76" s="48">
        <f>FB76/FB74</f>
        <v>0.32267021789610806</v>
      </c>
      <c r="FD76" s="46">
        <f>SUM(FD78,FD79,FD82,FD85,FD86,FD87,FD90,FD91)</f>
        <v>77419.75</v>
      </c>
      <c r="FE76" s="48">
        <f>FD76/FD74</f>
        <v>0.32156834647419025</v>
      </c>
      <c r="FF76" s="46">
        <f>SUM(FF78,FF79,FF82,FF85,FF86,FF87,FF90,FF91)</f>
        <v>84592.700000000012</v>
      </c>
      <c r="FG76" s="48">
        <f>FF76/FF74</f>
        <v>0.34119631492314156</v>
      </c>
      <c r="FH76" s="46">
        <f>SUM(FH78,FH79,FH82,FH85,FH86,FH87,FH90,FH91)</f>
        <v>82772.759999999995</v>
      </c>
      <c r="FI76" s="48">
        <f>FH76/FH74</f>
        <v>0.33632457323106563</v>
      </c>
      <c r="FJ76" s="46">
        <f>SUM(FJ78,FJ79,FJ82,FJ85,FJ86,FJ87,FJ90,FJ91)</f>
        <v>82327.829999999987</v>
      </c>
      <c r="FK76" s="48">
        <f>FJ76/FJ74</f>
        <v>0.46745508710207284</v>
      </c>
      <c r="FL76" s="46">
        <f>SUM(FL78,FL79,FL82,FL85,FL86,FL87,FL90,FL91)</f>
        <v>87695.92</v>
      </c>
      <c r="FM76" s="48">
        <f>FL76/FL74</f>
        <v>0.4859018675817563</v>
      </c>
      <c r="FN76" s="46">
        <f>SUM(FN78,FN79,FN82,FN85,FN86,FN87,FN90,FN91)</f>
        <v>80409.14</v>
      </c>
      <c r="FO76" s="48">
        <f>FN76/FN74</f>
        <v>0.55403853180289153</v>
      </c>
      <c r="FP76" s="46">
        <f>SUM(FP78,FP79,FP82,FP85,FP86,FP87,FP90,FP91)</f>
        <v>60136.12</v>
      </c>
      <c r="FQ76" s="48">
        <f>FP76/FP74</f>
        <v>1</v>
      </c>
      <c r="FR76" s="36"/>
      <c r="FS76" s="36"/>
      <c r="FT76" s="36"/>
      <c r="FU76" s="36"/>
      <c r="FV76" s="36"/>
      <c r="FW76" s="36"/>
      <c r="FX76" s="224"/>
      <c r="FY76" s="237"/>
      <c r="FZ76" s="237"/>
      <c r="GA76" s="237"/>
      <c r="GB76" s="237"/>
      <c r="GC76" s="237"/>
      <c r="GD76" s="237"/>
      <c r="GE76" s="237"/>
      <c r="GF76" s="260"/>
      <c r="GG76" s="260"/>
    </row>
    <row r="77" spans="1:189" ht="15" hidden="1" customHeight="1" outlineLevel="1" x14ac:dyDescent="0.3">
      <c r="A77" s="1"/>
      <c r="B77" s="301"/>
      <c r="C77" s="301"/>
      <c r="D77" s="301"/>
      <c r="E77" s="301"/>
      <c r="F77" s="301"/>
      <c r="G77" s="41" t="s">
        <v>72</v>
      </c>
      <c r="H77" s="33">
        <f>H226</f>
        <v>0</v>
      </c>
      <c r="I77" s="284">
        <f>SUM(K77:AH77)</f>
        <v>54000</v>
      </c>
      <c r="J77" s="281"/>
      <c r="K77" s="471">
        <f>K226</f>
        <v>4500</v>
      </c>
      <c r="L77" s="281"/>
      <c r="M77" s="471">
        <f>M226</f>
        <v>4500</v>
      </c>
      <c r="N77" s="281"/>
      <c r="O77" s="471">
        <f>O226</f>
        <v>4500</v>
      </c>
      <c r="P77" s="281"/>
      <c r="Q77" s="471">
        <f>Q226</f>
        <v>4500</v>
      </c>
      <c r="R77" s="281"/>
      <c r="S77" s="471">
        <f>S226</f>
        <v>4500</v>
      </c>
      <c r="T77" s="281"/>
      <c r="U77" s="471">
        <f>U226</f>
        <v>4500</v>
      </c>
      <c r="V77" s="281"/>
      <c r="W77" s="471">
        <f>W226</f>
        <v>4500</v>
      </c>
      <c r="X77" s="281"/>
      <c r="Y77" s="471">
        <f>Y226</f>
        <v>4500</v>
      </c>
      <c r="Z77" s="281"/>
      <c r="AA77" s="471">
        <f>AA226</f>
        <v>4500</v>
      </c>
      <c r="AB77" s="281"/>
      <c r="AC77" s="471">
        <f>AC226</f>
        <v>4500</v>
      </c>
      <c r="AD77" s="281"/>
      <c r="AE77" s="471">
        <f>AE226</f>
        <v>4500</v>
      </c>
      <c r="AF77" s="281"/>
      <c r="AG77" s="471">
        <f>AG226</f>
        <v>4500</v>
      </c>
      <c r="AH77" s="281"/>
      <c r="AI77" s="471">
        <f>5940+ 3567.3</f>
        <v>9507.2999999999993</v>
      </c>
      <c r="AJ77" s="281"/>
      <c r="AK77" s="471">
        <f>5940+3638.8</f>
        <v>9578.7999999999993</v>
      </c>
      <c r="AL77" s="281"/>
      <c r="AM77" s="471">
        <f>5940+5381</f>
        <v>11321</v>
      </c>
      <c r="AN77" s="281"/>
      <c r="AO77" s="471">
        <v>17397</v>
      </c>
      <c r="AP77" s="281"/>
      <c r="AQ77" s="471">
        <v>12981</v>
      </c>
      <c r="AR77" s="281"/>
      <c r="AS77" s="472">
        <v>17517.12</v>
      </c>
      <c r="AT77" s="281"/>
      <c r="AU77" s="472">
        <v>18511</v>
      </c>
      <c r="AV77" s="281"/>
      <c r="AW77" s="472">
        <v>11071</v>
      </c>
      <c r="AX77" s="281"/>
      <c r="AY77" s="471">
        <v>7840</v>
      </c>
      <c r="AZ77" s="281"/>
      <c r="BA77" s="472">
        <v>7217</v>
      </c>
      <c r="BB77" s="281"/>
      <c r="BC77" s="472">
        <v>8539.9599999999991</v>
      </c>
      <c r="BD77" s="281"/>
      <c r="BE77" s="472">
        <v>8780.42</v>
      </c>
      <c r="BF77" s="281"/>
      <c r="BG77" s="471">
        <v>4093</v>
      </c>
      <c r="BH77" s="281"/>
      <c r="BI77" s="471">
        <v>3948</v>
      </c>
      <c r="BJ77" s="281"/>
      <c r="BK77" s="50">
        <v>4132</v>
      </c>
      <c r="BL77" s="51">
        <f t="shared" ref="BL77:BL89" si="139">BK77/$BK$76</f>
        <v>7.5934986273078889E-2</v>
      </c>
      <c r="BM77" s="50">
        <v>4252</v>
      </c>
      <c r="BN77" s="51">
        <f t="shared" ref="BN77:BN89" si="140">BM77/$BM$76</f>
        <v>7.4604566845218143E-2</v>
      </c>
      <c r="BO77" s="50">
        <v>4008</v>
      </c>
      <c r="BP77" s="51">
        <f t="shared" ref="BP77:BP89" si="141">BO77/$BO$76</f>
        <v>7.130478686753694E-2</v>
      </c>
      <c r="BQ77" s="50">
        <v>3965</v>
      </c>
      <c r="BR77" s="51">
        <f t="shared" ref="BR77:BR89" si="142">BQ77/$BQ$76</f>
        <v>6.8011796487435147E-2</v>
      </c>
      <c r="BS77" s="50">
        <v>2916</v>
      </c>
      <c r="BT77" s="51">
        <f t="shared" ref="BT77:BT89" si="143">BS77/$BS$76</f>
        <v>5.2201596982189159E-2</v>
      </c>
      <c r="BU77" s="52">
        <v>2563</v>
      </c>
      <c r="BV77" s="51">
        <f t="shared" ref="BV77:BV89" si="144">BU77/$BU$76</f>
        <v>4.5709504063473252E-2</v>
      </c>
      <c r="BW77" s="52">
        <v>2860</v>
      </c>
      <c r="BX77" s="51">
        <f t="shared" ref="BX77:BX89" si="145">BW77/$BW$76</f>
        <v>5.5188766808935329E-2</v>
      </c>
      <c r="BY77" s="53">
        <v>3211</v>
      </c>
      <c r="BZ77" s="51">
        <f t="shared" ref="BZ77:BZ89" si="146">BY77/$BY$76</f>
        <v>6.0313959422661476E-2</v>
      </c>
      <c r="CA77" s="53">
        <v>3001</v>
      </c>
      <c r="CB77" s="51">
        <f t="shared" ref="CB77:CB89" si="147">CA77/$CA$76</f>
        <v>5.6156132386257634E-2</v>
      </c>
      <c r="CC77" s="54">
        <v>2864</v>
      </c>
      <c r="CD77" s="51">
        <f t="shared" ref="CD77:CD89" si="148">CC77/$CC$76</f>
        <v>5.0462220905067419E-2</v>
      </c>
      <c r="CE77" s="54">
        <v>0</v>
      </c>
      <c r="CF77" s="51">
        <f t="shared" ref="CF77:CF89" si="149">CE77/$CE$76</f>
        <v>0</v>
      </c>
      <c r="CG77" s="54">
        <v>0</v>
      </c>
      <c r="CH77" s="51">
        <f t="shared" ref="CH77:CH89" si="150">CG77/$CG$76</f>
        <v>0</v>
      </c>
      <c r="CI77" s="54">
        <v>0</v>
      </c>
      <c r="CJ77" s="51">
        <f t="shared" ref="CJ77:CJ89" si="151">CI77/$CI$76</f>
        <v>0</v>
      </c>
      <c r="CK77" s="54">
        <v>0</v>
      </c>
      <c r="CL77" s="51">
        <f t="shared" ref="CL77:CL89" si="152">CK77/$CK$76</f>
        <v>0</v>
      </c>
      <c r="CM77" s="54">
        <v>0</v>
      </c>
      <c r="CN77" s="51">
        <f t="shared" ref="CN77:CN89" si="153">CM77/$CM$76</f>
        <v>0</v>
      </c>
      <c r="CO77" s="53">
        <v>0</v>
      </c>
      <c r="CP77" s="51">
        <f t="shared" ref="CP77:CP89" si="154">CO77/$CO$76</f>
        <v>0</v>
      </c>
      <c r="CQ77" s="53">
        <v>0</v>
      </c>
      <c r="CR77" s="51">
        <f t="shared" ref="CR77:CR89" si="155">CQ77/$CQ$76</f>
        <v>0</v>
      </c>
      <c r="CS77" s="53">
        <v>0</v>
      </c>
      <c r="CT77" s="51">
        <f t="shared" ref="CT77:CT89" si="156">CS77/$CS$76</f>
        <v>0</v>
      </c>
      <c r="CU77" s="53">
        <v>0</v>
      </c>
      <c r="CV77" s="51">
        <f t="shared" ref="CV77:CV89" si="157">CU77/$CS$76</f>
        <v>0</v>
      </c>
      <c r="CW77" s="175">
        <v>0</v>
      </c>
      <c r="CX77" s="179">
        <f t="shared" ref="CX77:CX89" si="158">CW77/$CS$76</f>
        <v>0</v>
      </c>
      <c r="CY77" s="175">
        <v>0</v>
      </c>
      <c r="CZ77" s="51">
        <f t="shared" ref="CZ77:CZ89" si="159">CY77/$CS$76</f>
        <v>0</v>
      </c>
      <c r="DA77" s="175">
        <v>0</v>
      </c>
      <c r="DB77" s="51">
        <f t="shared" ref="DB77:DB89" si="160">DA77/$CS$76</f>
        <v>0</v>
      </c>
      <c r="DC77" s="175">
        <v>0</v>
      </c>
      <c r="DD77" s="51">
        <f t="shared" ref="DD77:DD89" si="161">DC77/$CS$76</f>
        <v>0</v>
      </c>
      <c r="DE77" s="175">
        <v>0</v>
      </c>
      <c r="DF77" s="51">
        <f t="shared" ref="DF77:DF89" si="162">DE77/$CS$76</f>
        <v>0</v>
      </c>
      <c r="DG77" s="175">
        <v>0</v>
      </c>
      <c r="DH77" s="51">
        <f t="shared" ref="DH77:DH89" si="163">DG77/$CS$76</f>
        <v>0</v>
      </c>
      <c r="DI77" s="175">
        <v>0</v>
      </c>
      <c r="DJ77" s="51">
        <f t="shared" ref="DJ77:DJ89" si="164">DI77/$CS$76</f>
        <v>0</v>
      </c>
      <c r="DK77" s="175">
        <v>0</v>
      </c>
      <c r="DL77" s="51">
        <f t="shared" ref="DL77:DL89" si="165">DK77/$CS$76</f>
        <v>0</v>
      </c>
      <c r="DM77" s="175">
        <v>0</v>
      </c>
      <c r="DN77" s="51">
        <f t="shared" ref="DN77:DN89" si="166">DM77/$CS$76</f>
        <v>0</v>
      </c>
      <c r="DO77" s="175">
        <v>0</v>
      </c>
      <c r="DP77" s="51">
        <f t="shared" ref="DP77:DP88" si="167">DO77/$CS$76</f>
        <v>0</v>
      </c>
      <c r="DQ77" s="194">
        <v>0</v>
      </c>
      <c r="DR77" s="51">
        <f t="shared" ref="DR77:DR89" si="168">DQ77/$CS$76</f>
        <v>0</v>
      </c>
      <c r="DS77" s="194">
        <v>0</v>
      </c>
      <c r="DT77" s="51">
        <f t="shared" ref="DT77:DT89" si="169">DS77/$CS$76</f>
        <v>0</v>
      </c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178" t="s">
        <v>29</v>
      </c>
      <c r="EF77" s="178" t="s">
        <v>29</v>
      </c>
      <c r="EG77" s="178" t="s">
        <v>29</v>
      </c>
      <c r="EH77" s="178" t="s">
        <v>29</v>
      </c>
      <c r="EI77" s="178" t="s">
        <v>29</v>
      </c>
      <c r="EJ77" s="178" t="s">
        <v>29</v>
      </c>
      <c r="EK77" s="178" t="s">
        <v>29</v>
      </c>
      <c r="EL77" s="178" t="s">
        <v>29</v>
      </c>
      <c r="EM77" s="178" t="s">
        <v>29</v>
      </c>
      <c r="EN77" s="194">
        <v>0</v>
      </c>
      <c r="EO77" s="51">
        <f t="shared" ref="EO77:EO89" si="170">EN77/$CS$76</f>
        <v>0</v>
      </c>
      <c r="EP77" s="194">
        <v>0</v>
      </c>
      <c r="EQ77" s="51">
        <f t="shared" ref="EQ77:EQ89" si="171">EP77/$CS$76</f>
        <v>0</v>
      </c>
      <c r="ER77" s="194">
        <v>0</v>
      </c>
      <c r="ES77" s="51">
        <f t="shared" ref="ES77:ES89" si="172">ER77/$CS$76</f>
        <v>0</v>
      </c>
      <c r="ET77" s="194">
        <v>0</v>
      </c>
      <c r="EU77" s="51">
        <f t="shared" ref="EU77:EU89" si="173">ET77/$CS$76</f>
        <v>0</v>
      </c>
      <c r="EV77" s="194">
        <v>0</v>
      </c>
      <c r="EW77" s="51">
        <f t="shared" ref="EW77" si="174">EV77/$CS$76</f>
        <v>0</v>
      </c>
      <c r="EX77" s="194">
        <v>0</v>
      </c>
      <c r="EY77" s="51">
        <f t="shared" ref="EY77" si="175">EX77/$CS$76</f>
        <v>0</v>
      </c>
      <c r="EZ77" s="194">
        <v>0</v>
      </c>
      <c r="FA77" s="51">
        <f t="shared" ref="FA77" si="176">EZ77/$CS$76</f>
        <v>0</v>
      </c>
      <c r="FB77" s="194">
        <v>0</v>
      </c>
      <c r="FC77" s="51">
        <f t="shared" ref="FC77" si="177">FB77/$CS$76</f>
        <v>0</v>
      </c>
      <c r="FD77" s="194">
        <v>0</v>
      </c>
      <c r="FE77" s="51">
        <f t="shared" ref="FE77" si="178">FD77/$CS$76</f>
        <v>0</v>
      </c>
      <c r="FF77" s="194">
        <v>0</v>
      </c>
      <c r="FG77" s="51">
        <f t="shared" ref="FG77" si="179">FF77/$CS$76</f>
        <v>0</v>
      </c>
      <c r="FH77" s="194">
        <v>0</v>
      </c>
      <c r="FI77" s="51">
        <f t="shared" ref="FI77" si="180">FH77/$CS$76</f>
        <v>0</v>
      </c>
      <c r="FJ77" s="194">
        <v>0</v>
      </c>
      <c r="FK77" s="51">
        <f t="shared" ref="FK77" si="181">FJ77/$CS$76</f>
        <v>0</v>
      </c>
      <c r="FL77" s="194">
        <v>0</v>
      </c>
      <c r="FM77" s="51">
        <f t="shared" ref="FM77" si="182">FL77/$CS$76</f>
        <v>0</v>
      </c>
      <c r="FN77" s="194">
        <v>0</v>
      </c>
      <c r="FO77" s="51">
        <f t="shared" ref="FO77" si="183">FN77/$CS$76</f>
        <v>0</v>
      </c>
      <c r="FP77" s="194">
        <v>0</v>
      </c>
      <c r="FQ77" s="51">
        <f t="shared" ref="FQ77" si="184">FP77/$CS$76</f>
        <v>0</v>
      </c>
      <c r="FR77" s="178"/>
      <c r="FS77" s="178"/>
      <c r="FT77" s="178"/>
      <c r="FU77" s="178"/>
      <c r="FV77" s="178"/>
      <c r="FW77" s="178"/>
      <c r="FX77" s="227"/>
      <c r="FY77" s="240"/>
      <c r="FZ77" s="240"/>
      <c r="GA77" s="240"/>
      <c r="GB77" s="240"/>
      <c r="GC77" s="240"/>
      <c r="GD77" s="240"/>
      <c r="GE77" s="240"/>
      <c r="GF77" s="262"/>
      <c r="GG77" s="262"/>
    </row>
    <row r="78" spans="1:189" ht="15" customHeight="1" outlineLevel="1" x14ac:dyDescent="0.3">
      <c r="A78" s="1"/>
      <c r="B78" s="301"/>
      <c r="C78" s="301"/>
      <c r="D78" s="301"/>
      <c r="E78" s="301"/>
      <c r="F78" s="301"/>
      <c r="G78" s="25" t="s">
        <v>73</v>
      </c>
      <c r="H78" s="33"/>
      <c r="I78" s="23"/>
      <c r="J78" s="23"/>
      <c r="K78" s="49"/>
      <c r="L78" s="55"/>
      <c r="M78" s="49"/>
      <c r="N78" s="55"/>
      <c r="O78" s="49"/>
      <c r="P78" s="55"/>
      <c r="Q78" s="49"/>
      <c r="R78" s="55"/>
      <c r="S78" s="49"/>
      <c r="T78" s="55"/>
      <c r="U78" s="49"/>
      <c r="V78" s="55"/>
      <c r="W78" s="49"/>
      <c r="X78" s="55"/>
      <c r="Y78" s="49"/>
      <c r="Z78" s="55"/>
      <c r="AA78" s="49"/>
      <c r="AB78" s="55"/>
      <c r="AC78" s="49"/>
      <c r="AD78" s="55"/>
      <c r="AE78" s="49"/>
      <c r="AF78" s="55"/>
      <c r="AG78" s="49"/>
      <c r="AH78" s="55"/>
      <c r="AI78" s="471">
        <f>1752*5.5/12</f>
        <v>803</v>
      </c>
      <c r="AJ78" s="281"/>
      <c r="AK78" s="471">
        <f>1752*5.5/12</f>
        <v>803</v>
      </c>
      <c r="AL78" s="281"/>
      <c r="AM78" s="471">
        <f>1752*5.5/12</f>
        <v>803</v>
      </c>
      <c r="AN78" s="281"/>
      <c r="AO78" s="471">
        <f>1752*5.5/12</f>
        <v>803</v>
      </c>
      <c r="AP78" s="281"/>
      <c r="AQ78" s="471">
        <f>1752*5.5/12</f>
        <v>803</v>
      </c>
      <c r="AR78" s="281"/>
      <c r="AS78" s="471">
        <f>1752*5.5/12</f>
        <v>803</v>
      </c>
      <c r="AT78" s="281"/>
      <c r="AU78" s="471">
        <f>1752*5.5/12</f>
        <v>803</v>
      </c>
      <c r="AV78" s="281"/>
      <c r="AW78" s="471">
        <f>1752*5.5/12</f>
        <v>803</v>
      </c>
      <c r="AX78" s="281"/>
      <c r="AY78" s="471">
        <f>1752*5.5/12</f>
        <v>803</v>
      </c>
      <c r="AZ78" s="281"/>
      <c r="BA78" s="471">
        <f>1752*5.5/12</f>
        <v>803</v>
      </c>
      <c r="BB78" s="281"/>
      <c r="BC78" s="471">
        <f>1752*5.5/12</f>
        <v>803</v>
      </c>
      <c r="BD78" s="281"/>
      <c r="BE78" s="471">
        <f>1752*5.5/12</f>
        <v>803</v>
      </c>
      <c r="BF78" s="281"/>
      <c r="BG78" s="471">
        <f>1752*5.5/12</f>
        <v>803</v>
      </c>
      <c r="BH78" s="281"/>
      <c r="BI78" s="471">
        <f>1752*5.5/12</f>
        <v>803</v>
      </c>
      <c r="BJ78" s="281"/>
      <c r="BK78" s="50">
        <f>1752*5.5/12</f>
        <v>803</v>
      </c>
      <c r="BL78" s="51">
        <f t="shared" si="139"/>
        <v>1.4756968532740162E-2</v>
      </c>
      <c r="BM78" s="50">
        <f>1752*5.5/12</f>
        <v>803</v>
      </c>
      <c r="BN78" s="51">
        <f t="shared" si="140"/>
        <v>1.4089244397156673E-2</v>
      </c>
      <c r="BO78" s="50">
        <f t="shared" ref="BO78:BO80" si="185">BM78</f>
        <v>803</v>
      </c>
      <c r="BP78" s="51">
        <f t="shared" si="141"/>
        <v>1.4285864235187667E-2</v>
      </c>
      <c r="BQ78" s="50">
        <f t="shared" ref="BQ78:BQ80" si="186">BO78</f>
        <v>803</v>
      </c>
      <c r="BR78" s="51">
        <f t="shared" si="142"/>
        <v>1.3773889679548656E-2</v>
      </c>
      <c r="BS78" s="50">
        <f t="shared" ref="BS78:BS80" si="187">BQ78</f>
        <v>803</v>
      </c>
      <c r="BT78" s="51">
        <f t="shared" si="143"/>
        <v>1.4375131130554834E-2</v>
      </c>
      <c r="BU78" s="52">
        <f t="shared" ref="BU78:BU80" si="188">BS78</f>
        <v>803</v>
      </c>
      <c r="BV78" s="51">
        <f t="shared" si="144"/>
        <v>1.4321003419028101E-2</v>
      </c>
      <c r="BW78" s="52">
        <v>803</v>
      </c>
      <c r="BX78" s="51">
        <f t="shared" si="145"/>
        <v>1.5495307604047227E-2</v>
      </c>
      <c r="BY78" s="52">
        <v>803</v>
      </c>
      <c r="BZ78" s="51">
        <f t="shared" si="146"/>
        <v>1.5083185741637237E-2</v>
      </c>
      <c r="CA78" s="52">
        <v>803</v>
      </c>
      <c r="CB78" s="51">
        <f t="shared" si="147"/>
        <v>1.5026116063367172E-2</v>
      </c>
      <c r="CC78" s="52">
        <v>803</v>
      </c>
      <c r="CD78" s="51">
        <f t="shared" si="148"/>
        <v>1.4148450903201513E-2</v>
      </c>
      <c r="CE78" s="52">
        <v>803</v>
      </c>
      <c r="CF78" s="51">
        <f t="shared" si="149"/>
        <v>1.4652022672499741E-2</v>
      </c>
      <c r="CG78" s="52">
        <v>803</v>
      </c>
      <c r="CH78" s="51">
        <f t="shared" si="150"/>
        <v>1.3135512192552542E-2</v>
      </c>
      <c r="CI78" s="52">
        <v>803</v>
      </c>
      <c r="CJ78" s="51">
        <f t="shared" si="151"/>
        <v>1.0812053918622264E-2</v>
      </c>
      <c r="CK78" s="52">
        <v>803</v>
      </c>
      <c r="CL78" s="51">
        <f t="shared" si="152"/>
        <v>1.2299297821906167E-2</v>
      </c>
      <c r="CM78" s="52">
        <v>803</v>
      </c>
      <c r="CN78" s="51">
        <f t="shared" si="153"/>
        <v>1.1601221378898345E-2</v>
      </c>
      <c r="CO78" s="52">
        <v>803</v>
      </c>
      <c r="CP78" s="51">
        <f t="shared" si="154"/>
        <v>1.3758884375510282E-2</v>
      </c>
      <c r="CQ78" s="52">
        <v>803</v>
      </c>
      <c r="CR78" s="51">
        <f t="shared" si="155"/>
        <v>1.1493685271980242E-2</v>
      </c>
      <c r="CS78" s="52">
        <v>803</v>
      </c>
      <c r="CT78" s="51">
        <f t="shared" si="156"/>
        <v>1.5911097584366464E-2</v>
      </c>
      <c r="CU78" s="52">
        <v>803</v>
      </c>
      <c r="CV78" s="51">
        <f t="shared" si="157"/>
        <v>1.5911097584366464E-2</v>
      </c>
      <c r="CW78" s="176">
        <v>803</v>
      </c>
      <c r="CX78" s="51">
        <f t="shared" si="158"/>
        <v>1.5911097584366464E-2</v>
      </c>
      <c r="CY78" s="176">
        <v>803</v>
      </c>
      <c r="CZ78" s="51">
        <f t="shared" si="159"/>
        <v>1.5911097584366464E-2</v>
      </c>
      <c r="DA78" s="176">
        <v>803</v>
      </c>
      <c r="DB78" s="51">
        <f t="shared" si="160"/>
        <v>1.5911097584366464E-2</v>
      </c>
      <c r="DC78" s="176">
        <v>766.5</v>
      </c>
      <c r="DD78" s="51">
        <f t="shared" si="161"/>
        <v>1.5187865875986171E-2</v>
      </c>
      <c r="DE78" s="176">
        <v>766.5</v>
      </c>
      <c r="DF78" s="51">
        <f t="shared" si="162"/>
        <v>1.5187865875986171E-2</v>
      </c>
      <c r="DG78" s="176">
        <v>766.5</v>
      </c>
      <c r="DH78" s="51">
        <f t="shared" si="163"/>
        <v>1.5187865875986171E-2</v>
      </c>
      <c r="DI78" s="176">
        <v>766.5</v>
      </c>
      <c r="DJ78" s="51">
        <f t="shared" si="164"/>
        <v>1.5187865875986171E-2</v>
      </c>
      <c r="DK78" s="176">
        <v>766.5</v>
      </c>
      <c r="DL78" s="51">
        <f t="shared" si="165"/>
        <v>1.5187865875986171E-2</v>
      </c>
      <c r="DM78" s="176">
        <v>766.5</v>
      </c>
      <c r="DN78" s="51">
        <f t="shared" si="166"/>
        <v>1.5187865875986171E-2</v>
      </c>
      <c r="DO78" s="176">
        <v>766.5</v>
      </c>
      <c r="DP78" s="51">
        <f t="shared" si="167"/>
        <v>1.5187865875986171E-2</v>
      </c>
      <c r="DQ78" s="176">
        <v>766.5</v>
      </c>
      <c r="DR78" s="51">
        <f t="shared" si="168"/>
        <v>1.5187865875986171E-2</v>
      </c>
      <c r="DS78" s="176">
        <v>766.5</v>
      </c>
      <c r="DT78" s="51">
        <f t="shared" si="169"/>
        <v>1.5187865875986171E-2</v>
      </c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176">
        <v>766.5</v>
      </c>
      <c r="EO78" s="51">
        <f t="shared" si="170"/>
        <v>1.5187865875986171E-2</v>
      </c>
      <c r="EP78" s="176">
        <v>766.5</v>
      </c>
      <c r="EQ78" s="51">
        <f t="shared" si="171"/>
        <v>1.5187865875986171E-2</v>
      </c>
      <c r="ER78" s="176">
        <v>766.5</v>
      </c>
      <c r="ES78" s="51">
        <f t="shared" si="172"/>
        <v>1.5187865875986171E-2</v>
      </c>
      <c r="ET78" s="176">
        <v>766.5</v>
      </c>
      <c r="EU78" s="51">
        <f t="shared" si="173"/>
        <v>1.5187865875986171E-2</v>
      </c>
      <c r="EV78" s="176">
        <v>766.5</v>
      </c>
      <c r="EW78" s="51">
        <f>EV78/EV$76</f>
        <v>1.5378787665991588E-2</v>
      </c>
      <c r="EX78" s="176">
        <v>766.5</v>
      </c>
      <c r="EY78" s="51">
        <f>EX78/EX$76</f>
        <v>1.5612826349317894E-2</v>
      </c>
      <c r="EZ78" s="176">
        <v>766.5</v>
      </c>
      <c r="FA78" s="51">
        <f>EZ78/EZ$76</f>
        <v>1.2656304953378893E-2</v>
      </c>
      <c r="FB78" s="176">
        <v>766.5</v>
      </c>
      <c r="FC78" s="51">
        <f>FB78/FB$76</f>
        <v>9.8507403991265549E-3</v>
      </c>
      <c r="FD78" s="176">
        <v>766.5</v>
      </c>
      <c r="FE78" s="51">
        <f>FD78/FD$76</f>
        <v>9.900574465817831E-3</v>
      </c>
      <c r="FF78" s="176">
        <v>766.5</v>
      </c>
      <c r="FG78" s="51">
        <f>FF78/FF$76</f>
        <v>9.0610655529377825E-3</v>
      </c>
      <c r="FH78" s="176">
        <v>766.5</v>
      </c>
      <c r="FI78" s="51">
        <f>FH78/FH$76</f>
        <v>9.2602928789616307E-3</v>
      </c>
      <c r="FJ78" s="176">
        <v>766.5</v>
      </c>
      <c r="FK78" s="51">
        <f>FJ78/FJ$76</f>
        <v>9.3103389218445343E-3</v>
      </c>
      <c r="FL78" s="176">
        <v>766.5</v>
      </c>
      <c r="FM78" s="51">
        <f>FL78/FL$76</f>
        <v>8.7404294293280688E-3</v>
      </c>
      <c r="FN78" s="176">
        <v>766.5</v>
      </c>
      <c r="FO78" s="51">
        <f>FN78/FN$76</f>
        <v>9.5324984199557407E-3</v>
      </c>
      <c r="FP78" s="176">
        <v>766.5</v>
      </c>
      <c r="FQ78" s="51">
        <f>FP78/FP$76</f>
        <v>1.2746083385492778E-2</v>
      </c>
      <c r="FR78" s="36"/>
      <c r="FS78" s="36" t="s">
        <v>29</v>
      </c>
      <c r="FT78" s="36" t="s">
        <v>29</v>
      </c>
      <c r="FU78" s="36" t="s">
        <v>29</v>
      </c>
      <c r="FV78" s="36" t="s">
        <v>29</v>
      </c>
      <c r="FW78" s="36" t="s">
        <v>29</v>
      </c>
      <c r="FX78" s="224" t="s">
        <v>431</v>
      </c>
      <c r="FY78" s="237"/>
      <c r="FZ78" s="237"/>
      <c r="GA78" s="237"/>
      <c r="GB78" s="237"/>
      <c r="GC78" s="237"/>
      <c r="GD78" s="237"/>
      <c r="GE78" s="237"/>
      <c r="GF78" s="260"/>
      <c r="GG78" s="260"/>
    </row>
    <row r="79" spans="1:189" ht="15" customHeight="1" outlineLevel="1" x14ac:dyDescent="0.3">
      <c r="A79" s="1"/>
      <c r="B79" s="322"/>
      <c r="C79" s="322"/>
      <c r="D79" s="322"/>
      <c r="E79" s="322"/>
      <c r="F79" s="322"/>
      <c r="G79" s="25" t="s">
        <v>429</v>
      </c>
      <c r="H79" s="33"/>
      <c r="I79" s="215"/>
      <c r="J79" s="216"/>
      <c r="K79" s="217"/>
      <c r="L79" s="218"/>
      <c r="M79" s="217"/>
      <c r="N79" s="218"/>
      <c r="O79" s="217"/>
      <c r="P79" s="218"/>
      <c r="Q79" s="217"/>
      <c r="R79" s="218"/>
      <c r="S79" s="217"/>
      <c r="T79" s="218"/>
      <c r="U79" s="217"/>
      <c r="V79" s="218"/>
      <c r="W79" s="217"/>
      <c r="X79" s="218"/>
      <c r="Y79" s="217"/>
      <c r="Z79" s="218"/>
      <c r="AA79" s="217"/>
      <c r="AB79" s="218"/>
      <c r="AC79" s="217"/>
      <c r="AD79" s="218"/>
      <c r="AE79" s="217"/>
      <c r="AF79" s="218"/>
      <c r="AG79" s="217"/>
      <c r="AH79" s="218"/>
      <c r="AI79" s="217"/>
      <c r="AJ79" s="199"/>
      <c r="AK79" s="217"/>
      <c r="AL79" s="199"/>
      <c r="AM79" s="217"/>
      <c r="AN79" s="199"/>
      <c r="AO79" s="217"/>
      <c r="AP79" s="199"/>
      <c r="AQ79" s="217"/>
      <c r="AR79" s="199"/>
      <c r="AS79" s="217"/>
      <c r="AT79" s="199"/>
      <c r="AU79" s="217"/>
      <c r="AV79" s="199"/>
      <c r="AW79" s="217"/>
      <c r="AX79" s="199"/>
      <c r="AY79" s="217"/>
      <c r="AZ79" s="199"/>
      <c r="BA79" s="217"/>
      <c r="BB79" s="199"/>
      <c r="BC79" s="217"/>
      <c r="BD79" s="199"/>
      <c r="BE79" s="217"/>
      <c r="BF79" s="199"/>
      <c r="BG79" s="217"/>
      <c r="BH79" s="199"/>
      <c r="BI79" s="217"/>
      <c r="BJ79" s="199"/>
      <c r="BK79" s="219"/>
      <c r="BL79" s="220"/>
      <c r="BM79" s="219"/>
      <c r="BN79" s="220"/>
      <c r="BO79" s="219"/>
      <c r="BP79" s="220"/>
      <c r="BQ79" s="219"/>
      <c r="BR79" s="220"/>
      <c r="BS79" s="219"/>
      <c r="BT79" s="220"/>
      <c r="BU79" s="52"/>
      <c r="BV79" s="220"/>
      <c r="BW79" s="52"/>
      <c r="BX79" s="220"/>
      <c r="BY79" s="52"/>
      <c r="BZ79" s="220"/>
      <c r="CA79" s="52"/>
      <c r="CB79" s="220"/>
      <c r="CC79" s="52"/>
      <c r="CD79" s="220"/>
      <c r="CE79" s="52"/>
      <c r="CF79" s="220"/>
      <c r="CG79" s="52"/>
      <c r="CH79" s="220"/>
      <c r="CI79" s="52"/>
      <c r="CJ79" s="220"/>
      <c r="CK79" s="52"/>
      <c r="CL79" s="220"/>
      <c r="CM79" s="52"/>
      <c r="CN79" s="220"/>
      <c r="CO79" s="52"/>
      <c r="CP79" s="220"/>
      <c r="CQ79" s="52"/>
      <c r="CR79" s="220"/>
      <c r="CS79" s="52"/>
      <c r="CT79" s="220"/>
      <c r="CU79" s="52"/>
      <c r="CV79" s="220"/>
      <c r="CW79" s="176"/>
      <c r="CX79" s="220"/>
      <c r="CY79" s="176"/>
      <c r="CZ79" s="220"/>
      <c r="DA79" s="176"/>
      <c r="DB79" s="220"/>
      <c r="DC79" s="176"/>
      <c r="DD79" s="220"/>
      <c r="DE79" s="176"/>
      <c r="DF79" s="220"/>
      <c r="DG79" s="176"/>
      <c r="DH79" s="220"/>
      <c r="DI79" s="176"/>
      <c r="DJ79" s="220"/>
      <c r="DK79" s="176"/>
      <c r="DL79" s="220"/>
      <c r="DM79" s="176"/>
      <c r="DN79" s="220"/>
      <c r="DO79" s="176"/>
      <c r="DP79" s="220"/>
      <c r="DQ79" s="176"/>
      <c r="DR79" s="220"/>
      <c r="DS79" s="176"/>
      <c r="DT79" s="220"/>
      <c r="DU79" s="221"/>
      <c r="DV79" s="221"/>
      <c r="DW79" s="221"/>
      <c r="DX79" s="221"/>
      <c r="DY79" s="221"/>
      <c r="DZ79" s="221"/>
      <c r="EA79" s="221"/>
      <c r="EB79" s="221"/>
      <c r="EC79" s="221"/>
      <c r="ED79" s="221"/>
      <c r="EE79" s="221"/>
      <c r="EF79" s="221"/>
      <c r="EG79" s="221"/>
      <c r="EH79" s="221"/>
      <c r="EI79" s="221"/>
      <c r="EJ79" s="221"/>
      <c r="EK79" s="221"/>
      <c r="EL79" s="221"/>
      <c r="EM79" s="221"/>
      <c r="EN79" s="176"/>
      <c r="EO79" s="220"/>
      <c r="EP79" s="176"/>
      <c r="EQ79" s="220"/>
      <c r="ER79" s="176"/>
      <c r="ES79" s="220"/>
      <c r="ET79" s="176">
        <v>1300</v>
      </c>
      <c r="EU79" s="51">
        <f t="shared" si="173"/>
        <v>2.5758937558750195E-2</v>
      </c>
      <c r="EV79" s="176">
        <v>1300</v>
      </c>
      <c r="EW79" s="51">
        <f>EV79/EV$76</f>
        <v>2.6082744899920501E-2</v>
      </c>
      <c r="EX79" s="176">
        <v>1300</v>
      </c>
      <c r="EY79" s="51">
        <f>EX79/EX$76</f>
        <v>2.6479679392189513E-2</v>
      </c>
      <c r="EZ79" s="176">
        <v>1300</v>
      </c>
      <c r="FA79" s="51">
        <f t="shared" ref="EY79:FA90" si="189">EZ79/EZ$76</f>
        <v>2.1465357389944633E-2</v>
      </c>
      <c r="FB79" s="176">
        <v>1300</v>
      </c>
      <c r="FC79" s="51">
        <f t="shared" ref="FC79:FC90" si="190">FB79/FB$76</f>
        <v>1.6707061342289001E-2</v>
      </c>
      <c r="FD79" s="176">
        <v>1410</v>
      </c>
      <c r="FE79" s="51">
        <f t="shared" ref="FE79:FE90" si="191">FD79/FD$76</f>
        <v>1.8212407040839061E-2</v>
      </c>
      <c r="FF79" s="176">
        <v>1410</v>
      </c>
      <c r="FG79" s="51">
        <f t="shared" ref="FG79:FG91" si="192">FF79/FF$76</f>
        <v>1.6668104931040147E-2</v>
      </c>
      <c r="FH79" s="176">
        <v>2927.08</v>
      </c>
      <c r="FI79" s="51">
        <f t="shared" ref="FI79:FI91" si="193">FH79/FH$76</f>
        <v>3.5362841591847369E-2</v>
      </c>
      <c r="FJ79" s="176">
        <v>2927.08</v>
      </c>
      <c r="FK79" s="51">
        <f t="shared" ref="FK79:FK91" si="194">FJ79/FJ$76</f>
        <v>3.5553955448601043E-2</v>
      </c>
      <c r="FL79" s="176">
        <v>2927.08</v>
      </c>
      <c r="FM79" s="51">
        <f t="shared" ref="FM79:FM91" si="195">FL79/FL$76</f>
        <v>3.3377607532938822E-2</v>
      </c>
      <c r="FN79" s="176">
        <v>1553.69</v>
      </c>
      <c r="FO79" s="51">
        <f t="shared" ref="FO79:FO91" si="196">FN79/FN$76</f>
        <v>1.932230589706593E-2</v>
      </c>
      <c r="FP79" s="176"/>
      <c r="FQ79" s="51">
        <f t="shared" ref="FQ79:FQ91" si="197">FP79/FP$76</f>
        <v>0</v>
      </c>
      <c r="FR79" s="221"/>
      <c r="FS79" s="221"/>
      <c r="FT79" s="221"/>
      <c r="FU79" s="221"/>
      <c r="FV79" s="221"/>
      <c r="FW79" s="221"/>
      <c r="FX79" s="228"/>
      <c r="FY79" s="241"/>
      <c r="FZ79" s="241"/>
      <c r="GA79" s="241"/>
      <c r="GB79" s="241"/>
      <c r="GC79" s="241"/>
      <c r="GD79" s="241"/>
      <c r="GE79" s="241"/>
      <c r="GF79" s="263"/>
      <c r="GG79" s="263"/>
    </row>
    <row r="80" spans="1:189" ht="15" hidden="1" customHeight="1" outlineLevel="1" x14ac:dyDescent="0.3">
      <c r="A80" s="1"/>
      <c r="B80" s="301"/>
      <c r="C80" s="301"/>
      <c r="D80" s="301"/>
      <c r="E80" s="301"/>
      <c r="F80" s="301"/>
      <c r="G80" s="25" t="str">
        <f t="shared" ref="G80:H80" si="198">G227</f>
        <v>GoBots bot Mercado Livre</v>
      </c>
      <c r="H80" s="33">
        <f t="shared" si="198"/>
        <v>0</v>
      </c>
      <c r="I80" s="284">
        <f>SUM(K80:AH80)</f>
        <v>4848</v>
      </c>
      <c r="J80" s="281"/>
      <c r="K80" s="471">
        <f>K227</f>
        <v>255</v>
      </c>
      <c r="L80" s="281"/>
      <c r="M80" s="471">
        <f>M227</f>
        <v>255</v>
      </c>
      <c r="N80" s="281"/>
      <c r="O80" s="471">
        <f>O227</f>
        <v>255</v>
      </c>
      <c r="P80" s="281"/>
      <c r="Q80" s="471">
        <f>Q227</f>
        <v>255</v>
      </c>
      <c r="R80" s="281"/>
      <c r="S80" s="471">
        <f>S227</f>
        <v>255</v>
      </c>
      <c r="T80" s="281"/>
      <c r="U80" s="471">
        <f>U227</f>
        <v>255</v>
      </c>
      <c r="V80" s="281"/>
      <c r="W80" s="471">
        <f>W227</f>
        <v>255</v>
      </c>
      <c r="X80" s="281"/>
      <c r="Y80" s="471">
        <f>Y227</f>
        <v>255</v>
      </c>
      <c r="Z80" s="281"/>
      <c r="AA80" s="471">
        <f>AA227</f>
        <v>255</v>
      </c>
      <c r="AB80" s="281"/>
      <c r="AC80" s="471">
        <f>AC227</f>
        <v>255</v>
      </c>
      <c r="AD80" s="281"/>
      <c r="AE80" s="471">
        <v>1149</v>
      </c>
      <c r="AF80" s="281"/>
      <c r="AG80" s="471">
        <v>1149</v>
      </c>
      <c r="AH80" s="281"/>
      <c r="AI80" s="471">
        <v>1149</v>
      </c>
      <c r="AJ80" s="281"/>
      <c r="AK80" s="471">
        <v>899</v>
      </c>
      <c r="AL80" s="281"/>
      <c r="AM80" s="471">
        <v>1001</v>
      </c>
      <c r="AN80" s="281"/>
      <c r="AO80" s="471">
        <v>1189</v>
      </c>
      <c r="AP80" s="281"/>
      <c r="AQ80" s="471">
        <v>1149</v>
      </c>
      <c r="AR80" s="281"/>
      <c r="AS80" s="472">
        <v>1149</v>
      </c>
      <c r="AT80" s="281"/>
      <c r="AU80" s="472">
        <v>1149</v>
      </c>
      <c r="AV80" s="281"/>
      <c r="AW80" s="472">
        <v>1149</v>
      </c>
      <c r="AX80" s="281"/>
      <c r="AY80" s="472">
        <v>1050.7</v>
      </c>
      <c r="AZ80" s="281"/>
      <c r="BA80" s="472">
        <v>937.5</v>
      </c>
      <c r="BB80" s="281"/>
      <c r="BC80" s="472">
        <v>1101.5</v>
      </c>
      <c r="BD80" s="281"/>
      <c r="BE80" s="472">
        <v>889.9</v>
      </c>
      <c r="BF80" s="281"/>
      <c r="BG80" s="471">
        <v>889.9</v>
      </c>
      <c r="BH80" s="281"/>
      <c r="BI80" s="471">
        <v>899.9</v>
      </c>
      <c r="BJ80" s="281"/>
      <c r="BK80" s="50">
        <v>899.9</v>
      </c>
      <c r="BL80" s="51">
        <f t="shared" si="139"/>
        <v>1.6537728496404572E-2</v>
      </c>
      <c r="BM80" s="50">
        <v>899.9</v>
      </c>
      <c r="BN80" s="51">
        <f t="shared" si="140"/>
        <v>1.5789428434621781E-2</v>
      </c>
      <c r="BO80" s="50">
        <f t="shared" si="185"/>
        <v>899.9</v>
      </c>
      <c r="BP80" s="51">
        <f t="shared" si="141"/>
        <v>1.6009774875772577E-2</v>
      </c>
      <c r="BQ80" s="50">
        <f t="shared" si="186"/>
        <v>899.9</v>
      </c>
      <c r="BR80" s="51">
        <f t="shared" si="142"/>
        <v>1.5436019081725823E-2</v>
      </c>
      <c r="BS80" s="50">
        <f t="shared" si="187"/>
        <v>899.9</v>
      </c>
      <c r="BT80" s="51">
        <f t="shared" si="143"/>
        <v>1.6109813828625523E-2</v>
      </c>
      <c r="BU80" s="50">
        <f t="shared" si="188"/>
        <v>899.9</v>
      </c>
      <c r="BV80" s="51">
        <f t="shared" si="144"/>
        <v>1.6049154392009199E-2</v>
      </c>
      <c r="BW80" s="50">
        <v>899.9</v>
      </c>
      <c r="BX80" s="51">
        <f t="shared" si="145"/>
        <v>1.7365164773203115E-2</v>
      </c>
      <c r="BY80" s="50">
        <v>899.9</v>
      </c>
      <c r="BZ80" s="51">
        <f t="shared" si="146"/>
        <v>1.6903311144332939E-2</v>
      </c>
      <c r="CA80" s="50">
        <v>899.9</v>
      </c>
      <c r="CB80" s="51">
        <f t="shared" si="147"/>
        <v>1.6839354726555563E-2</v>
      </c>
      <c r="CC80" s="50">
        <v>899.9</v>
      </c>
      <c r="CD80" s="51">
        <f t="shared" si="148"/>
        <v>1.5855779536477013E-2</v>
      </c>
      <c r="CE80" s="50">
        <v>899.9</v>
      </c>
      <c r="CF80" s="51">
        <f t="shared" si="149"/>
        <v>1.6420118559131402E-2</v>
      </c>
      <c r="CG80" s="50">
        <v>899.9</v>
      </c>
      <c r="CH80" s="51">
        <f t="shared" si="150"/>
        <v>1.4720607001342504E-2</v>
      </c>
      <c r="CI80" s="52">
        <v>1354</v>
      </c>
      <c r="CJ80" s="51">
        <f t="shared" si="151"/>
        <v>1.8231034876481374E-2</v>
      </c>
      <c r="CK80" s="52">
        <v>1322</v>
      </c>
      <c r="CL80" s="51">
        <f t="shared" si="152"/>
        <v>2.02486571862515E-2</v>
      </c>
      <c r="CM80" s="52">
        <v>899.9</v>
      </c>
      <c r="CN80" s="51">
        <f t="shared" si="153"/>
        <v>1.3001169512914846E-2</v>
      </c>
      <c r="CO80" s="52">
        <v>899.9</v>
      </c>
      <c r="CP80" s="51">
        <f t="shared" si="154"/>
        <v>1.5419203050462892E-2</v>
      </c>
      <c r="CQ80" s="52">
        <v>1051.1099999999999</v>
      </c>
      <c r="CR80" s="51">
        <f t="shared" si="155"/>
        <v>1.5044990692691346E-2</v>
      </c>
      <c r="CS80" s="52">
        <v>1149.9000000000001</v>
      </c>
      <c r="CT80" s="51">
        <f t="shared" si="156"/>
        <v>2.2784770999082191E-2</v>
      </c>
      <c r="CU80" s="52">
        <v>1149.9000000000001</v>
      </c>
      <c r="CV80" s="51">
        <f t="shared" si="157"/>
        <v>2.2784770999082191E-2</v>
      </c>
      <c r="CW80" s="176">
        <v>1149.9000000000001</v>
      </c>
      <c r="CX80" s="51">
        <f t="shared" si="158"/>
        <v>2.2784770999082191E-2</v>
      </c>
      <c r="CY80" s="176">
        <v>1149.9000000000001</v>
      </c>
      <c r="CZ80" s="51">
        <f t="shared" si="159"/>
        <v>2.2784770999082191E-2</v>
      </c>
      <c r="DA80" s="176">
        <v>1149.9000000000001</v>
      </c>
      <c r="DB80" s="51">
        <f t="shared" si="160"/>
        <v>2.2784770999082191E-2</v>
      </c>
      <c r="DC80" s="176">
        <v>1385.88</v>
      </c>
      <c r="DD80" s="51">
        <f t="shared" si="161"/>
        <v>2.7460612603015938E-2</v>
      </c>
      <c r="DE80" s="176">
        <v>1385.88</v>
      </c>
      <c r="DF80" s="51">
        <f t="shared" si="162"/>
        <v>2.7460612603015938E-2</v>
      </c>
      <c r="DG80" s="176">
        <v>1103.6500000000001</v>
      </c>
      <c r="DH80" s="51">
        <f t="shared" si="163"/>
        <v>2.1868347259011271E-2</v>
      </c>
      <c r="DI80" s="176">
        <v>1385</v>
      </c>
      <c r="DJ80" s="51">
        <f t="shared" si="164"/>
        <v>2.7443175783745399E-2</v>
      </c>
      <c r="DK80" s="176">
        <v>1385</v>
      </c>
      <c r="DL80" s="51">
        <f t="shared" si="165"/>
        <v>2.7443175783745399E-2</v>
      </c>
      <c r="DM80" s="176">
        <v>1385</v>
      </c>
      <c r="DN80" s="51">
        <f t="shared" si="166"/>
        <v>2.7443175783745399E-2</v>
      </c>
      <c r="DO80" s="176">
        <v>1385.88</v>
      </c>
      <c r="DP80" s="51">
        <f t="shared" si="167"/>
        <v>2.7460612603015938E-2</v>
      </c>
      <c r="DQ80" s="176">
        <v>1385.88</v>
      </c>
      <c r="DR80" s="51">
        <f t="shared" si="168"/>
        <v>2.7460612603015938E-2</v>
      </c>
      <c r="DS80" s="176">
        <v>1385.88</v>
      </c>
      <c r="DT80" s="51">
        <f t="shared" si="169"/>
        <v>2.7460612603015938E-2</v>
      </c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176">
        <v>1385.88</v>
      </c>
      <c r="EO80" s="51">
        <f t="shared" si="170"/>
        <v>2.7460612603015938E-2</v>
      </c>
      <c r="EP80" s="176">
        <v>1385.88</v>
      </c>
      <c r="EQ80" s="51">
        <f t="shared" si="171"/>
        <v>2.7460612603015938E-2</v>
      </c>
      <c r="ER80" s="213">
        <v>1415.43</v>
      </c>
      <c r="ES80" s="51">
        <f t="shared" si="172"/>
        <v>2.8046133068293684E-2</v>
      </c>
      <c r="ET80" s="176">
        <v>1415.43</v>
      </c>
      <c r="EU80" s="51">
        <f t="shared" si="173"/>
        <v>2.8046133068293684E-2</v>
      </c>
      <c r="EV80" s="176">
        <v>1070.33</v>
      </c>
      <c r="EW80" s="51">
        <f t="shared" ref="EW80" si="199">EV80/EV$76</f>
        <v>2.1474726422101468E-2</v>
      </c>
      <c r="EX80" s="176">
        <v>1386</v>
      </c>
      <c r="EY80" s="51">
        <f t="shared" si="189"/>
        <v>2.8231412028903589E-2</v>
      </c>
      <c r="EZ80" s="176">
        <v>1386</v>
      </c>
      <c r="FA80" s="51">
        <f t="shared" si="189"/>
        <v>2.2885373340356355E-2</v>
      </c>
      <c r="FB80" s="176">
        <v>1490.01</v>
      </c>
      <c r="FC80" s="51">
        <f t="shared" si="190"/>
        <v>1.9148991131249259E-2</v>
      </c>
      <c r="FD80" s="176">
        <v>1385.88</v>
      </c>
      <c r="FE80" s="51">
        <f t="shared" si="191"/>
        <v>1.7900858631034071E-2</v>
      </c>
      <c r="FF80" s="176">
        <v>1709.25</v>
      </c>
      <c r="FG80" s="51">
        <f t="shared" si="192"/>
        <v>2.020564422225558E-2</v>
      </c>
      <c r="FH80" s="176">
        <v>1385.88</v>
      </c>
      <c r="FI80" s="51">
        <f t="shared" si="193"/>
        <v>1.6743189426086557E-2</v>
      </c>
      <c r="FJ80" s="176">
        <v>1385.88</v>
      </c>
      <c r="FK80" s="51">
        <f t="shared" si="194"/>
        <v>1.6833675805617617E-2</v>
      </c>
      <c r="FL80" s="176"/>
      <c r="FM80" s="51">
        <f t="shared" si="195"/>
        <v>0</v>
      </c>
      <c r="FN80" s="176"/>
      <c r="FO80" s="51">
        <f t="shared" si="196"/>
        <v>0</v>
      </c>
      <c r="FP80" s="176"/>
      <c r="FQ80" s="51">
        <f t="shared" si="197"/>
        <v>0</v>
      </c>
      <c r="FR80" s="36"/>
      <c r="FS80" s="36"/>
      <c r="FT80" s="36"/>
      <c r="FU80" s="36"/>
      <c r="FV80" s="36"/>
      <c r="FW80" s="36"/>
      <c r="FX80" s="224"/>
      <c r="FY80" s="237"/>
      <c r="FZ80" s="237"/>
      <c r="GA80" s="237"/>
      <c r="GB80" s="237"/>
      <c r="GC80" s="237"/>
      <c r="GD80" s="237"/>
      <c r="GE80" s="237"/>
      <c r="GF80" s="260"/>
      <c r="GG80" s="260"/>
    </row>
    <row r="81" spans="1:189" ht="15" hidden="1" customHeight="1" outlineLevel="1" x14ac:dyDescent="0.3">
      <c r="A81" s="1"/>
      <c r="B81" s="301"/>
      <c r="C81" s="301"/>
      <c r="D81" s="301"/>
      <c r="E81" s="301"/>
      <c r="F81" s="301"/>
      <c r="G81" s="25" t="s">
        <v>74</v>
      </c>
      <c r="H81" s="33"/>
      <c r="I81" s="23"/>
      <c r="J81" s="23"/>
      <c r="K81" s="49"/>
      <c r="L81" s="55"/>
      <c r="M81" s="49"/>
      <c r="N81" s="55"/>
      <c r="O81" s="49"/>
      <c r="P81" s="55"/>
      <c r="Q81" s="49"/>
      <c r="R81" s="55"/>
      <c r="S81" s="49"/>
      <c r="T81" s="55"/>
      <c r="U81" s="49"/>
      <c r="V81" s="55"/>
      <c r="W81" s="49"/>
      <c r="X81" s="55"/>
      <c r="Y81" s="49"/>
      <c r="Z81" s="55"/>
      <c r="AA81" s="49"/>
      <c r="AB81" s="55"/>
      <c r="AC81" s="49"/>
      <c r="AD81" s="55"/>
      <c r="AE81" s="49"/>
      <c r="AF81" s="55"/>
      <c r="AG81" s="49"/>
      <c r="AH81" s="55"/>
      <c r="AI81" s="471">
        <v>1728</v>
      </c>
      <c r="AJ81" s="281"/>
      <c r="AK81" s="471">
        <v>1728</v>
      </c>
      <c r="AL81" s="281"/>
      <c r="AM81" s="471">
        <v>1728</v>
      </c>
      <c r="AN81" s="281"/>
      <c r="AO81" s="471">
        <v>1728</v>
      </c>
      <c r="AP81" s="281"/>
      <c r="AQ81" s="471">
        <v>1728</v>
      </c>
      <c r="AR81" s="281"/>
      <c r="AS81" s="472">
        <v>1781.28</v>
      </c>
      <c r="AT81" s="281"/>
      <c r="AU81" s="472">
        <v>1781.28</v>
      </c>
      <c r="AV81" s="281"/>
      <c r="AW81" s="471">
        <f>AU81</f>
        <v>1781.28</v>
      </c>
      <c r="AX81" s="281"/>
      <c r="AY81" s="472">
        <v>1781.28</v>
      </c>
      <c r="AZ81" s="281"/>
      <c r="BA81" s="472">
        <f>AY81</f>
        <v>1781.28</v>
      </c>
      <c r="BB81" s="281"/>
      <c r="BC81" s="472">
        <f>BA81</f>
        <v>1781.28</v>
      </c>
      <c r="BD81" s="281"/>
      <c r="BE81" s="472">
        <f>BC81</f>
        <v>1781.28</v>
      </c>
      <c r="BF81" s="281"/>
      <c r="BG81" s="471">
        <v>1999</v>
      </c>
      <c r="BH81" s="281"/>
      <c r="BI81" s="471">
        <v>1990</v>
      </c>
      <c r="BJ81" s="281"/>
      <c r="BK81" s="50">
        <v>1990</v>
      </c>
      <c r="BL81" s="51">
        <f t="shared" si="139"/>
        <v>3.6570818655234025E-2</v>
      </c>
      <c r="BM81" s="50">
        <v>1990</v>
      </c>
      <c r="BN81" s="51">
        <f t="shared" si="140"/>
        <v>3.4916060212131728E-2</v>
      </c>
      <c r="BO81" s="50">
        <v>1999</v>
      </c>
      <c r="BP81" s="51">
        <f t="shared" si="141"/>
        <v>3.5563440356338911E-2</v>
      </c>
      <c r="BQ81" s="50">
        <v>1999</v>
      </c>
      <c r="BR81" s="51">
        <f t="shared" si="142"/>
        <v>3.4288923374119255E-2</v>
      </c>
      <c r="BS81" s="50">
        <v>1999</v>
      </c>
      <c r="BT81" s="51">
        <f t="shared" si="143"/>
        <v>3.5785662677433515E-2</v>
      </c>
      <c r="BU81" s="50">
        <v>1999</v>
      </c>
      <c r="BV81" s="51">
        <f t="shared" si="144"/>
        <v>3.5650916356957871E-2</v>
      </c>
      <c r="BW81" s="50">
        <v>1999</v>
      </c>
      <c r="BX81" s="51">
        <f t="shared" si="145"/>
        <v>3.8574246451420185E-2</v>
      </c>
      <c r="BY81" s="50">
        <v>1999</v>
      </c>
      <c r="BZ81" s="51">
        <f t="shared" si="146"/>
        <v>3.7548304231049608E-2</v>
      </c>
      <c r="CA81" s="50">
        <v>1999</v>
      </c>
      <c r="CB81" s="51">
        <f t="shared" si="147"/>
        <v>3.7406234135331229E-2</v>
      </c>
      <c r="CC81" s="50">
        <v>1999</v>
      </c>
      <c r="CD81" s="51">
        <f t="shared" si="148"/>
        <v>3.5221361588418217E-2</v>
      </c>
      <c r="CE81" s="50">
        <v>1999</v>
      </c>
      <c r="CF81" s="51">
        <f t="shared" si="149"/>
        <v>3.6474960550843066E-2</v>
      </c>
      <c r="CG81" s="50">
        <v>1999</v>
      </c>
      <c r="CH81" s="51">
        <f t="shared" si="150"/>
        <v>3.2699737077101533E-2</v>
      </c>
      <c r="CI81" s="52">
        <v>1781</v>
      </c>
      <c r="CJ81" s="51">
        <f t="shared" si="151"/>
        <v>2.3980408504441157E-2</v>
      </c>
      <c r="CK81" s="52">
        <v>1781</v>
      </c>
      <c r="CL81" s="51">
        <f t="shared" si="152"/>
        <v>2.7279015468013555E-2</v>
      </c>
      <c r="CM81" s="52">
        <v>1781</v>
      </c>
      <c r="CN81" s="51">
        <f t="shared" si="153"/>
        <v>2.5730728861541659E-2</v>
      </c>
      <c r="CO81" s="52">
        <v>1781</v>
      </c>
      <c r="CP81" s="51">
        <f t="shared" si="154"/>
        <v>3.0516280289892669E-2</v>
      </c>
      <c r="CQ81" s="52">
        <v>1781</v>
      </c>
      <c r="CR81" s="51">
        <f t="shared" si="155"/>
        <v>2.5492221007966141E-2</v>
      </c>
      <c r="CS81" s="52">
        <v>1781</v>
      </c>
      <c r="CT81" s="51">
        <f t="shared" si="156"/>
        <v>3.5289744455487763E-2</v>
      </c>
      <c r="CU81" s="52">
        <v>1781</v>
      </c>
      <c r="CV81" s="51">
        <f t="shared" si="157"/>
        <v>3.5289744455487763E-2</v>
      </c>
      <c r="CW81" s="176">
        <v>1781</v>
      </c>
      <c r="CX81" s="51">
        <f t="shared" si="158"/>
        <v>3.5289744455487763E-2</v>
      </c>
      <c r="CY81" s="176">
        <v>1781</v>
      </c>
      <c r="CZ81" s="51">
        <f t="shared" si="159"/>
        <v>3.5289744455487763E-2</v>
      </c>
      <c r="DA81" s="176">
        <v>1781</v>
      </c>
      <c r="DB81" s="51">
        <f t="shared" si="160"/>
        <v>3.5289744455487763E-2</v>
      </c>
      <c r="DC81" s="176">
        <v>1380</v>
      </c>
      <c r="DD81" s="51">
        <f t="shared" si="161"/>
        <v>2.7344102946980975E-2</v>
      </c>
      <c r="DE81" s="176">
        <v>1380</v>
      </c>
      <c r="DF81" s="51">
        <f t="shared" si="162"/>
        <v>2.7344102946980975E-2</v>
      </c>
      <c r="DG81" s="176">
        <v>1380</v>
      </c>
      <c r="DH81" s="51">
        <f t="shared" si="163"/>
        <v>2.7344102946980975E-2</v>
      </c>
      <c r="DI81" s="176">
        <v>1380</v>
      </c>
      <c r="DJ81" s="51">
        <f t="shared" si="164"/>
        <v>2.7344102946980975E-2</v>
      </c>
      <c r="DK81" s="176">
        <v>1380</v>
      </c>
      <c r="DL81" s="51">
        <f t="shared" si="165"/>
        <v>2.7344102946980975E-2</v>
      </c>
      <c r="DM81" s="176">
        <v>1380</v>
      </c>
      <c r="DN81" s="51">
        <f t="shared" si="166"/>
        <v>2.7344102946980975E-2</v>
      </c>
      <c r="DO81" s="176">
        <v>1380</v>
      </c>
      <c r="DP81" s="51">
        <f t="shared" si="167"/>
        <v>2.7344102946980975E-2</v>
      </c>
      <c r="DQ81" s="176">
        <v>1380</v>
      </c>
      <c r="DR81" s="51">
        <f t="shared" si="168"/>
        <v>2.7344102946980975E-2</v>
      </c>
      <c r="DS81" s="176">
        <v>1380</v>
      </c>
      <c r="DT81" s="51">
        <f t="shared" si="169"/>
        <v>2.7344102946980975E-2</v>
      </c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  <c r="EN81" s="176">
        <v>1380</v>
      </c>
      <c r="EO81" s="51">
        <f t="shared" si="170"/>
        <v>2.7344102946980975E-2</v>
      </c>
      <c r="EP81" s="176">
        <v>1380</v>
      </c>
      <c r="EQ81" s="51">
        <f t="shared" si="171"/>
        <v>2.7344102946980975E-2</v>
      </c>
      <c r="ER81" s="213">
        <v>1380</v>
      </c>
      <c r="ES81" s="51">
        <f t="shared" si="172"/>
        <v>2.7344102946980975E-2</v>
      </c>
      <c r="ET81" s="176">
        <v>1380</v>
      </c>
      <c r="EU81" s="51">
        <f t="shared" si="173"/>
        <v>2.7344102946980975E-2</v>
      </c>
      <c r="EV81" s="176">
        <v>2417.75</v>
      </c>
      <c r="EW81" s="51">
        <f t="shared" ref="EW81" si="200">EV81/EV$76</f>
        <v>4.8508889601371376E-2</v>
      </c>
      <c r="EX81" s="176">
        <v>2418</v>
      </c>
      <c r="EY81" s="51">
        <f t="shared" si="189"/>
        <v>4.9252203669472493E-2</v>
      </c>
      <c r="EZ81" s="176">
        <v>2418</v>
      </c>
      <c r="FA81" s="51">
        <f t="shared" si="189"/>
        <v>3.9925564745297022E-2</v>
      </c>
      <c r="FB81" s="176">
        <v>2418</v>
      </c>
      <c r="FC81" s="51">
        <f t="shared" si="190"/>
        <v>3.1075134096657544E-2</v>
      </c>
      <c r="FD81" s="176">
        <v>2418</v>
      </c>
      <c r="FE81" s="51">
        <f t="shared" si="191"/>
        <v>3.1232340584928263E-2</v>
      </c>
      <c r="FF81" s="176">
        <v>2417.75</v>
      </c>
      <c r="FG81" s="51">
        <f t="shared" si="192"/>
        <v>2.8581071416327881E-2</v>
      </c>
      <c r="FH81" s="176">
        <v>2417.75</v>
      </c>
      <c r="FI81" s="51">
        <f t="shared" si="193"/>
        <v>2.9209488725517915E-2</v>
      </c>
      <c r="FJ81" s="176">
        <v>2417.75</v>
      </c>
      <c r="FK81" s="51">
        <f t="shared" si="194"/>
        <v>2.936734759072358E-2</v>
      </c>
      <c r="FL81" s="176"/>
      <c r="FM81" s="51">
        <f t="shared" si="195"/>
        <v>0</v>
      </c>
      <c r="FN81" s="176"/>
      <c r="FO81" s="51">
        <f t="shared" si="196"/>
        <v>0</v>
      </c>
      <c r="FP81" s="176"/>
      <c r="FQ81" s="51">
        <f t="shared" si="197"/>
        <v>0</v>
      </c>
      <c r="FR81" s="36"/>
      <c r="FS81" s="36"/>
      <c r="FT81" s="36"/>
      <c r="FU81" s="36"/>
      <c r="FV81" s="36"/>
      <c r="FW81" s="36"/>
      <c r="FX81" s="224"/>
      <c r="FY81" s="237"/>
      <c r="FZ81" s="237"/>
      <c r="GA81" s="237"/>
      <c r="GB81" s="237"/>
      <c r="GC81" s="237"/>
      <c r="GD81" s="237"/>
      <c r="GE81" s="237"/>
      <c r="GF81" s="260"/>
      <c r="GG81" s="260"/>
    </row>
    <row r="82" spans="1:189" ht="15" customHeight="1" outlineLevel="1" x14ac:dyDescent="0.3">
      <c r="A82" s="1"/>
      <c r="B82" s="301"/>
      <c r="C82" s="301"/>
      <c r="D82" s="301"/>
      <c r="E82" s="301"/>
      <c r="F82" s="301"/>
      <c r="G82" s="25" t="s">
        <v>75</v>
      </c>
      <c r="H82" s="33"/>
      <c r="I82" s="23"/>
      <c r="J82" s="23"/>
      <c r="K82" s="49"/>
      <c r="L82" s="55"/>
      <c r="M82" s="49"/>
      <c r="N82" s="55"/>
      <c r="O82" s="49"/>
      <c r="P82" s="55"/>
      <c r="Q82" s="49"/>
      <c r="R82" s="55"/>
      <c r="S82" s="49"/>
      <c r="T82" s="55"/>
      <c r="U82" s="49"/>
      <c r="V82" s="55"/>
      <c r="W82" s="49"/>
      <c r="X82" s="55"/>
      <c r="Y82" s="49"/>
      <c r="Z82" s="55"/>
      <c r="AA82" s="49"/>
      <c r="AB82" s="55"/>
      <c r="AC82" s="49"/>
      <c r="AD82" s="55"/>
      <c r="AE82" s="49"/>
      <c r="AF82" s="55"/>
      <c r="AG82" s="49"/>
      <c r="AH82" s="55"/>
      <c r="AI82" s="471"/>
      <c r="AJ82" s="281"/>
      <c r="AK82" s="471"/>
      <c r="AL82" s="281"/>
      <c r="AM82" s="471"/>
      <c r="AN82" s="281"/>
      <c r="AO82" s="471"/>
      <c r="AP82" s="281"/>
      <c r="AQ82" s="471">
        <v>1782</v>
      </c>
      <c r="AR82" s="281"/>
      <c r="AS82" s="472">
        <v>1980</v>
      </c>
      <c r="AT82" s="281"/>
      <c r="AU82" s="472">
        <v>1980</v>
      </c>
      <c r="AV82" s="281"/>
      <c r="AW82" s="472">
        <v>9322.11</v>
      </c>
      <c r="AX82" s="281"/>
      <c r="AY82" s="472">
        <v>12928.5</v>
      </c>
      <c r="AZ82" s="281"/>
      <c r="BA82" s="472">
        <v>13714.2</v>
      </c>
      <c r="BB82" s="281"/>
      <c r="BC82" s="472">
        <v>18266.400000000001</v>
      </c>
      <c r="BD82" s="281"/>
      <c r="BE82" s="472">
        <v>17147.2</v>
      </c>
      <c r="BF82" s="281"/>
      <c r="BG82" s="483">
        <v>10277</v>
      </c>
      <c r="BH82" s="281"/>
      <c r="BI82" s="483">
        <v>8853</v>
      </c>
      <c r="BJ82" s="281"/>
      <c r="BK82" s="57">
        <v>16514</v>
      </c>
      <c r="BL82" s="51">
        <f t="shared" si="139"/>
        <v>0.30348266295102244</v>
      </c>
      <c r="BM82" s="57">
        <v>18916</v>
      </c>
      <c r="BN82" s="51">
        <f t="shared" si="140"/>
        <v>0.33189557536315767</v>
      </c>
      <c r="BO82" s="57">
        <v>15080</v>
      </c>
      <c r="BP82" s="51">
        <f t="shared" si="141"/>
        <v>0.26828248152755918</v>
      </c>
      <c r="BQ82" s="57">
        <v>20607</v>
      </c>
      <c r="BR82" s="51">
        <f t="shared" si="142"/>
        <v>0.35347265831439495</v>
      </c>
      <c r="BS82" s="57">
        <v>18721</v>
      </c>
      <c r="BT82" s="51">
        <f t="shared" si="143"/>
        <v>0.33513926512467873</v>
      </c>
      <c r="BU82" s="58">
        <v>18986</v>
      </c>
      <c r="BV82" s="51">
        <f t="shared" si="144"/>
        <v>0.33860345070195208</v>
      </c>
      <c r="BW82" s="58">
        <v>14537</v>
      </c>
      <c r="BX82" s="51">
        <f t="shared" si="145"/>
        <v>0.28051716891660594</v>
      </c>
      <c r="BY82" s="58">
        <v>15205</v>
      </c>
      <c r="BZ82" s="51">
        <f t="shared" si="146"/>
        <v>0.28560378480895915</v>
      </c>
      <c r="CA82" s="58">
        <v>14711</v>
      </c>
      <c r="CB82" s="51">
        <f t="shared" si="147"/>
        <v>0.27527919477981877</v>
      </c>
      <c r="CC82" s="57">
        <v>18396</v>
      </c>
      <c r="CD82" s="51">
        <f t="shared" si="148"/>
        <v>0.32412814796425288</v>
      </c>
      <c r="CE82" s="57">
        <v>21843</v>
      </c>
      <c r="CF82" s="51">
        <f t="shared" si="149"/>
        <v>0.39856056193700101</v>
      </c>
      <c r="CG82" s="57">
        <v>24229</v>
      </c>
      <c r="CH82" s="51">
        <f t="shared" si="150"/>
        <v>0.39633913438774038</v>
      </c>
      <c r="CI82" s="58">
        <v>36334</v>
      </c>
      <c r="CJ82" s="51">
        <f t="shared" si="151"/>
        <v>0.48922187681098545</v>
      </c>
      <c r="CK82" s="58">
        <v>30200</v>
      </c>
      <c r="CL82" s="51">
        <f t="shared" si="152"/>
        <v>0.46256387823358192</v>
      </c>
      <c r="CM82" s="58">
        <v>32419</v>
      </c>
      <c r="CN82" s="51">
        <f t="shared" si="153"/>
        <v>0.46836861255604667</v>
      </c>
      <c r="CO82" s="58">
        <v>22821</v>
      </c>
      <c r="CP82" s="51">
        <f t="shared" si="154"/>
        <v>0.39102303902057306</v>
      </c>
      <c r="CQ82" s="58">
        <v>34478</v>
      </c>
      <c r="CR82" s="51">
        <f t="shared" si="155"/>
        <v>0.49349848170278304</v>
      </c>
      <c r="CS82" s="174">
        <v>19870</v>
      </c>
      <c r="CT82" s="51">
        <f t="shared" si="156"/>
        <v>0.39371545330182028</v>
      </c>
      <c r="CU82" s="173">
        <v>18509</v>
      </c>
      <c r="CV82" s="51">
        <f t="shared" si="157"/>
        <v>0.36674782713454407</v>
      </c>
      <c r="CW82" s="173">
        <v>12314</v>
      </c>
      <c r="CX82" s="51">
        <f t="shared" si="158"/>
        <v>0.24399658238342298</v>
      </c>
      <c r="CY82" s="173">
        <v>25777</v>
      </c>
      <c r="CZ82" s="51">
        <f t="shared" si="159"/>
        <v>0.51076010265531058</v>
      </c>
      <c r="DA82" s="173">
        <v>22597</v>
      </c>
      <c r="DB82" s="51">
        <f t="shared" si="160"/>
        <v>0.44774977847313702</v>
      </c>
      <c r="DC82" s="176">
        <v>17995.04</v>
      </c>
      <c r="DD82" s="51">
        <f t="shared" si="161"/>
        <v>0.35656393209785547</v>
      </c>
      <c r="DE82" s="176">
        <v>14055.09</v>
      </c>
      <c r="DF82" s="51">
        <f t="shared" si="162"/>
        <v>0.27849552745585709</v>
      </c>
      <c r="DG82" s="176">
        <v>13042.72</v>
      </c>
      <c r="DH82" s="51">
        <f t="shared" si="163"/>
        <v>0.25843585390481716</v>
      </c>
      <c r="DI82" s="176">
        <v>12722.49</v>
      </c>
      <c r="DJ82" s="51">
        <f t="shared" si="164"/>
        <v>0.25209063500140289</v>
      </c>
      <c r="DK82" s="176">
        <v>17247.55</v>
      </c>
      <c r="DL82" s="51">
        <f t="shared" si="165"/>
        <v>0.34175274114724757</v>
      </c>
      <c r="DM82" s="176">
        <v>14704.79</v>
      </c>
      <c r="DN82" s="51">
        <f t="shared" si="166"/>
        <v>0.29136905186502637</v>
      </c>
      <c r="DO82" s="176">
        <v>13605.8</v>
      </c>
      <c r="DP82" s="51">
        <f t="shared" si="167"/>
        <v>0.26959304048987953</v>
      </c>
      <c r="DQ82" s="176">
        <v>14331.56</v>
      </c>
      <c r="DR82" s="51">
        <f t="shared" si="168"/>
        <v>0.28397366089190917</v>
      </c>
      <c r="DS82" s="176">
        <v>12277.16</v>
      </c>
      <c r="DT82" s="51">
        <f t="shared" si="169"/>
        <v>0.2432666137221427</v>
      </c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176">
        <v>10387.549999999999</v>
      </c>
      <c r="EO82" s="51">
        <f t="shared" si="170"/>
        <v>0.20582480910645812</v>
      </c>
      <c r="EP82" s="176">
        <v>9285.5</v>
      </c>
      <c r="EQ82" s="51">
        <f t="shared" si="171"/>
        <v>0.18398816515521146</v>
      </c>
      <c r="ER82" s="176">
        <v>12988.04</v>
      </c>
      <c r="ES82" s="51">
        <f t="shared" si="172"/>
        <v>0.25735239336196147</v>
      </c>
      <c r="ET82" s="176">
        <v>12988.04</v>
      </c>
      <c r="EU82" s="51">
        <f t="shared" si="173"/>
        <v>0.25735239336196147</v>
      </c>
      <c r="EV82" s="176">
        <v>14149</v>
      </c>
      <c r="EW82" s="51">
        <f t="shared" ref="EW82" si="201">EV82/EV$76</f>
        <v>0.28388058276075012</v>
      </c>
      <c r="EX82" s="176">
        <v>13986</v>
      </c>
      <c r="EY82" s="51">
        <f t="shared" si="189"/>
        <v>0.2848806122916635</v>
      </c>
      <c r="EZ82" s="176">
        <v>15911.06</v>
      </c>
      <c r="FA82" s="51">
        <f t="shared" si="189"/>
        <v>0.26272045334834804</v>
      </c>
      <c r="FB82" s="176">
        <v>14780.71</v>
      </c>
      <c r="FC82" s="51">
        <f t="shared" si="190"/>
        <v>0.18995556050198806</v>
      </c>
      <c r="FD82" s="176">
        <v>14014.37</v>
      </c>
      <c r="FE82" s="51">
        <f t="shared" si="191"/>
        <v>0.18101802188717997</v>
      </c>
      <c r="FF82" s="176">
        <v>15284.64</v>
      </c>
      <c r="FG82" s="51">
        <f t="shared" si="192"/>
        <v>0.18068509457671877</v>
      </c>
      <c r="FH82" s="176">
        <v>14733.88</v>
      </c>
      <c r="FI82" s="51">
        <f t="shared" si="193"/>
        <v>0.17800397135482737</v>
      </c>
      <c r="FJ82" s="176">
        <v>14314.77</v>
      </c>
      <c r="FK82" s="51">
        <f t="shared" si="194"/>
        <v>0.17387522542498693</v>
      </c>
      <c r="FL82" s="176">
        <v>14267.32</v>
      </c>
      <c r="FM82" s="51">
        <f t="shared" si="195"/>
        <v>0.16269080705236913</v>
      </c>
      <c r="FN82" s="176">
        <v>14435.69</v>
      </c>
      <c r="FO82" s="51">
        <f t="shared" si="196"/>
        <v>0.17952797405867046</v>
      </c>
      <c r="FP82" s="176"/>
      <c r="FQ82" s="51">
        <f t="shared" si="197"/>
        <v>0</v>
      </c>
      <c r="FR82" s="36"/>
      <c r="FS82" s="36"/>
      <c r="FT82" s="36"/>
      <c r="FU82" s="36"/>
      <c r="FV82" s="36"/>
      <c r="FW82" s="36"/>
      <c r="FX82" s="224"/>
      <c r="FY82" s="237"/>
      <c r="FZ82" s="237"/>
      <c r="GA82" s="237"/>
      <c r="GB82" s="237"/>
      <c r="GC82" s="237"/>
      <c r="GD82" s="237"/>
      <c r="GE82" s="237"/>
      <c r="GF82" s="260"/>
      <c r="GG82" s="260"/>
    </row>
    <row r="83" spans="1:189" ht="15" hidden="1" customHeight="1" outlineLevel="1" x14ac:dyDescent="0.3">
      <c r="A83" s="1"/>
      <c r="B83" s="301"/>
      <c r="C83" s="301"/>
      <c r="D83" s="301"/>
      <c r="E83" s="301"/>
      <c r="F83" s="301"/>
      <c r="G83" s="25" t="s">
        <v>76</v>
      </c>
      <c r="H83" s="33"/>
      <c r="I83" s="23"/>
      <c r="J83" s="23"/>
      <c r="K83" s="49"/>
      <c r="L83" s="55"/>
      <c r="M83" s="49"/>
      <c r="N83" s="55"/>
      <c r="O83" s="49"/>
      <c r="P83" s="55"/>
      <c r="Q83" s="49"/>
      <c r="R83" s="55"/>
      <c r="S83" s="49"/>
      <c r="T83" s="55"/>
      <c r="U83" s="49"/>
      <c r="V83" s="55"/>
      <c r="W83" s="49"/>
      <c r="X83" s="55"/>
      <c r="Y83" s="49"/>
      <c r="Z83" s="55"/>
      <c r="AA83" s="49"/>
      <c r="AB83" s="55"/>
      <c r="AC83" s="49"/>
      <c r="AD83" s="55"/>
      <c r="AE83" s="49"/>
      <c r="AF83" s="55"/>
      <c r="AG83" s="49"/>
      <c r="AH83" s="55"/>
      <c r="AI83" s="49"/>
      <c r="AJ83" s="55"/>
      <c r="AK83" s="49"/>
      <c r="AL83" s="55"/>
      <c r="AM83" s="49"/>
      <c r="AN83" s="55"/>
      <c r="AO83" s="471"/>
      <c r="AP83" s="281"/>
      <c r="AQ83" s="471"/>
      <c r="AR83" s="281"/>
      <c r="AS83" s="471"/>
      <c r="AT83" s="281"/>
      <c r="AU83" s="472">
        <f>2800*2</f>
        <v>5600</v>
      </c>
      <c r="AV83" s="281"/>
      <c r="AW83" s="472">
        <v>2800</v>
      </c>
      <c r="AX83" s="281"/>
      <c r="AY83" s="472">
        <v>2800</v>
      </c>
      <c r="AZ83" s="281"/>
      <c r="BA83" s="472">
        <v>5600</v>
      </c>
      <c r="BB83" s="281"/>
      <c r="BC83" s="472">
        <f>2800+2800</f>
        <v>5600</v>
      </c>
      <c r="BD83" s="281"/>
      <c r="BE83" s="472">
        <f>2800+2800</f>
        <v>5600</v>
      </c>
      <c r="BF83" s="281"/>
      <c r="BG83" s="471">
        <v>5099</v>
      </c>
      <c r="BH83" s="281"/>
      <c r="BI83" s="471">
        <v>4333</v>
      </c>
      <c r="BJ83" s="281"/>
      <c r="BK83" s="50">
        <v>6309</v>
      </c>
      <c r="BL83" s="51">
        <f t="shared" si="139"/>
        <v>0.11594235924415651</v>
      </c>
      <c r="BM83" s="50">
        <v>7459</v>
      </c>
      <c r="BN83" s="51">
        <f t="shared" si="140"/>
        <v>0.130873815639342</v>
      </c>
      <c r="BO83" s="50">
        <v>5102</v>
      </c>
      <c r="BP83" s="51">
        <f t="shared" si="141"/>
        <v>9.0767720209125116E-2</v>
      </c>
      <c r="BQ83" s="50">
        <v>4712</v>
      </c>
      <c r="BR83" s="51">
        <f t="shared" si="142"/>
        <v>8.0825116027438693E-2</v>
      </c>
      <c r="BS83" s="52">
        <v>5895</v>
      </c>
      <c r="BT83" s="51">
        <f t="shared" si="143"/>
        <v>0.10553100624485771</v>
      </c>
      <c r="BU83" s="52">
        <v>5682</v>
      </c>
      <c r="BV83" s="51">
        <f t="shared" si="144"/>
        <v>0.10133492083053258</v>
      </c>
      <c r="BW83" s="52">
        <v>4856</v>
      </c>
      <c r="BX83" s="51">
        <f t="shared" si="145"/>
        <v>9.3705122945520969E-2</v>
      </c>
      <c r="BY83" s="52">
        <v>5249</v>
      </c>
      <c r="BZ83" s="51">
        <f t="shared" si="146"/>
        <v>9.8594821865322355E-2</v>
      </c>
      <c r="CA83" s="52">
        <v>4856</v>
      </c>
      <c r="CB83" s="51">
        <f t="shared" si="147"/>
        <v>9.0867770365767098E-2</v>
      </c>
      <c r="CC83" s="50">
        <v>5536</v>
      </c>
      <c r="CD83" s="51">
        <f t="shared" si="148"/>
        <v>9.7541499626554895E-2</v>
      </c>
      <c r="CE83" s="50">
        <v>3851</v>
      </c>
      <c r="CF83" s="51">
        <f t="shared" si="149"/>
        <v>7.0267670375836241E-2</v>
      </c>
      <c r="CG83" s="50">
        <v>7720</v>
      </c>
      <c r="CH83" s="51">
        <f t="shared" si="150"/>
        <v>0.12628412718120252</v>
      </c>
      <c r="CI83" s="52">
        <v>9086</v>
      </c>
      <c r="CJ83" s="51">
        <f t="shared" si="151"/>
        <v>0.12233913064084917</v>
      </c>
      <c r="CK83" s="52">
        <v>6279</v>
      </c>
      <c r="CL83" s="51">
        <f t="shared" si="152"/>
        <v>9.6173463292339764E-2</v>
      </c>
      <c r="CM83" s="52">
        <v>7350</v>
      </c>
      <c r="CN83" s="51">
        <f t="shared" si="153"/>
        <v>0.10618801635728871</v>
      </c>
      <c r="CO83" s="52">
        <v>5251</v>
      </c>
      <c r="CP83" s="51">
        <f t="shared" si="154"/>
        <v>8.9972480517813813E-2</v>
      </c>
      <c r="CQ83" s="52">
        <v>5592</v>
      </c>
      <c r="CR83" s="51">
        <f t="shared" si="155"/>
        <v>8.0040707398397901E-2</v>
      </c>
      <c r="CS83" s="52">
        <v>961</v>
      </c>
      <c r="CT83" s="51">
        <f t="shared" si="156"/>
        <v>1.9041799226122258E-2</v>
      </c>
      <c r="CU83" s="52">
        <v>8399</v>
      </c>
      <c r="CV83" s="51">
        <f t="shared" si="157"/>
        <v>0.16642255119687913</v>
      </c>
      <c r="CW83" s="176">
        <v>7586</v>
      </c>
      <c r="CX83" s="51">
        <f t="shared" si="158"/>
        <v>0.15031330793898381</v>
      </c>
      <c r="CY83" s="176">
        <v>7675</v>
      </c>
      <c r="CZ83" s="51">
        <f t="shared" si="159"/>
        <v>0.15207680443339056</v>
      </c>
      <c r="DA83" s="176">
        <v>5780</v>
      </c>
      <c r="DB83" s="51">
        <f t="shared" si="160"/>
        <v>0.11452819929967394</v>
      </c>
      <c r="DC83" s="176">
        <v>5627.96</v>
      </c>
      <c r="DD83" s="51">
        <f t="shared" si="161"/>
        <v>0.11151559247934134</v>
      </c>
      <c r="DE83" s="176">
        <v>2688</v>
      </c>
      <c r="DF83" s="51">
        <f t="shared" si="162"/>
        <v>5.3261557044554243E-2</v>
      </c>
      <c r="DG83" s="176">
        <v>1267.1199999999999</v>
      </c>
      <c r="DH83" s="51">
        <f t="shared" si="163"/>
        <v>2.5107434584187339E-2</v>
      </c>
      <c r="DI83" s="176">
        <v>1598</v>
      </c>
      <c r="DJ83" s="51">
        <f t="shared" si="164"/>
        <v>3.1663678629909854E-2</v>
      </c>
      <c r="DK83" s="176">
        <v>3292.4</v>
      </c>
      <c r="DL83" s="51">
        <f t="shared" si="165"/>
        <v>6.5237481552637797E-2</v>
      </c>
      <c r="DM83" s="176">
        <v>4934.43</v>
      </c>
      <c r="DN83" s="51">
        <f t="shared" si="166"/>
        <v>9.7773595583095174E-2</v>
      </c>
      <c r="DO83" s="176">
        <v>3909.11</v>
      </c>
      <c r="DP83" s="51">
        <f t="shared" si="167"/>
        <v>7.7457323384835366E-2</v>
      </c>
      <c r="DQ83" s="176">
        <v>3683.94</v>
      </c>
      <c r="DR83" s="51">
        <f t="shared" si="168"/>
        <v>7.2995677253986299E-2</v>
      </c>
      <c r="DS83" s="176">
        <v>2656.34</v>
      </c>
      <c r="DT83" s="51">
        <f t="shared" si="169"/>
        <v>5.2634227842161915E-2</v>
      </c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176">
        <v>2792.07</v>
      </c>
      <c r="EO83" s="51">
        <f t="shared" si="170"/>
        <v>5.5323659068968967E-2</v>
      </c>
      <c r="EP83" s="176">
        <v>2453.52</v>
      </c>
      <c r="EQ83" s="51">
        <f t="shared" si="171"/>
        <v>4.8615437291649827E-2</v>
      </c>
      <c r="ER83" s="176">
        <v>3199.41</v>
      </c>
      <c r="ES83" s="51">
        <f t="shared" si="172"/>
        <v>6.3394924934493044E-2</v>
      </c>
      <c r="ET83" s="176">
        <v>3199.41</v>
      </c>
      <c r="EU83" s="51">
        <f t="shared" si="173"/>
        <v>6.3394924934493044E-2</v>
      </c>
      <c r="EV83" s="56"/>
      <c r="EW83" s="51">
        <f t="shared" ref="EW83" si="202">EV83/EV$76</f>
        <v>0</v>
      </c>
      <c r="EX83" s="56"/>
      <c r="EY83" s="51">
        <f t="shared" si="189"/>
        <v>0</v>
      </c>
      <c r="EZ83" s="56"/>
      <c r="FA83" s="51">
        <f t="shared" si="189"/>
        <v>0</v>
      </c>
      <c r="FB83" s="56"/>
      <c r="FC83" s="51">
        <f t="shared" si="190"/>
        <v>0</v>
      </c>
      <c r="FD83" s="56"/>
      <c r="FE83" s="51">
        <f t="shared" si="191"/>
        <v>0</v>
      </c>
      <c r="FF83" s="56"/>
      <c r="FG83" s="51">
        <f t="shared" si="192"/>
        <v>0</v>
      </c>
      <c r="FH83" s="56"/>
      <c r="FI83" s="51">
        <f t="shared" si="193"/>
        <v>0</v>
      </c>
      <c r="FJ83" s="56"/>
      <c r="FK83" s="51">
        <f t="shared" si="194"/>
        <v>0</v>
      </c>
      <c r="FL83" s="56"/>
      <c r="FM83" s="51">
        <f t="shared" si="195"/>
        <v>0</v>
      </c>
      <c r="FN83" s="56"/>
      <c r="FO83" s="51">
        <f t="shared" si="196"/>
        <v>0</v>
      </c>
      <c r="FP83" s="56"/>
      <c r="FQ83" s="51">
        <f t="shared" si="197"/>
        <v>0</v>
      </c>
      <c r="FR83" s="36"/>
      <c r="FS83" s="36"/>
      <c r="FT83" s="36"/>
      <c r="FU83" s="36"/>
      <c r="FV83" s="36"/>
      <c r="FW83" s="36"/>
      <c r="FX83" s="224"/>
      <c r="FY83" s="237"/>
      <c r="FZ83" s="237"/>
      <c r="GA83" s="237"/>
      <c r="GB83" s="237"/>
      <c r="GC83" s="237"/>
      <c r="GD83" s="237"/>
      <c r="GE83" s="237"/>
      <c r="GF83" s="260"/>
      <c r="GG83" s="260"/>
    </row>
    <row r="84" spans="1:189" ht="15" hidden="1" customHeight="1" outlineLevel="1" x14ac:dyDescent="0.3">
      <c r="A84" s="1"/>
      <c r="B84" s="301"/>
      <c r="C84" s="301"/>
      <c r="D84" s="301"/>
      <c r="E84" s="301"/>
      <c r="F84" s="301"/>
      <c r="G84" s="25" t="s">
        <v>77</v>
      </c>
      <c r="H84" s="33"/>
      <c r="I84" s="23"/>
      <c r="J84" s="23"/>
      <c r="K84" s="49"/>
      <c r="L84" s="55"/>
      <c r="M84" s="49"/>
      <c r="N84" s="55"/>
      <c r="O84" s="49"/>
      <c r="P84" s="55"/>
      <c r="Q84" s="49"/>
      <c r="R84" s="55"/>
      <c r="S84" s="49"/>
      <c r="T84" s="55"/>
      <c r="U84" s="49"/>
      <c r="V84" s="55"/>
      <c r="W84" s="49"/>
      <c r="X84" s="55"/>
      <c r="Y84" s="49"/>
      <c r="Z84" s="55"/>
      <c r="AA84" s="49"/>
      <c r="AB84" s="55"/>
      <c r="AC84" s="49"/>
      <c r="AD84" s="55"/>
      <c r="AE84" s="49"/>
      <c r="AF84" s="55"/>
      <c r="AG84" s="49"/>
      <c r="AH84" s="55"/>
      <c r="AI84" s="49"/>
      <c r="AJ84" s="55"/>
      <c r="AK84" s="49"/>
      <c r="AL84" s="55"/>
      <c r="AM84" s="49"/>
      <c r="AN84" s="55"/>
      <c r="AO84" s="49"/>
      <c r="AP84" s="55"/>
      <c r="AQ84" s="49"/>
      <c r="AR84" s="55"/>
      <c r="AS84" s="49"/>
      <c r="AT84" s="55"/>
      <c r="AU84" s="59"/>
      <c r="AV84" s="60"/>
      <c r="AW84" s="59"/>
      <c r="AX84" s="60"/>
      <c r="AY84" s="59"/>
      <c r="AZ84" s="60"/>
      <c r="BA84" s="59"/>
      <c r="BB84" s="60"/>
      <c r="BC84" s="59"/>
      <c r="BD84" s="60"/>
      <c r="BE84" s="59"/>
      <c r="BF84" s="60"/>
      <c r="BG84" s="49"/>
      <c r="BH84" s="55"/>
      <c r="BI84" s="49"/>
      <c r="BJ84" s="55"/>
      <c r="BK84" s="50"/>
      <c r="BL84" s="51">
        <f t="shared" si="139"/>
        <v>0</v>
      </c>
      <c r="BM84" s="50"/>
      <c r="BN84" s="51">
        <f t="shared" si="140"/>
        <v>0</v>
      </c>
      <c r="BO84" s="50"/>
      <c r="BP84" s="51">
        <f t="shared" si="141"/>
        <v>0</v>
      </c>
      <c r="BQ84" s="50"/>
      <c r="BR84" s="51">
        <f t="shared" si="142"/>
        <v>0</v>
      </c>
      <c r="BS84" s="52"/>
      <c r="BT84" s="51">
        <f t="shared" si="143"/>
        <v>0</v>
      </c>
      <c r="BU84" s="52"/>
      <c r="BV84" s="51">
        <f t="shared" si="144"/>
        <v>0</v>
      </c>
      <c r="BW84" s="52"/>
      <c r="BX84" s="51">
        <f t="shared" si="145"/>
        <v>0</v>
      </c>
      <c r="BY84" s="52"/>
      <c r="BZ84" s="51">
        <f t="shared" si="146"/>
        <v>0</v>
      </c>
      <c r="CA84" s="52">
        <v>400</v>
      </c>
      <c r="CB84" s="51">
        <f t="shared" si="147"/>
        <v>7.4849893217271085E-3</v>
      </c>
      <c r="CC84" s="52">
        <v>0</v>
      </c>
      <c r="CD84" s="51">
        <f t="shared" si="148"/>
        <v>0</v>
      </c>
      <c r="CE84" s="52">
        <v>0</v>
      </c>
      <c r="CF84" s="51">
        <f t="shared" si="149"/>
        <v>0</v>
      </c>
      <c r="CG84" s="52">
        <v>0</v>
      </c>
      <c r="CH84" s="51">
        <f t="shared" si="150"/>
        <v>0</v>
      </c>
      <c r="CI84" s="52">
        <v>0</v>
      </c>
      <c r="CJ84" s="51">
        <f t="shared" si="151"/>
        <v>0</v>
      </c>
      <c r="CK84" s="52">
        <v>0</v>
      </c>
      <c r="CL84" s="51">
        <f t="shared" si="152"/>
        <v>0</v>
      </c>
      <c r="CM84" s="52">
        <v>0</v>
      </c>
      <c r="CN84" s="51">
        <f t="shared" si="153"/>
        <v>0</v>
      </c>
      <c r="CO84" s="52">
        <v>0</v>
      </c>
      <c r="CP84" s="51">
        <f t="shared" si="154"/>
        <v>0</v>
      </c>
      <c r="CQ84" s="52">
        <v>0</v>
      </c>
      <c r="CR84" s="51">
        <f t="shared" si="155"/>
        <v>0</v>
      </c>
      <c r="CS84" s="52">
        <v>0</v>
      </c>
      <c r="CT84" s="51">
        <f t="shared" si="156"/>
        <v>0</v>
      </c>
      <c r="CU84" s="52">
        <v>0</v>
      </c>
      <c r="CV84" s="51">
        <f t="shared" si="157"/>
        <v>0</v>
      </c>
      <c r="CW84" s="176">
        <v>0</v>
      </c>
      <c r="CX84" s="179">
        <f t="shared" si="158"/>
        <v>0</v>
      </c>
      <c r="CY84" s="176">
        <v>0</v>
      </c>
      <c r="CZ84" s="51">
        <f t="shared" si="159"/>
        <v>0</v>
      </c>
      <c r="DA84" s="176">
        <v>0</v>
      </c>
      <c r="DB84" s="51">
        <f t="shared" si="160"/>
        <v>0</v>
      </c>
      <c r="DC84" s="176">
        <v>0</v>
      </c>
      <c r="DD84" s="51">
        <f t="shared" si="161"/>
        <v>0</v>
      </c>
      <c r="DE84" s="176">
        <v>0</v>
      </c>
      <c r="DF84" s="51">
        <f t="shared" si="162"/>
        <v>0</v>
      </c>
      <c r="DG84" s="176">
        <v>0</v>
      </c>
      <c r="DH84" s="51">
        <f t="shared" si="163"/>
        <v>0</v>
      </c>
      <c r="DI84" s="176">
        <v>0</v>
      </c>
      <c r="DJ84" s="51">
        <f t="shared" si="164"/>
        <v>0</v>
      </c>
      <c r="DK84" s="176">
        <v>0</v>
      </c>
      <c r="DL84" s="51">
        <f t="shared" si="165"/>
        <v>0</v>
      </c>
      <c r="DM84" s="176">
        <v>0</v>
      </c>
      <c r="DN84" s="51">
        <f t="shared" si="166"/>
        <v>0</v>
      </c>
      <c r="DO84" s="176">
        <v>0</v>
      </c>
      <c r="DP84" s="51">
        <f t="shared" si="167"/>
        <v>0</v>
      </c>
      <c r="DQ84" s="176">
        <v>0</v>
      </c>
      <c r="DR84" s="51">
        <f t="shared" si="168"/>
        <v>0</v>
      </c>
      <c r="DS84" s="176">
        <v>0</v>
      </c>
      <c r="DT84" s="51">
        <f t="shared" si="169"/>
        <v>0</v>
      </c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176">
        <v>0</v>
      </c>
      <c r="EO84" s="51">
        <f t="shared" si="170"/>
        <v>0</v>
      </c>
      <c r="EP84" s="176">
        <v>0</v>
      </c>
      <c r="EQ84" s="51">
        <f t="shared" si="171"/>
        <v>0</v>
      </c>
      <c r="ER84" s="56">
        <v>0</v>
      </c>
      <c r="ES84" s="51">
        <f t="shared" si="172"/>
        <v>0</v>
      </c>
      <c r="ET84" s="176">
        <v>0</v>
      </c>
      <c r="EU84" s="51">
        <f t="shared" si="173"/>
        <v>0</v>
      </c>
      <c r="EV84" s="56">
        <v>0</v>
      </c>
      <c r="EW84" s="51">
        <f t="shared" ref="EW84" si="203">EV84/EV$76</f>
        <v>0</v>
      </c>
      <c r="EX84" s="56">
        <v>0</v>
      </c>
      <c r="EY84" s="51">
        <f t="shared" si="189"/>
        <v>0</v>
      </c>
      <c r="EZ84" s="56">
        <v>0</v>
      </c>
      <c r="FA84" s="51">
        <f t="shared" si="189"/>
        <v>0</v>
      </c>
      <c r="FB84" s="56">
        <v>0</v>
      </c>
      <c r="FC84" s="51">
        <f t="shared" si="190"/>
        <v>0</v>
      </c>
      <c r="FD84" s="56">
        <v>0</v>
      </c>
      <c r="FE84" s="51">
        <f t="shared" si="191"/>
        <v>0</v>
      </c>
      <c r="FF84" s="56">
        <v>0</v>
      </c>
      <c r="FG84" s="51">
        <f t="shared" si="192"/>
        <v>0</v>
      </c>
      <c r="FH84" s="56">
        <v>0</v>
      </c>
      <c r="FI84" s="51">
        <f t="shared" si="193"/>
        <v>0</v>
      </c>
      <c r="FJ84" s="56">
        <v>0</v>
      </c>
      <c r="FK84" s="51">
        <f t="shared" si="194"/>
        <v>0</v>
      </c>
      <c r="FL84" s="56">
        <v>0</v>
      </c>
      <c r="FM84" s="51">
        <f t="shared" si="195"/>
        <v>0</v>
      </c>
      <c r="FN84" s="56">
        <v>0</v>
      </c>
      <c r="FO84" s="51">
        <f t="shared" si="196"/>
        <v>0</v>
      </c>
      <c r="FP84" s="56">
        <v>0</v>
      </c>
      <c r="FQ84" s="51">
        <f t="shared" si="197"/>
        <v>0</v>
      </c>
      <c r="FR84" s="36"/>
      <c r="FS84" s="36"/>
      <c r="FT84" s="36"/>
      <c r="FU84" s="36"/>
      <c r="FV84" s="36"/>
      <c r="FW84" s="36"/>
      <c r="FX84" s="224"/>
      <c r="FY84" s="237"/>
      <c r="FZ84" s="237"/>
      <c r="GA84" s="237"/>
      <c r="GB84" s="237"/>
      <c r="GC84" s="237"/>
      <c r="GD84" s="237"/>
      <c r="GE84" s="237"/>
      <c r="GF84" s="260"/>
      <c r="GG84" s="260"/>
    </row>
    <row r="85" spans="1:189" ht="15" customHeight="1" outlineLevel="1" x14ac:dyDescent="0.3">
      <c r="A85" s="1"/>
      <c r="B85" s="301"/>
      <c r="C85" s="301"/>
      <c r="D85" s="301"/>
      <c r="E85" s="301"/>
      <c r="F85" s="301"/>
      <c r="G85" s="25" t="str">
        <f t="shared" ref="G85:H85" si="204">G239</f>
        <v>Sistema Neo Atendimento</v>
      </c>
      <c r="H85" s="33">
        <f t="shared" si="204"/>
        <v>0</v>
      </c>
      <c r="I85" s="284">
        <f t="shared" ref="I85:I89" si="205">SUM(K85:AH85)</f>
        <v>124813.52</v>
      </c>
      <c r="J85" s="281"/>
      <c r="K85" s="471">
        <f t="shared" ref="K85:K88" si="206">K239</f>
        <v>9934</v>
      </c>
      <c r="L85" s="281"/>
      <c r="M85" s="471">
        <f t="shared" ref="M85:M88" si="207">M239</f>
        <v>9934</v>
      </c>
      <c r="N85" s="281"/>
      <c r="O85" s="471">
        <f t="shared" ref="O85:O88" si="208">O239</f>
        <v>9934</v>
      </c>
      <c r="P85" s="281"/>
      <c r="Q85" s="471">
        <f t="shared" ref="Q85:Q88" si="209">Q239</f>
        <v>9934</v>
      </c>
      <c r="R85" s="281"/>
      <c r="S85" s="471">
        <f t="shared" ref="S85:S88" si="210">S239</f>
        <v>9934</v>
      </c>
      <c r="T85" s="281"/>
      <c r="U85" s="471">
        <f t="shared" ref="U85:U88" si="211">U239</f>
        <v>9934</v>
      </c>
      <c r="V85" s="281"/>
      <c r="W85" s="471">
        <f t="shared" ref="W85:W88" si="212">W239</f>
        <v>9934</v>
      </c>
      <c r="X85" s="281"/>
      <c r="Y85" s="471">
        <f>Y239</f>
        <v>9934</v>
      </c>
      <c r="Z85" s="281"/>
      <c r="AA85" s="471">
        <f>AA239</f>
        <v>9934</v>
      </c>
      <c r="AB85" s="281"/>
      <c r="AC85" s="471">
        <f>AC239</f>
        <v>9934</v>
      </c>
      <c r="AD85" s="281"/>
      <c r="AE85" s="471">
        <f>AE239</f>
        <v>9934</v>
      </c>
      <c r="AF85" s="281"/>
      <c r="AG85" s="471">
        <v>15539.52</v>
      </c>
      <c r="AH85" s="281"/>
      <c r="AI85" s="471">
        <v>15539.52</v>
      </c>
      <c r="AJ85" s="281"/>
      <c r="AK85" s="471">
        <v>15539.52</v>
      </c>
      <c r="AL85" s="281"/>
      <c r="AM85" s="471">
        <v>15539.52</v>
      </c>
      <c r="AN85" s="281"/>
      <c r="AO85" s="471">
        <v>15539.52</v>
      </c>
      <c r="AP85" s="281"/>
      <c r="AQ85" s="471">
        <v>15539.52</v>
      </c>
      <c r="AR85" s="281"/>
      <c r="AS85" s="472">
        <f>AQ85</f>
        <v>15539.52</v>
      </c>
      <c r="AT85" s="281"/>
      <c r="AU85" s="472">
        <f>AS85</f>
        <v>15539.52</v>
      </c>
      <c r="AV85" s="281"/>
      <c r="AW85" s="472">
        <v>16551.2</v>
      </c>
      <c r="AX85" s="281"/>
      <c r="AY85" s="472">
        <v>16551.2</v>
      </c>
      <c r="AZ85" s="281"/>
      <c r="BA85" s="472">
        <f>AY85</f>
        <v>16551.2</v>
      </c>
      <c r="BB85" s="281"/>
      <c r="BC85" s="472">
        <f>BA85</f>
        <v>16551.2</v>
      </c>
      <c r="BD85" s="281"/>
      <c r="BE85" s="472">
        <f>BC85</f>
        <v>16551.2</v>
      </c>
      <c r="BF85" s="281"/>
      <c r="BG85" s="471">
        <f>BE85-650</f>
        <v>15901.2</v>
      </c>
      <c r="BH85" s="281"/>
      <c r="BI85" s="471">
        <f>BG85-650</f>
        <v>15251.2</v>
      </c>
      <c r="BJ85" s="281"/>
      <c r="BK85" s="50">
        <f>BI85</f>
        <v>15251.2</v>
      </c>
      <c r="BL85" s="51">
        <f t="shared" si="139"/>
        <v>0.2802758138063845</v>
      </c>
      <c r="BM85" s="50">
        <f>BK85</f>
        <v>15251.2</v>
      </c>
      <c r="BN85" s="51">
        <f t="shared" si="140"/>
        <v>0.26759387814435348</v>
      </c>
      <c r="BO85" s="52">
        <f>18206.32-650</f>
        <v>17556.32</v>
      </c>
      <c r="BP85" s="51">
        <f t="shared" si="141"/>
        <v>0.3123377384676338</v>
      </c>
      <c r="BQ85" s="52">
        <f>18206.32-650</f>
        <v>17556.32</v>
      </c>
      <c r="BR85" s="51">
        <f t="shared" si="142"/>
        <v>0.30114422771961852</v>
      </c>
      <c r="BS85" s="52">
        <f>18206.32-650</f>
        <v>17556.32</v>
      </c>
      <c r="BT85" s="51">
        <f t="shared" si="143"/>
        <v>0.31428941739723837</v>
      </c>
      <c r="BU85" s="52">
        <f>18206.32-650</f>
        <v>17556.32</v>
      </c>
      <c r="BV85" s="51">
        <f t="shared" si="144"/>
        <v>0.31310600092845753</v>
      </c>
      <c r="BW85" s="52">
        <f>18206.32-650</f>
        <v>17556.32</v>
      </c>
      <c r="BX85" s="51">
        <f t="shared" si="145"/>
        <v>0.33878029737868792</v>
      </c>
      <c r="BY85" s="52">
        <f>18206.32-650</f>
        <v>17556.32</v>
      </c>
      <c r="BZ85" s="51">
        <f t="shared" si="146"/>
        <v>0.32976990722244165</v>
      </c>
      <c r="CA85" s="53">
        <f>18206.32-650</f>
        <v>17556.32</v>
      </c>
      <c r="CB85" s="51">
        <f t="shared" si="147"/>
        <v>0.32852216932206019</v>
      </c>
      <c r="CC85" s="54">
        <f>18206.32-650</f>
        <v>17556.32</v>
      </c>
      <c r="CD85" s="51">
        <f t="shared" si="148"/>
        <v>0.30933341414806326</v>
      </c>
      <c r="CE85" s="54">
        <f>18206.32-650</f>
        <v>17556.32</v>
      </c>
      <c r="CF85" s="51">
        <f t="shared" si="149"/>
        <v>0.32034321131464588</v>
      </c>
      <c r="CG85" s="50">
        <f>18206.32-650</f>
        <v>17556.32</v>
      </c>
      <c r="CH85" s="51">
        <f t="shared" si="150"/>
        <v>0.28718711757951931</v>
      </c>
      <c r="CI85" s="52">
        <f>18638.03-650</f>
        <v>17988.03</v>
      </c>
      <c r="CJ85" s="51">
        <f t="shared" si="151"/>
        <v>0.24220118337458879</v>
      </c>
      <c r="CK85" s="52">
        <f>18638.03-650</f>
        <v>17988.03</v>
      </c>
      <c r="CL85" s="51">
        <f t="shared" si="152"/>
        <v>0.27551698405900721</v>
      </c>
      <c r="CM85" s="52">
        <f>18638.03-650</f>
        <v>17988.03</v>
      </c>
      <c r="CN85" s="51">
        <f t="shared" si="153"/>
        <v>0.25987935018712927</v>
      </c>
      <c r="CO85" s="52">
        <f>20634.52-650</f>
        <v>19984.52</v>
      </c>
      <c r="CP85" s="51">
        <f t="shared" si="154"/>
        <v>0.34242179325040195</v>
      </c>
      <c r="CQ85" s="52">
        <f>20634.52-650</f>
        <v>19984.52</v>
      </c>
      <c r="CR85" s="51">
        <f t="shared" si="155"/>
        <v>0.28604705254245905</v>
      </c>
      <c r="CS85" s="52">
        <f>20634.52-650</f>
        <v>19984.52</v>
      </c>
      <c r="CT85" s="51">
        <f t="shared" si="156"/>
        <v>0.39598461755507264</v>
      </c>
      <c r="CU85" s="52">
        <f>20634.52-650</f>
        <v>19984.52</v>
      </c>
      <c r="CV85" s="51">
        <f t="shared" si="157"/>
        <v>0.39598461755507264</v>
      </c>
      <c r="CW85" s="176">
        <f>20634.52-650</f>
        <v>19984.52</v>
      </c>
      <c r="CX85" s="51">
        <f t="shared" si="158"/>
        <v>0.39598461755507264</v>
      </c>
      <c r="CY85" s="176">
        <f>20634.52-650</f>
        <v>19984.52</v>
      </c>
      <c r="CZ85" s="51">
        <f t="shared" si="159"/>
        <v>0.39598461755507264</v>
      </c>
      <c r="DA85" s="176">
        <f>20634.52-650</f>
        <v>19984.52</v>
      </c>
      <c r="DB85" s="51">
        <f t="shared" si="160"/>
        <v>0.39598461755507264</v>
      </c>
      <c r="DC85" s="176">
        <f>20634.52-650</f>
        <v>19984.52</v>
      </c>
      <c r="DD85" s="51">
        <f t="shared" si="161"/>
        <v>0.39598461755507264</v>
      </c>
      <c r="DE85" s="176">
        <f>20634.52-650</f>
        <v>19984.52</v>
      </c>
      <c r="DF85" s="51">
        <f t="shared" si="162"/>
        <v>0.39598461755507264</v>
      </c>
      <c r="DG85" s="176">
        <f>20634.52-650</f>
        <v>19984.52</v>
      </c>
      <c r="DH85" s="51">
        <f t="shared" si="163"/>
        <v>0.39598461755507264</v>
      </c>
      <c r="DI85" s="176">
        <f>20634.52-650</f>
        <v>19984.52</v>
      </c>
      <c r="DJ85" s="51">
        <f t="shared" si="164"/>
        <v>0.39598461755507264</v>
      </c>
      <c r="DK85" s="176">
        <f>20634.52-650</f>
        <v>19984.52</v>
      </c>
      <c r="DL85" s="51">
        <f t="shared" si="165"/>
        <v>0.39598461755507264</v>
      </c>
      <c r="DM85" s="176">
        <f>20634.52-650</f>
        <v>19984.52</v>
      </c>
      <c r="DN85" s="51">
        <f t="shared" si="166"/>
        <v>0.39598461755507264</v>
      </c>
      <c r="DO85" s="176">
        <f>20634.52-650</f>
        <v>19984.52</v>
      </c>
      <c r="DP85" s="51">
        <f t="shared" si="167"/>
        <v>0.39598461755507264</v>
      </c>
      <c r="DQ85" s="176">
        <f>20634.52-650</f>
        <v>19984.52</v>
      </c>
      <c r="DR85" s="51">
        <f t="shared" si="168"/>
        <v>0.39598461755507264</v>
      </c>
      <c r="DS85" s="176">
        <f>20634.52-650</f>
        <v>19984.52</v>
      </c>
      <c r="DT85" s="51">
        <f t="shared" si="169"/>
        <v>0.39598461755507264</v>
      </c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176">
        <f>20634.52-650</f>
        <v>19984.52</v>
      </c>
      <c r="EO85" s="51">
        <f t="shared" si="170"/>
        <v>0.39598461755507264</v>
      </c>
      <c r="EP85" s="176">
        <f>20634.52-650</f>
        <v>19984.52</v>
      </c>
      <c r="EQ85" s="51">
        <f t="shared" si="171"/>
        <v>0.39598461755507264</v>
      </c>
      <c r="ER85" s="213">
        <f>20634.52-650</f>
        <v>19984.52</v>
      </c>
      <c r="ES85" s="51">
        <f t="shared" si="172"/>
        <v>0.39598461755507264</v>
      </c>
      <c r="ET85" s="176">
        <f>20634.52-650</f>
        <v>19984.52</v>
      </c>
      <c r="EU85" s="51">
        <f t="shared" si="173"/>
        <v>0.39598461755507264</v>
      </c>
      <c r="EV85" s="176">
        <f>20634.52-650</f>
        <v>19984.52</v>
      </c>
      <c r="EW85" s="51">
        <f t="shared" ref="EW85" si="213">EV85/EV$76</f>
        <v>0.40096241315950715</v>
      </c>
      <c r="EX85" s="176">
        <f>20634.52-650</f>
        <v>19984.52</v>
      </c>
      <c r="EY85" s="51">
        <f t="shared" si="189"/>
        <v>0.40706437108215321</v>
      </c>
      <c r="EZ85" s="176">
        <f>20634.52-650</f>
        <v>19984.52</v>
      </c>
      <c r="FA85" s="51">
        <f t="shared" si="189"/>
        <v>0.32998066466653564</v>
      </c>
      <c r="FB85" s="176">
        <f>20634.52-650</f>
        <v>19984.52</v>
      </c>
      <c r="FC85" s="51">
        <f t="shared" si="190"/>
        <v>0.25683277041246266</v>
      </c>
      <c r="FD85" s="176">
        <f>20634.52-650</f>
        <v>19984.52</v>
      </c>
      <c r="FE85" s="51">
        <f t="shared" si="191"/>
        <v>0.25813206578424758</v>
      </c>
      <c r="FF85" s="176">
        <v>18425.3</v>
      </c>
      <c r="FG85" s="51">
        <f t="shared" si="192"/>
        <v>0.21781193885524397</v>
      </c>
      <c r="FH85" s="176">
        <v>18425.3</v>
      </c>
      <c r="FI85" s="51">
        <f t="shared" si="193"/>
        <v>0.22260101028405965</v>
      </c>
      <c r="FJ85" s="176">
        <v>18425.3</v>
      </c>
      <c r="FK85" s="51">
        <f t="shared" si="194"/>
        <v>0.2238040283583328</v>
      </c>
      <c r="FL85" s="176">
        <v>18425.3</v>
      </c>
      <c r="FM85" s="51">
        <f t="shared" si="195"/>
        <v>0.21010441534794322</v>
      </c>
      <c r="FN85" s="176">
        <v>17781.310000000001</v>
      </c>
      <c r="FO85" s="51">
        <f t="shared" si="196"/>
        <v>0.221135433111211</v>
      </c>
      <c r="FP85" s="176">
        <v>13595.62</v>
      </c>
      <c r="FQ85" s="51">
        <f t="shared" si="197"/>
        <v>0.2260807647716547</v>
      </c>
      <c r="FR85" s="36"/>
      <c r="FS85" s="36"/>
      <c r="FT85" s="36"/>
      <c r="FU85" s="36"/>
      <c r="FV85" s="36"/>
      <c r="FW85" s="36"/>
      <c r="FX85" s="224"/>
      <c r="FY85" s="237"/>
      <c r="FZ85" s="237"/>
      <c r="GA85" s="237"/>
      <c r="GB85" s="237"/>
      <c r="GC85" s="237"/>
      <c r="GD85" s="237"/>
      <c r="GE85" s="237"/>
      <c r="GF85" s="260"/>
      <c r="GG85" s="260"/>
    </row>
    <row r="86" spans="1:189" ht="15" customHeight="1" outlineLevel="1" x14ac:dyDescent="0.3">
      <c r="A86" s="1"/>
      <c r="B86" s="301"/>
      <c r="C86" s="301"/>
      <c r="D86" s="301"/>
      <c r="E86" s="301"/>
      <c r="F86" s="301"/>
      <c r="G86" s="25" t="str">
        <f t="shared" ref="G86:H86" si="214">G240</f>
        <v>Telefonia</v>
      </c>
      <c r="H86" s="33">
        <f t="shared" si="214"/>
        <v>0</v>
      </c>
      <c r="I86" s="284">
        <f t="shared" si="205"/>
        <v>17978.969999999998</v>
      </c>
      <c r="J86" s="281"/>
      <c r="K86" s="471">
        <f t="shared" si="206"/>
        <v>5764.31</v>
      </c>
      <c r="L86" s="281"/>
      <c r="M86" s="471">
        <f t="shared" si="207"/>
        <v>4366.08</v>
      </c>
      <c r="N86" s="281"/>
      <c r="O86" s="471">
        <f t="shared" si="208"/>
        <v>3652.22</v>
      </c>
      <c r="P86" s="281"/>
      <c r="Q86" s="471">
        <f t="shared" si="209"/>
        <v>82.75</v>
      </c>
      <c r="R86" s="281"/>
      <c r="S86" s="471">
        <f t="shared" si="210"/>
        <v>1327.29</v>
      </c>
      <c r="T86" s="281"/>
      <c r="U86" s="471">
        <f t="shared" si="211"/>
        <v>555.66999999999996</v>
      </c>
      <c r="V86" s="281"/>
      <c r="W86" s="471">
        <f t="shared" si="212"/>
        <v>985.89</v>
      </c>
      <c r="X86" s="281"/>
      <c r="Y86" s="471">
        <v>443.17</v>
      </c>
      <c r="Z86" s="281"/>
      <c r="AA86" s="471">
        <v>250.41</v>
      </c>
      <c r="AB86" s="281"/>
      <c r="AC86" s="471">
        <v>260</v>
      </c>
      <c r="AD86" s="281"/>
      <c r="AE86" s="471">
        <v>182.23</v>
      </c>
      <c r="AF86" s="281"/>
      <c r="AG86" s="471">
        <v>108.95</v>
      </c>
      <c r="AH86" s="281"/>
      <c r="AI86" s="471">
        <v>83.03</v>
      </c>
      <c r="AJ86" s="281"/>
      <c r="AK86" s="471">
        <v>87.92</v>
      </c>
      <c r="AL86" s="281"/>
      <c r="AM86" s="471">
        <v>1887.91</v>
      </c>
      <c r="AN86" s="281"/>
      <c r="AO86" s="471">
        <v>2073</v>
      </c>
      <c r="AP86" s="281"/>
      <c r="AQ86" s="471">
        <v>1572.12</v>
      </c>
      <c r="AR86" s="281"/>
      <c r="AS86" s="472">
        <v>1057.1400000000001</v>
      </c>
      <c r="AT86" s="281"/>
      <c r="AU86" s="472">
        <v>892.17</v>
      </c>
      <c r="AV86" s="281"/>
      <c r="AW86" s="472">
        <v>801.65</v>
      </c>
      <c r="AX86" s="281"/>
      <c r="AY86" s="472">
        <v>1406.53</v>
      </c>
      <c r="AZ86" s="281"/>
      <c r="BA86" s="472">
        <v>1804.39</v>
      </c>
      <c r="BB86" s="281"/>
      <c r="BC86" s="472">
        <v>2078.54</v>
      </c>
      <c r="BD86" s="281"/>
      <c r="BE86" s="472">
        <v>4410.9399999999996</v>
      </c>
      <c r="BF86" s="281"/>
      <c r="BG86" s="471">
        <v>3150</v>
      </c>
      <c r="BH86" s="281"/>
      <c r="BI86" s="471">
        <v>2408.9</v>
      </c>
      <c r="BJ86" s="281"/>
      <c r="BK86" s="50">
        <v>3593.33</v>
      </c>
      <c r="BL86" s="51">
        <f t="shared" si="139"/>
        <v>6.6035688340910587E-2</v>
      </c>
      <c r="BM86" s="50">
        <v>2627.19</v>
      </c>
      <c r="BN86" s="51">
        <f t="shared" si="140"/>
        <v>4.6096042325985104E-2</v>
      </c>
      <c r="BO86" s="50">
        <v>5797.65</v>
      </c>
      <c r="BP86" s="51">
        <f t="shared" si="141"/>
        <v>0.10314376187190008</v>
      </c>
      <c r="BQ86" s="50">
        <v>2672.95</v>
      </c>
      <c r="BR86" s="51">
        <f t="shared" si="142"/>
        <v>4.5849213473162613E-2</v>
      </c>
      <c r="BS86" s="50">
        <v>1866.6</v>
      </c>
      <c r="BT86" s="51">
        <f t="shared" si="143"/>
        <v>3.3415466710203796E-2</v>
      </c>
      <c r="BU86" s="52">
        <v>2418.73</v>
      </c>
      <c r="BV86" s="51">
        <f t="shared" si="144"/>
        <v>4.3136538729397059E-2</v>
      </c>
      <c r="BW86" s="52">
        <v>2703.42</v>
      </c>
      <c r="BX86" s="51">
        <f t="shared" si="145"/>
        <v>5.216727831000418E-2</v>
      </c>
      <c r="BY86" s="52">
        <v>2407.37</v>
      </c>
      <c r="BZ86" s="51">
        <f t="shared" si="146"/>
        <v>4.5218940048375136E-2</v>
      </c>
      <c r="CA86" s="53">
        <v>2917.57</v>
      </c>
      <c r="CB86" s="51">
        <f t="shared" si="147"/>
        <v>5.4594950738478407E-2</v>
      </c>
      <c r="CC86" s="54">
        <v>2404.61</v>
      </c>
      <c r="CD86" s="51">
        <f t="shared" si="148"/>
        <v>4.2368003146136229E-2</v>
      </c>
      <c r="CE86" s="50">
        <v>1275</v>
      </c>
      <c r="CF86" s="51">
        <f t="shared" si="149"/>
        <v>2.3264419560942926E-2</v>
      </c>
      <c r="CG86" s="50">
        <v>795.27</v>
      </c>
      <c r="CH86" s="51">
        <f t="shared" si="150"/>
        <v>1.3009064484895715E-2</v>
      </c>
      <c r="CI86" s="52">
        <v>855.43</v>
      </c>
      <c r="CJ86" s="51">
        <f t="shared" si="151"/>
        <v>1.1518001598514373E-2</v>
      </c>
      <c r="CK86" s="52">
        <v>1295.75</v>
      </c>
      <c r="CL86" s="51">
        <f t="shared" si="152"/>
        <v>1.9846594212621315E-2</v>
      </c>
      <c r="CM86" s="52">
        <v>1482.42</v>
      </c>
      <c r="CN86" s="51">
        <f t="shared" si="153"/>
        <v>2.1417039348077815E-2</v>
      </c>
      <c r="CO86" s="52">
        <v>1135.07</v>
      </c>
      <c r="CP86" s="51">
        <f t="shared" si="154"/>
        <v>1.9448688528157478E-2</v>
      </c>
      <c r="CQ86" s="52">
        <v>1201.78</v>
      </c>
      <c r="CR86" s="51">
        <f t="shared" si="155"/>
        <v>1.7201595375044103E-2</v>
      </c>
      <c r="CS86" s="52">
        <v>874</v>
      </c>
      <c r="CT86" s="51">
        <f t="shared" si="156"/>
        <v>1.7317931866421284E-2</v>
      </c>
      <c r="CU86" s="56">
        <v>874</v>
      </c>
      <c r="CV86" s="51">
        <f t="shared" si="157"/>
        <v>1.7317931866421284E-2</v>
      </c>
      <c r="CW86" s="176">
        <v>430.33</v>
      </c>
      <c r="CX86" s="51">
        <f t="shared" si="158"/>
        <v>8.5268027689669006E-3</v>
      </c>
      <c r="CY86" s="176">
        <v>483.11</v>
      </c>
      <c r="CZ86" s="51">
        <f t="shared" si="159"/>
        <v>9.5726156338521579E-3</v>
      </c>
      <c r="DA86" s="176">
        <v>467.27</v>
      </c>
      <c r="DB86" s="51">
        <f t="shared" si="160"/>
        <v>9.2587528869824635E-3</v>
      </c>
      <c r="DC86" s="176">
        <v>708.11</v>
      </c>
      <c r="DD86" s="51">
        <f t="shared" si="161"/>
        <v>1.4030893288251231E-2</v>
      </c>
      <c r="DE86" s="176">
        <v>914.94</v>
      </c>
      <c r="DF86" s="51">
        <f t="shared" si="162"/>
        <v>1.8129140253848389E-2</v>
      </c>
      <c r="DG86" s="176">
        <v>678.45</v>
      </c>
      <c r="DH86" s="51">
        <f t="shared" si="163"/>
        <v>1.344319322056467E-2</v>
      </c>
      <c r="DI86" s="176">
        <v>628.16</v>
      </c>
      <c r="DJ86" s="51">
        <f t="shared" si="164"/>
        <v>1.2446718628388092E-2</v>
      </c>
      <c r="DK86" s="176">
        <v>922.12</v>
      </c>
      <c r="DL86" s="51">
        <f t="shared" si="165"/>
        <v>1.8271408847442099E-2</v>
      </c>
      <c r="DM86" s="176">
        <v>1157.51</v>
      </c>
      <c r="DN86" s="51">
        <f t="shared" si="166"/>
        <v>2.2935559856637644E-2</v>
      </c>
      <c r="DO86" s="176">
        <v>748.37</v>
      </c>
      <c r="DP86" s="51">
        <f t="shared" si="167"/>
        <v>1.4828627769878372E-2</v>
      </c>
      <c r="DQ86" s="176">
        <v>731.02</v>
      </c>
      <c r="DR86" s="51">
        <f t="shared" si="168"/>
        <v>1.448484502630582E-2</v>
      </c>
      <c r="DS86" s="176">
        <v>823.08</v>
      </c>
      <c r="DT86" s="51">
        <f t="shared" si="169"/>
        <v>1.6308974096812392E-2</v>
      </c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176">
        <v>692.38</v>
      </c>
      <c r="EO86" s="51">
        <f t="shared" si="170"/>
        <v>1.3719210143790352E-2</v>
      </c>
      <c r="EP86" s="176">
        <v>547.46</v>
      </c>
      <c r="EQ86" s="51">
        <f t="shared" si="171"/>
        <v>1.0847683043010294E-2</v>
      </c>
      <c r="ER86" s="213">
        <v>355.6</v>
      </c>
      <c r="ES86" s="51">
        <f t="shared" si="172"/>
        <v>7.0460601506858222E-3</v>
      </c>
      <c r="ET86" s="176">
        <v>212</v>
      </c>
      <c r="EU86" s="51">
        <f t="shared" si="173"/>
        <v>4.2006882788115704E-3</v>
      </c>
      <c r="EV86" s="176">
        <v>174.05</v>
      </c>
      <c r="EW86" s="51">
        <f t="shared" ref="EW86" si="215">EV86/EV$76</f>
        <v>3.4920782691008952E-3</v>
      </c>
      <c r="EX86" s="176">
        <v>147.1</v>
      </c>
      <c r="EY86" s="51">
        <f t="shared" si="189"/>
        <v>2.9962775681469825E-3</v>
      </c>
      <c r="EZ86" s="176">
        <v>140.62</v>
      </c>
      <c r="FA86" s="51">
        <f t="shared" si="189"/>
        <v>2.3218911970569341E-3</v>
      </c>
      <c r="FB86" s="176">
        <v>205.68</v>
      </c>
      <c r="FC86" s="51">
        <f t="shared" si="190"/>
        <v>2.6433141360630787E-3</v>
      </c>
      <c r="FD86" s="176">
        <v>470.36</v>
      </c>
      <c r="FE86" s="51">
        <f t="shared" si="191"/>
        <v>6.0754523232121006E-3</v>
      </c>
      <c r="FF86" s="176">
        <v>232.26</v>
      </c>
      <c r="FG86" s="51">
        <f t="shared" si="192"/>
        <v>2.7456269867258045E-3</v>
      </c>
      <c r="FH86" s="176">
        <v>146</v>
      </c>
      <c r="FI86" s="51">
        <f t="shared" si="193"/>
        <v>1.7638653102784057E-3</v>
      </c>
      <c r="FJ86" s="176">
        <v>120.18</v>
      </c>
      <c r="FK86" s="51">
        <f t="shared" si="194"/>
        <v>1.4597736877068183E-3</v>
      </c>
      <c r="FL86" s="176">
        <v>535.72</v>
      </c>
      <c r="FM86" s="51">
        <f t="shared" si="195"/>
        <v>6.108836078120853E-3</v>
      </c>
      <c r="FN86" s="176">
        <v>97.95</v>
      </c>
      <c r="FO86" s="51">
        <f t="shared" si="196"/>
        <v>1.218145101415088E-3</v>
      </c>
      <c r="FP86" s="176"/>
      <c r="FQ86" s="51">
        <f t="shared" si="197"/>
        <v>0</v>
      </c>
      <c r="FR86" s="45"/>
      <c r="FS86" s="45"/>
      <c r="FT86" s="45"/>
      <c r="FU86" s="45"/>
      <c r="FV86" s="45"/>
      <c r="FW86" s="45"/>
      <c r="FX86" s="226"/>
      <c r="FY86" s="239"/>
      <c r="FZ86" s="239"/>
      <c r="GA86" s="239"/>
      <c r="GB86" s="239"/>
      <c r="GC86" s="239"/>
      <c r="GD86" s="239"/>
      <c r="GE86" s="239"/>
      <c r="GF86" s="264"/>
      <c r="GG86" s="264"/>
    </row>
    <row r="87" spans="1:189" ht="15" customHeight="1" outlineLevel="1" x14ac:dyDescent="0.3">
      <c r="A87" s="1"/>
      <c r="B87" s="301"/>
      <c r="C87" s="301"/>
      <c r="D87" s="301"/>
      <c r="E87" s="301"/>
      <c r="F87" s="301"/>
      <c r="G87" s="25" t="str">
        <f>G241</f>
        <v>HugMe RA (Mensal + Licenças)</v>
      </c>
      <c r="H87" s="33">
        <f t="shared" ref="H87" si="216">H241</f>
        <v>0</v>
      </c>
      <c r="I87" s="284">
        <f t="shared" si="205"/>
        <v>43920</v>
      </c>
      <c r="J87" s="281"/>
      <c r="K87" s="471">
        <f t="shared" si="206"/>
        <v>3660</v>
      </c>
      <c r="L87" s="281"/>
      <c r="M87" s="471">
        <f t="shared" si="207"/>
        <v>3660</v>
      </c>
      <c r="N87" s="281"/>
      <c r="O87" s="471">
        <f t="shared" si="208"/>
        <v>3660</v>
      </c>
      <c r="P87" s="281"/>
      <c r="Q87" s="471">
        <f t="shared" si="209"/>
        <v>3660</v>
      </c>
      <c r="R87" s="281"/>
      <c r="S87" s="471">
        <f t="shared" si="210"/>
        <v>3660</v>
      </c>
      <c r="T87" s="281"/>
      <c r="U87" s="471">
        <f t="shared" si="211"/>
        <v>3660</v>
      </c>
      <c r="V87" s="281"/>
      <c r="W87" s="471">
        <f t="shared" si="212"/>
        <v>3660</v>
      </c>
      <c r="X87" s="281"/>
      <c r="Y87" s="471">
        <f t="shared" ref="Y87:Y88" si="217">Y241</f>
        <v>3660</v>
      </c>
      <c r="Z87" s="281"/>
      <c r="AA87" s="471">
        <f t="shared" ref="AA87:AA88" si="218">AA241</f>
        <v>3660</v>
      </c>
      <c r="AB87" s="281"/>
      <c r="AC87" s="471">
        <f t="shared" ref="AC87:AC88" si="219">AC241</f>
        <v>3660</v>
      </c>
      <c r="AD87" s="281"/>
      <c r="AE87" s="471">
        <f t="shared" ref="AE87:AE88" si="220">AE241</f>
        <v>3660</v>
      </c>
      <c r="AF87" s="281"/>
      <c r="AG87" s="471">
        <f t="shared" ref="AG87:AG88" si="221">AG241</f>
        <v>3660</v>
      </c>
      <c r="AH87" s="281"/>
      <c r="AI87" s="471">
        <f t="shared" ref="AI87:AI89" si="222">AG87</f>
        <v>3660</v>
      </c>
      <c r="AJ87" s="281"/>
      <c r="AK87" s="471">
        <f t="shared" ref="AK87:AK89" si="223">AI87</f>
        <v>3660</v>
      </c>
      <c r="AL87" s="281"/>
      <c r="AM87" s="471">
        <v>4032</v>
      </c>
      <c r="AN87" s="281"/>
      <c r="AO87" s="471">
        <v>4032</v>
      </c>
      <c r="AP87" s="281"/>
      <c r="AQ87" s="471">
        <v>2500</v>
      </c>
      <c r="AR87" s="281"/>
      <c r="AS87" s="472">
        <v>2500</v>
      </c>
      <c r="AT87" s="281"/>
      <c r="AU87" s="472">
        <v>2500</v>
      </c>
      <c r="AV87" s="281"/>
      <c r="AW87" s="471">
        <f t="shared" ref="AW87:AW88" si="224">AU87</f>
        <v>2500</v>
      </c>
      <c r="AX87" s="281"/>
      <c r="AY87" s="472">
        <v>2500</v>
      </c>
      <c r="AZ87" s="281"/>
      <c r="BA87" s="472">
        <f t="shared" ref="BA87:BA88" si="225">AY87</f>
        <v>2500</v>
      </c>
      <c r="BB87" s="281"/>
      <c r="BC87" s="472">
        <f t="shared" ref="BC87:BC88" si="226">BA87</f>
        <v>2500</v>
      </c>
      <c r="BD87" s="281"/>
      <c r="BE87" s="472">
        <f t="shared" ref="BE87:BE88" si="227">BC87</f>
        <v>2500</v>
      </c>
      <c r="BF87" s="281"/>
      <c r="BG87" s="471">
        <f t="shared" ref="BG87:BG88" si="228">BE87</f>
        <v>2500</v>
      </c>
      <c r="BH87" s="281"/>
      <c r="BI87" s="471">
        <v>2500</v>
      </c>
      <c r="BJ87" s="281"/>
      <c r="BK87" s="50">
        <v>2500</v>
      </c>
      <c r="BL87" s="51">
        <f t="shared" si="139"/>
        <v>4.5943239516625656E-2</v>
      </c>
      <c r="BM87" s="50">
        <v>2500</v>
      </c>
      <c r="BN87" s="51">
        <f t="shared" si="140"/>
        <v>4.3864397251421772E-2</v>
      </c>
      <c r="BO87" s="50">
        <v>2500</v>
      </c>
      <c r="BP87" s="51">
        <f t="shared" si="141"/>
        <v>4.4476538714781029E-2</v>
      </c>
      <c r="BQ87" s="50">
        <v>2500</v>
      </c>
      <c r="BR87" s="51">
        <f t="shared" si="142"/>
        <v>4.2882595515406775E-2</v>
      </c>
      <c r="BS87" s="50">
        <v>2500</v>
      </c>
      <c r="BT87" s="51">
        <f t="shared" si="143"/>
        <v>4.4754455574579181E-2</v>
      </c>
      <c r="BU87" s="50">
        <v>2500</v>
      </c>
      <c r="BV87" s="51">
        <f t="shared" si="144"/>
        <v>4.4585938415405042E-2</v>
      </c>
      <c r="BW87" s="50">
        <v>2898</v>
      </c>
      <c r="BX87" s="51">
        <f t="shared" si="145"/>
        <v>5.5922044130172932E-2</v>
      </c>
      <c r="BY87" s="50">
        <v>2898</v>
      </c>
      <c r="BZ87" s="51">
        <f t="shared" si="146"/>
        <v>5.4434710185883826E-2</v>
      </c>
      <c r="CA87" s="50">
        <v>2898</v>
      </c>
      <c r="CB87" s="51">
        <f t="shared" si="147"/>
        <v>5.4228747635912906E-2</v>
      </c>
      <c r="CC87" s="50">
        <v>2898</v>
      </c>
      <c r="CD87" s="51">
        <f t="shared" si="148"/>
        <v>5.1061283583409695E-2</v>
      </c>
      <c r="CE87" s="50">
        <v>2898</v>
      </c>
      <c r="CF87" s="51">
        <f t="shared" si="149"/>
        <v>5.287865716675498E-2</v>
      </c>
      <c r="CG87" s="50">
        <v>2898</v>
      </c>
      <c r="CH87" s="51">
        <f t="shared" si="150"/>
        <v>4.7405621835637936E-2</v>
      </c>
      <c r="CI87" s="52">
        <v>2898</v>
      </c>
      <c r="CJ87" s="51">
        <f t="shared" si="151"/>
        <v>3.9020339048776234E-2</v>
      </c>
      <c r="CK87" s="52">
        <v>2898</v>
      </c>
      <c r="CL87" s="51">
        <f t="shared" si="152"/>
        <v>4.4387752288772196E-2</v>
      </c>
      <c r="CM87" s="52">
        <v>2898</v>
      </c>
      <c r="CN87" s="51">
        <f t="shared" si="153"/>
        <v>4.1868417878016692E-2</v>
      </c>
      <c r="CO87" s="52">
        <v>2898</v>
      </c>
      <c r="CP87" s="51">
        <f t="shared" si="154"/>
        <v>4.9655351083722037E-2</v>
      </c>
      <c r="CQ87" s="52">
        <v>2898</v>
      </c>
      <c r="CR87" s="51">
        <f t="shared" si="155"/>
        <v>4.1480323683933673E-2</v>
      </c>
      <c r="CS87" s="52">
        <v>2969.46</v>
      </c>
      <c r="CT87" s="51">
        <f t="shared" si="156"/>
        <v>5.8838565171697194E-2</v>
      </c>
      <c r="CU87" s="52">
        <v>2969.46</v>
      </c>
      <c r="CV87" s="51">
        <f t="shared" si="157"/>
        <v>5.8838565171697194E-2</v>
      </c>
      <c r="CW87" s="176">
        <v>2969.46</v>
      </c>
      <c r="CX87" s="51">
        <f t="shared" si="158"/>
        <v>5.8838565171697194E-2</v>
      </c>
      <c r="CY87" s="176">
        <f>2969.46+475</f>
        <v>3444.46</v>
      </c>
      <c r="CZ87" s="51">
        <f t="shared" si="159"/>
        <v>6.8250484664317448E-2</v>
      </c>
      <c r="DA87" s="176">
        <f>2969.46+475</f>
        <v>3444.46</v>
      </c>
      <c r="DB87" s="51">
        <f t="shared" si="160"/>
        <v>6.8250484664317448E-2</v>
      </c>
      <c r="DC87" s="176">
        <f>2969.46+475</f>
        <v>3444.46</v>
      </c>
      <c r="DD87" s="51">
        <f t="shared" si="161"/>
        <v>6.8250484664317448E-2</v>
      </c>
      <c r="DE87" s="176">
        <f>2969.46+475</f>
        <v>3444.46</v>
      </c>
      <c r="DF87" s="51">
        <f t="shared" si="162"/>
        <v>6.8250484664317448E-2</v>
      </c>
      <c r="DG87" s="176">
        <f>2969.46+475</f>
        <v>3444.46</v>
      </c>
      <c r="DH87" s="51">
        <f t="shared" si="163"/>
        <v>6.8250484664317448E-2</v>
      </c>
      <c r="DI87" s="176">
        <v>2969</v>
      </c>
      <c r="DJ87" s="51">
        <f t="shared" si="164"/>
        <v>5.8829450470714861E-2</v>
      </c>
      <c r="DK87" s="176">
        <v>2969</v>
      </c>
      <c r="DL87" s="51">
        <f t="shared" si="165"/>
        <v>5.8829450470714861E-2</v>
      </c>
      <c r="DM87" s="176">
        <v>2969</v>
      </c>
      <c r="DN87" s="51">
        <f t="shared" si="166"/>
        <v>5.8829450470714861E-2</v>
      </c>
      <c r="DO87" s="176">
        <v>5210</v>
      </c>
      <c r="DP87" s="51">
        <f t="shared" si="167"/>
        <v>0.10323389590852962</v>
      </c>
      <c r="DQ87" s="176">
        <v>5210</v>
      </c>
      <c r="DR87" s="51">
        <f t="shared" si="168"/>
        <v>0.10323389590852962</v>
      </c>
      <c r="DS87" s="176">
        <v>5210</v>
      </c>
      <c r="DT87" s="51">
        <f t="shared" si="169"/>
        <v>0.10323389590852962</v>
      </c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176">
        <v>5210</v>
      </c>
      <c r="EO87" s="51">
        <f t="shared" si="170"/>
        <v>0.10323389590852962</v>
      </c>
      <c r="EP87" s="176">
        <v>5210</v>
      </c>
      <c r="EQ87" s="51">
        <f t="shared" si="171"/>
        <v>0.10323389590852962</v>
      </c>
      <c r="ER87" s="213">
        <v>5210</v>
      </c>
      <c r="ES87" s="51">
        <f t="shared" si="172"/>
        <v>0.10323389590852962</v>
      </c>
      <c r="ET87" s="176">
        <v>5210</v>
      </c>
      <c r="EU87" s="51">
        <f t="shared" si="173"/>
        <v>0.10323389590852962</v>
      </c>
      <c r="EV87" s="176">
        <v>5210</v>
      </c>
      <c r="EW87" s="51">
        <f t="shared" ref="EW87" si="229">EV87/EV$76</f>
        <v>0.10453161609891216</v>
      </c>
      <c r="EX87" s="176">
        <v>5210</v>
      </c>
      <c r="EY87" s="51">
        <f t="shared" si="189"/>
        <v>0.10612240741023643</v>
      </c>
      <c r="EZ87" s="176">
        <v>5210</v>
      </c>
      <c r="FA87" s="51">
        <f t="shared" si="189"/>
        <v>8.6026547693547339E-2</v>
      </c>
      <c r="FB87" s="176">
        <v>6274</v>
      </c>
      <c r="FC87" s="51">
        <f t="shared" si="190"/>
        <v>8.0630848355016313E-2</v>
      </c>
      <c r="FD87" s="176">
        <v>6274</v>
      </c>
      <c r="FE87" s="51">
        <f t="shared" si="191"/>
        <v>8.1038753031364735E-2</v>
      </c>
      <c r="FF87" s="176">
        <v>6274</v>
      </c>
      <c r="FG87" s="51">
        <f t="shared" si="192"/>
        <v>7.4167156267621187E-2</v>
      </c>
      <c r="FH87" s="176">
        <v>6274</v>
      </c>
      <c r="FI87" s="51">
        <f t="shared" si="193"/>
        <v>7.5797883264977522E-2</v>
      </c>
      <c r="FJ87" s="176">
        <v>6274</v>
      </c>
      <c r="FK87" s="51">
        <f t="shared" si="194"/>
        <v>7.6207523021073198E-2</v>
      </c>
      <c r="FL87" s="176">
        <v>6274</v>
      </c>
      <c r="FM87" s="51">
        <f t="shared" si="195"/>
        <v>7.1542666979261982E-2</v>
      </c>
      <c r="FN87" s="176">
        <v>6274</v>
      </c>
      <c r="FO87" s="51">
        <f t="shared" si="196"/>
        <v>7.8025955755776019E-2</v>
      </c>
      <c r="FP87" s="176">
        <v>6274</v>
      </c>
      <c r="FQ87" s="51">
        <f t="shared" si="197"/>
        <v>0.10432997672613398</v>
      </c>
      <c r="FR87" s="36"/>
      <c r="FS87" s="36"/>
      <c r="FT87" s="36"/>
      <c r="FU87" s="36"/>
      <c r="FV87" s="36"/>
      <c r="FW87" s="36"/>
      <c r="FX87" s="224"/>
      <c r="FY87" s="237"/>
      <c r="FZ87" s="237"/>
      <c r="GA87" s="237"/>
      <c r="GB87" s="237"/>
      <c r="GC87" s="237"/>
      <c r="GD87" s="237"/>
      <c r="GE87" s="237"/>
      <c r="GF87" s="260"/>
      <c r="GG87" s="260"/>
    </row>
    <row r="88" spans="1:189" ht="15" hidden="1" customHeight="1" outlineLevel="1" x14ac:dyDescent="0.3">
      <c r="A88" s="1"/>
      <c r="B88" s="301"/>
      <c r="C88" s="301"/>
      <c r="D88" s="301"/>
      <c r="E88" s="301"/>
      <c r="F88" s="301"/>
      <c r="G88" s="25" t="s">
        <v>78</v>
      </c>
      <c r="H88" s="33">
        <f>H242</f>
        <v>0</v>
      </c>
      <c r="I88" s="284">
        <f t="shared" si="205"/>
        <v>14400</v>
      </c>
      <c r="J88" s="281"/>
      <c r="K88" s="471">
        <f t="shared" si="206"/>
        <v>1200</v>
      </c>
      <c r="L88" s="281"/>
      <c r="M88" s="471">
        <f t="shared" si="207"/>
        <v>1200</v>
      </c>
      <c r="N88" s="281"/>
      <c r="O88" s="471">
        <f t="shared" si="208"/>
        <v>1200</v>
      </c>
      <c r="P88" s="281"/>
      <c r="Q88" s="471">
        <f t="shared" si="209"/>
        <v>1200</v>
      </c>
      <c r="R88" s="281"/>
      <c r="S88" s="471">
        <f t="shared" si="210"/>
        <v>1200</v>
      </c>
      <c r="T88" s="281"/>
      <c r="U88" s="471">
        <f t="shared" si="211"/>
        <v>1200</v>
      </c>
      <c r="V88" s="281"/>
      <c r="W88" s="471">
        <f t="shared" si="212"/>
        <v>1200</v>
      </c>
      <c r="X88" s="281"/>
      <c r="Y88" s="471">
        <f t="shared" si="217"/>
        <v>1200</v>
      </c>
      <c r="Z88" s="281"/>
      <c r="AA88" s="471">
        <f t="shared" si="218"/>
        <v>1200</v>
      </c>
      <c r="AB88" s="281"/>
      <c r="AC88" s="471">
        <f t="shared" si="219"/>
        <v>1200</v>
      </c>
      <c r="AD88" s="281"/>
      <c r="AE88" s="471">
        <f t="shared" si="220"/>
        <v>1200</v>
      </c>
      <c r="AF88" s="281"/>
      <c r="AG88" s="471">
        <f t="shared" si="221"/>
        <v>1200</v>
      </c>
      <c r="AH88" s="281"/>
      <c r="AI88" s="471">
        <f t="shared" si="222"/>
        <v>1200</v>
      </c>
      <c r="AJ88" s="281"/>
      <c r="AK88" s="471">
        <f t="shared" si="223"/>
        <v>1200</v>
      </c>
      <c r="AL88" s="281"/>
      <c r="AM88" s="471">
        <v>1264</v>
      </c>
      <c r="AN88" s="281"/>
      <c r="AO88" s="471">
        <v>1264</v>
      </c>
      <c r="AP88" s="281"/>
      <c r="AQ88" s="471">
        <v>1332</v>
      </c>
      <c r="AR88" s="281"/>
      <c r="AS88" s="472">
        <v>1332.54</v>
      </c>
      <c r="AT88" s="281"/>
      <c r="AU88" s="472">
        <v>1332.54</v>
      </c>
      <c r="AV88" s="281"/>
      <c r="AW88" s="471">
        <f t="shared" si="224"/>
        <v>1332.54</v>
      </c>
      <c r="AX88" s="281"/>
      <c r="AY88" s="472">
        <v>1332.54</v>
      </c>
      <c r="AZ88" s="281"/>
      <c r="BA88" s="472">
        <f t="shared" si="225"/>
        <v>1332.54</v>
      </c>
      <c r="BB88" s="281"/>
      <c r="BC88" s="472">
        <f t="shared" si="226"/>
        <v>1332.54</v>
      </c>
      <c r="BD88" s="281"/>
      <c r="BE88" s="472">
        <f t="shared" si="227"/>
        <v>1332.54</v>
      </c>
      <c r="BF88" s="281"/>
      <c r="BG88" s="471">
        <f t="shared" si="228"/>
        <v>1332.54</v>
      </c>
      <c r="BH88" s="281"/>
      <c r="BI88" s="471">
        <v>1332.54</v>
      </c>
      <c r="BJ88" s="281"/>
      <c r="BK88" s="50">
        <v>1332.54</v>
      </c>
      <c r="BL88" s="51">
        <f t="shared" si="139"/>
        <v>2.4488481754193742E-2</v>
      </c>
      <c r="BM88" s="50">
        <v>1332.54</v>
      </c>
      <c r="BN88" s="51">
        <f t="shared" si="140"/>
        <v>2.3380425565363825E-2</v>
      </c>
      <c r="BO88" s="50">
        <v>1332.54</v>
      </c>
      <c r="BP88" s="51">
        <f t="shared" si="141"/>
        <v>2.3706706759597723E-2</v>
      </c>
      <c r="BQ88" s="50">
        <v>1332.54</v>
      </c>
      <c r="BR88" s="51">
        <f t="shared" si="142"/>
        <v>2.2857109531240056E-2</v>
      </c>
      <c r="BS88" s="50">
        <v>1332.54</v>
      </c>
      <c r="BT88" s="51">
        <f t="shared" si="143"/>
        <v>2.3854840892539898E-2</v>
      </c>
      <c r="BU88" s="50">
        <v>1332.54</v>
      </c>
      <c r="BV88" s="51">
        <f t="shared" si="144"/>
        <v>2.3765018550425534E-2</v>
      </c>
      <c r="BW88" s="50">
        <v>1332.5</v>
      </c>
      <c r="BX88" s="51">
        <f t="shared" si="145"/>
        <v>2.571294817234487E-2</v>
      </c>
      <c r="BY88" s="50">
        <v>1332.5</v>
      </c>
      <c r="BZ88" s="51">
        <f t="shared" si="146"/>
        <v>2.5029072230051828E-2</v>
      </c>
      <c r="CA88" s="50">
        <v>1332.5</v>
      </c>
      <c r="CB88" s="51">
        <f t="shared" si="147"/>
        <v>2.4934370678003432E-2</v>
      </c>
      <c r="CC88" s="50">
        <v>1332.5</v>
      </c>
      <c r="CD88" s="51">
        <f t="shared" si="148"/>
        <v>2.3477971143855563E-2</v>
      </c>
      <c r="CE88" s="50">
        <v>1332.5</v>
      </c>
      <c r="CF88" s="51">
        <f t="shared" si="149"/>
        <v>2.4313599266632509E-2</v>
      </c>
      <c r="CG88" s="50">
        <v>1332.5</v>
      </c>
      <c r="CH88" s="51">
        <f t="shared" si="150"/>
        <v>2.1797098376807298E-2</v>
      </c>
      <c r="CI88" s="52">
        <v>1332.5</v>
      </c>
      <c r="CJ88" s="51">
        <f t="shared" si="151"/>
        <v>1.7941546508797215E-2</v>
      </c>
      <c r="CK88" s="52">
        <v>1332.5</v>
      </c>
      <c r="CL88" s="51">
        <f t="shared" si="152"/>
        <v>2.0409482375703572E-2</v>
      </c>
      <c r="CM88" s="52">
        <v>1332.5</v>
      </c>
      <c r="CN88" s="51">
        <f t="shared" si="153"/>
        <v>1.925109276137241E-2</v>
      </c>
      <c r="CO88" s="52">
        <v>1425.04</v>
      </c>
      <c r="CP88" s="51">
        <f t="shared" si="154"/>
        <v>2.4417136476310303E-2</v>
      </c>
      <c r="CQ88" s="52">
        <v>1425.04</v>
      </c>
      <c r="CR88" s="51">
        <f t="shared" si="155"/>
        <v>2.0397212029866406E-2</v>
      </c>
      <c r="CS88" s="52">
        <v>1425.04</v>
      </c>
      <c r="CT88" s="51">
        <f t="shared" si="156"/>
        <v>2.8236551060554903E-2</v>
      </c>
      <c r="CU88" s="52">
        <v>1425.04</v>
      </c>
      <c r="CV88" s="51">
        <f t="shared" si="157"/>
        <v>2.8236551060554903E-2</v>
      </c>
      <c r="CW88" s="176">
        <v>1425.04</v>
      </c>
      <c r="CX88" s="51">
        <f t="shared" si="158"/>
        <v>2.8236551060554903E-2</v>
      </c>
      <c r="CY88" s="176">
        <f>1425.04+1425.04</f>
        <v>2850.08</v>
      </c>
      <c r="CZ88" s="51">
        <f t="shared" si="159"/>
        <v>5.6473102121109807E-2</v>
      </c>
      <c r="DA88" s="176">
        <v>1425.04</v>
      </c>
      <c r="DB88" s="51">
        <f t="shared" si="160"/>
        <v>2.8236551060554903E-2</v>
      </c>
      <c r="DC88" s="176">
        <v>1425.04</v>
      </c>
      <c r="DD88" s="51">
        <f t="shared" si="161"/>
        <v>2.8236551060554903E-2</v>
      </c>
      <c r="DE88" s="176">
        <v>1425.04</v>
      </c>
      <c r="DF88" s="51">
        <f t="shared" si="162"/>
        <v>2.8236551060554903E-2</v>
      </c>
      <c r="DG88" s="176">
        <v>1425.04</v>
      </c>
      <c r="DH88" s="51">
        <f t="shared" si="163"/>
        <v>2.8236551060554903E-2</v>
      </c>
      <c r="DI88" s="176">
        <v>1425.04</v>
      </c>
      <c r="DJ88" s="51">
        <f t="shared" si="164"/>
        <v>2.8236551060554903E-2</v>
      </c>
      <c r="DK88" s="176">
        <v>1425.04</v>
      </c>
      <c r="DL88" s="51">
        <f t="shared" si="165"/>
        <v>2.8236551060554903E-2</v>
      </c>
      <c r="DM88" s="176">
        <v>1425.04</v>
      </c>
      <c r="DN88" s="51">
        <f t="shared" si="166"/>
        <v>2.8236551060554903E-2</v>
      </c>
      <c r="DO88" s="176">
        <v>1990</v>
      </c>
      <c r="DP88" s="51">
        <f t="shared" si="167"/>
        <v>3.9430989032240682E-2</v>
      </c>
      <c r="DQ88" s="176">
        <v>1990</v>
      </c>
      <c r="DR88" s="51">
        <f t="shared" si="168"/>
        <v>3.9430989032240682E-2</v>
      </c>
      <c r="DS88" s="176">
        <v>1990</v>
      </c>
      <c r="DT88" s="51">
        <f t="shared" si="169"/>
        <v>3.9430989032240682E-2</v>
      </c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176">
        <v>1990</v>
      </c>
      <c r="EO88" s="51">
        <f t="shared" si="170"/>
        <v>3.9430989032240682E-2</v>
      </c>
      <c r="EP88" s="176">
        <v>1990</v>
      </c>
      <c r="EQ88" s="51">
        <f t="shared" si="171"/>
        <v>3.9430989032240682E-2</v>
      </c>
      <c r="ER88" s="213">
        <v>1990</v>
      </c>
      <c r="ES88" s="51">
        <f t="shared" si="172"/>
        <v>3.9430989032240682E-2</v>
      </c>
      <c r="ET88" s="176">
        <v>1990</v>
      </c>
      <c r="EU88" s="51">
        <f t="shared" si="173"/>
        <v>3.9430989032240682E-2</v>
      </c>
      <c r="EV88" s="176">
        <v>1990</v>
      </c>
      <c r="EW88" s="51">
        <f t="shared" ref="EW88" si="230">EV88/EV$76</f>
        <v>3.992666334680138E-2</v>
      </c>
      <c r="EX88" s="176">
        <v>1990</v>
      </c>
      <c r="EY88" s="51">
        <f t="shared" si="189"/>
        <v>4.053427845419779E-2</v>
      </c>
      <c r="EZ88" s="176">
        <v>1990</v>
      </c>
      <c r="FA88" s="51">
        <f t="shared" si="189"/>
        <v>3.285850861999217E-2</v>
      </c>
      <c r="FB88" s="176">
        <v>0</v>
      </c>
      <c r="FC88" s="51">
        <f t="shared" si="190"/>
        <v>0</v>
      </c>
      <c r="FD88" s="176">
        <v>0</v>
      </c>
      <c r="FE88" s="51">
        <f t="shared" si="191"/>
        <v>0</v>
      </c>
      <c r="FF88" s="176">
        <v>0</v>
      </c>
      <c r="FG88" s="51">
        <f t="shared" si="192"/>
        <v>0</v>
      </c>
      <c r="FH88" s="176">
        <v>0</v>
      </c>
      <c r="FI88" s="51">
        <f t="shared" si="193"/>
        <v>0</v>
      </c>
      <c r="FJ88" s="176">
        <v>0</v>
      </c>
      <c r="FK88" s="51">
        <f t="shared" si="194"/>
        <v>0</v>
      </c>
      <c r="FL88" s="176">
        <v>0</v>
      </c>
      <c r="FM88" s="51">
        <f t="shared" si="195"/>
        <v>0</v>
      </c>
      <c r="FN88" s="176">
        <v>0</v>
      </c>
      <c r="FO88" s="51">
        <f t="shared" si="196"/>
        <v>0</v>
      </c>
      <c r="FP88" s="176">
        <v>0</v>
      </c>
      <c r="FQ88" s="51">
        <f t="shared" si="197"/>
        <v>0</v>
      </c>
      <c r="FR88" s="36"/>
      <c r="FS88" s="36"/>
      <c r="FT88" s="36"/>
      <c r="FU88" s="36"/>
      <c r="FV88" s="36"/>
      <c r="FW88" s="36"/>
      <c r="FX88" s="224"/>
      <c r="FY88" s="237"/>
      <c r="FZ88" s="237"/>
      <c r="GA88" s="237"/>
      <c r="GB88" s="237"/>
      <c r="GC88" s="237"/>
      <c r="GD88" s="237"/>
      <c r="GE88" s="237"/>
      <c r="GF88" s="260"/>
      <c r="GG88" s="260"/>
    </row>
    <row r="89" spans="1:189" ht="15" customHeight="1" outlineLevel="1" x14ac:dyDescent="0.3">
      <c r="A89" s="1"/>
      <c r="B89" s="301"/>
      <c r="C89" s="301"/>
      <c r="D89" s="301"/>
      <c r="E89" s="301"/>
      <c r="F89" s="301"/>
      <c r="G89" s="25" t="s">
        <v>406</v>
      </c>
      <c r="H89" s="33">
        <f>H251</f>
        <v>0</v>
      </c>
      <c r="I89" s="284">
        <f t="shared" si="205"/>
        <v>8613.9</v>
      </c>
      <c r="J89" s="281"/>
      <c r="K89" s="471">
        <f>K251</f>
        <v>835.65</v>
      </c>
      <c r="L89" s="281"/>
      <c r="M89" s="471">
        <f>M251</f>
        <v>835.65</v>
      </c>
      <c r="N89" s="281"/>
      <c r="O89" s="471">
        <f>O251</f>
        <v>835.65</v>
      </c>
      <c r="P89" s="281"/>
      <c r="Q89" s="471">
        <f>Q251</f>
        <v>835.65</v>
      </c>
      <c r="R89" s="281"/>
      <c r="S89" s="471">
        <f>S251</f>
        <v>835.65</v>
      </c>
      <c r="T89" s="281"/>
      <c r="U89" s="471">
        <f>U251</f>
        <v>835.65</v>
      </c>
      <c r="V89" s="281"/>
      <c r="W89" s="471">
        <f>W251</f>
        <v>600</v>
      </c>
      <c r="X89" s="281"/>
      <c r="Y89" s="471">
        <f>Y251</f>
        <v>600</v>
      </c>
      <c r="Z89" s="281"/>
      <c r="AA89" s="471">
        <f>AA251</f>
        <v>600</v>
      </c>
      <c r="AB89" s="281"/>
      <c r="AC89" s="471">
        <f>AC251</f>
        <v>600</v>
      </c>
      <c r="AD89" s="281"/>
      <c r="AE89" s="471">
        <v>600</v>
      </c>
      <c r="AF89" s="281"/>
      <c r="AG89" s="471">
        <v>600</v>
      </c>
      <c r="AH89" s="281"/>
      <c r="AI89" s="471">
        <f t="shared" si="222"/>
        <v>600</v>
      </c>
      <c r="AJ89" s="281"/>
      <c r="AK89" s="471">
        <f t="shared" si="223"/>
        <v>600</v>
      </c>
      <c r="AL89" s="281"/>
      <c r="AM89" s="471">
        <f>AK89</f>
        <v>600</v>
      </c>
      <c r="AN89" s="281"/>
      <c r="AO89" s="471">
        <f>AM89</f>
        <v>600</v>
      </c>
      <c r="AP89" s="281"/>
      <c r="AQ89" s="471">
        <f>AO89</f>
        <v>600</v>
      </c>
      <c r="AR89" s="281"/>
      <c r="AS89" s="472">
        <v>542.38</v>
      </c>
      <c r="AT89" s="281"/>
      <c r="AU89" s="472">
        <v>572.47</v>
      </c>
      <c r="AV89" s="281"/>
      <c r="AW89" s="472">
        <v>411.79</v>
      </c>
      <c r="AX89" s="281"/>
      <c r="AY89" s="472">
        <v>370</v>
      </c>
      <c r="AZ89" s="281"/>
      <c r="BA89" s="472">
        <v>364</v>
      </c>
      <c r="BB89" s="281"/>
      <c r="BC89" s="472">
        <v>401.04</v>
      </c>
      <c r="BD89" s="281"/>
      <c r="BE89" s="472">
        <v>319.58</v>
      </c>
      <c r="BF89" s="281"/>
      <c r="BG89" s="471">
        <f>312.5+650</f>
        <v>962.5</v>
      </c>
      <c r="BH89" s="281"/>
      <c r="BI89" s="471">
        <f>546+650</f>
        <v>1196</v>
      </c>
      <c r="BJ89" s="281"/>
      <c r="BK89" s="50">
        <f>440+650</f>
        <v>1090</v>
      </c>
      <c r="BL89" s="51">
        <f t="shared" si="139"/>
        <v>2.0031252429248785E-2</v>
      </c>
      <c r="BM89" s="50">
        <f>313+650</f>
        <v>963</v>
      </c>
      <c r="BN89" s="51">
        <f t="shared" si="140"/>
        <v>1.6896565821247666E-2</v>
      </c>
      <c r="BO89" s="50">
        <f>481+650</f>
        <v>1131</v>
      </c>
      <c r="BP89" s="51">
        <f t="shared" si="141"/>
        <v>2.0121186114566939E-2</v>
      </c>
      <c r="BQ89" s="50">
        <f>601+650</f>
        <v>1251</v>
      </c>
      <c r="BR89" s="51">
        <f t="shared" si="142"/>
        <v>2.1458450795909551E-2</v>
      </c>
      <c r="BS89" s="50">
        <f>721+650</f>
        <v>1371</v>
      </c>
      <c r="BT89" s="51">
        <f t="shared" si="143"/>
        <v>2.4543343437099224E-2</v>
      </c>
      <c r="BU89" s="52">
        <f>681+650</f>
        <v>1331</v>
      </c>
      <c r="BV89" s="51">
        <f t="shared" si="144"/>
        <v>2.3737553612361646E-2</v>
      </c>
      <c r="BW89" s="52">
        <f>727+650</f>
        <v>1377</v>
      </c>
      <c r="BX89" s="51">
        <f t="shared" si="145"/>
        <v>2.6571654509057328E-2</v>
      </c>
      <c r="BY89" s="53">
        <f>1027+650</f>
        <v>1677</v>
      </c>
      <c r="BZ89" s="51">
        <f t="shared" si="146"/>
        <v>3.1500003099284739E-2</v>
      </c>
      <c r="CA89" s="53">
        <f>1416+650</f>
        <v>2066</v>
      </c>
      <c r="CB89" s="51">
        <f t="shared" si="147"/>
        <v>3.8659969846720516E-2</v>
      </c>
      <c r="CC89" s="53">
        <f>1416+650</f>
        <v>2066</v>
      </c>
      <c r="CD89" s="51">
        <f t="shared" si="148"/>
        <v>3.6401867454563294E-2</v>
      </c>
      <c r="CE89" s="53">
        <f>1416+650+281</f>
        <v>2347</v>
      </c>
      <c r="CF89" s="51">
        <f t="shared" si="149"/>
        <v>4.2824778595712196E-2</v>
      </c>
      <c r="CG89" s="52">
        <f>2249+650</f>
        <v>2899</v>
      </c>
      <c r="CH89" s="51">
        <f t="shared" si="150"/>
        <v>4.7421979883200273E-2</v>
      </c>
      <c r="CI89" s="52">
        <f>1187+650</f>
        <v>1837</v>
      </c>
      <c r="CJ89" s="51">
        <f t="shared" si="151"/>
        <v>2.4734424717944081E-2</v>
      </c>
      <c r="CK89" s="52">
        <f>739+650</f>
        <v>1389</v>
      </c>
      <c r="CL89" s="51">
        <f t="shared" si="152"/>
        <v>2.1274875061802822E-2</v>
      </c>
      <c r="CM89" s="52">
        <f>1613+650</f>
        <v>2263</v>
      </c>
      <c r="CN89" s="51">
        <f t="shared" si="153"/>
        <v>3.2694351158713518E-2</v>
      </c>
      <c r="CO89" s="52">
        <f>713.76+650</f>
        <v>1363.76</v>
      </c>
      <c r="CP89" s="51">
        <f t="shared" si="154"/>
        <v>2.3367143407155545E-2</v>
      </c>
      <c r="CQ89" s="52">
        <v>650</v>
      </c>
      <c r="CR89" s="51">
        <f t="shared" si="155"/>
        <v>9.3037302948781545E-3</v>
      </c>
      <c r="CS89" s="52">
        <v>650</v>
      </c>
      <c r="CT89" s="51">
        <f t="shared" si="156"/>
        <v>1.2879468779375097E-2</v>
      </c>
      <c r="CU89" s="52">
        <v>650</v>
      </c>
      <c r="CV89" s="51">
        <f t="shared" si="157"/>
        <v>1.2879468779375097E-2</v>
      </c>
      <c r="CW89" s="176">
        <f>650+1635</f>
        <v>2285</v>
      </c>
      <c r="CX89" s="51">
        <f t="shared" si="158"/>
        <v>4.5276286401341688E-2</v>
      </c>
      <c r="CY89" s="176">
        <f>650+1337</f>
        <v>1987</v>
      </c>
      <c r="CZ89" s="51">
        <f t="shared" si="159"/>
        <v>3.9371545330182028E-2</v>
      </c>
      <c r="DA89" s="176">
        <f>650+1059.76</f>
        <v>1709.76</v>
      </c>
      <c r="DB89" s="51">
        <f t="shared" si="160"/>
        <v>3.3878154677268256E-2</v>
      </c>
      <c r="DC89" s="176">
        <f>650+868</f>
        <v>1518</v>
      </c>
      <c r="DD89" s="51">
        <f t="shared" si="161"/>
        <v>3.007851324167907E-2</v>
      </c>
      <c r="DE89" s="176">
        <f>650+1092</f>
        <v>1742</v>
      </c>
      <c r="DF89" s="51">
        <f t="shared" si="162"/>
        <v>3.451697632872526E-2</v>
      </c>
      <c r="DG89" s="176">
        <f>650+1262</f>
        <v>1912</v>
      </c>
      <c r="DH89" s="51">
        <f t="shared" si="163"/>
        <v>3.7885452778715668E-2</v>
      </c>
      <c r="DI89" s="176">
        <f>650+1123</f>
        <v>1773</v>
      </c>
      <c r="DJ89" s="51">
        <f t="shared" si="164"/>
        <v>3.513122791666469E-2</v>
      </c>
      <c r="DK89" s="176">
        <f>650+1990.1</f>
        <v>2640.1</v>
      </c>
      <c r="DL89" s="51">
        <f t="shared" si="165"/>
        <v>5.2312439268351066E-2</v>
      </c>
      <c r="DM89" s="176">
        <f>650+1275.19</f>
        <v>1925.19</v>
      </c>
      <c r="DN89" s="51">
        <f t="shared" si="166"/>
        <v>3.8146806922100221E-2</v>
      </c>
      <c r="DO89" s="176">
        <f>650+1843.52</f>
        <v>2493.52</v>
      </c>
      <c r="DP89" s="51">
        <f>DO89/$CS$76</f>
        <v>4.9408019985765217E-2</v>
      </c>
      <c r="DQ89" s="176">
        <f>1856.94+650</f>
        <v>2506.94</v>
      </c>
      <c r="DR89" s="51">
        <f t="shared" si="168"/>
        <v>4.9673931479640929E-2</v>
      </c>
      <c r="DS89" s="176">
        <v>1865.84</v>
      </c>
      <c r="DT89" s="51">
        <f t="shared" si="169"/>
        <v>3.6970812349706506E-2</v>
      </c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176">
        <v>1631.29</v>
      </c>
      <c r="EO89" s="51">
        <f t="shared" si="170"/>
        <v>3.2323305577087388E-2</v>
      </c>
      <c r="EP89" s="176">
        <v>1634.61</v>
      </c>
      <c r="EQ89" s="51">
        <f t="shared" si="171"/>
        <v>3.2389089940698959E-2</v>
      </c>
      <c r="ER89" s="176">
        <f>1237+650</f>
        <v>1887</v>
      </c>
      <c r="ES89" s="51">
        <f t="shared" si="172"/>
        <v>3.7390088594893553E-2</v>
      </c>
      <c r="ET89" s="176">
        <f>1237+650</f>
        <v>1887</v>
      </c>
      <c r="EU89" s="51">
        <f t="shared" si="173"/>
        <v>3.7390088594893553E-2</v>
      </c>
      <c r="EV89" s="176">
        <f>650+2129.23</f>
        <v>2779.23</v>
      </c>
      <c r="EW89" s="51">
        <f t="shared" ref="EW89" si="231">EV89/EV$76</f>
        <v>5.5761497775543123E-2</v>
      </c>
      <c r="EX89" s="176">
        <f>650+1256.13</f>
        <v>1906.13</v>
      </c>
      <c r="EY89" s="51">
        <f t="shared" si="189"/>
        <v>3.8825931753718616E-2</v>
      </c>
      <c r="EZ89" s="176">
        <f>5%*SUM(EZ82+EZ85)</f>
        <v>1794.7790000000002</v>
      </c>
      <c r="FA89" s="51">
        <f t="shared" si="189"/>
        <v>2.9635055900744188E-2</v>
      </c>
      <c r="FB89" s="176">
        <f>5%*SUM(FB82+FB85)</f>
        <v>1738.2614999999998</v>
      </c>
      <c r="FC89" s="51">
        <f t="shared" si="190"/>
        <v>2.2339416545722534E-2</v>
      </c>
      <c r="FD89" s="176">
        <f>5%*SUM(FD82+FD85)</f>
        <v>1699.9445000000001</v>
      </c>
      <c r="FE89" s="51">
        <f t="shared" si="191"/>
        <v>2.1957504383571375E-2</v>
      </c>
      <c r="FF89" s="176">
        <f>5%*SUM(FF82+FF85)</f>
        <v>1685.4970000000003</v>
      </c>
      <c r="FG89" s="51">
        <f t="shared" si="192"/>
        <v>1.9924851671598142E-2</v>
      </c>
      <c r="FH89" s="176">
        <f>5%*SUM(FH82+FH85)</f>
        <v>1657.9590000000001</v>
      </c>
      <c r="FI89" s="51">
        <f t="shared" si="193"/>
        <v>2.0030249081944351E-2</v>
      </c>
      <c r="FJ89" s="176">
        <f>5%*SUM(FJ82+FJ85)</f>
        <v>1637.0035</v>
      </c>
      <c r="FK89" s="51">
        <f t="shared" si="194"/>
        <v>1.9883962689165986E-2</v>
      </c>
      <c r="FL89" s="176">
        <f>5%*SUM(FL82+FL85)</f>
        <v>1634.6310000000001</v>
      </c>
      <c r="FM89" s="51">
        <f t="shared" si="195"/>
        <v>1.863976112001562E-2</v>
      </c>
      <c r="FN89" s="176">
        <f>5%*SUM(FN82+FN85)</f>
        <v>1610.8500000000001</v>
      </c>
      <c r="FO89" s="51">
        <f t="shared" si="196"/>
        <v>2.0033170358494074E-2</v>
      </c>
      <c r="FP89" s="176">
        <f>5%*SUM(FP82+FP85)</f>
        <v>679.78100000000006</v>
      </c>
      <c r="FQ89" s="51">
        <f t="shared" si="197"/>
        <v>1.1304038238582736E-2</v>
      </c>
      <c r="FR89" s="36"/>
      <c r="FS89" s="36"/>
      <c r="FT89" s="36"/>
      <c r="FU89" s="36"/>
      <c r="FV89" s="36"/>
      <c r="FW89" s="36"/>
      <c r="FX89" s="224"/>
      <c r="FY89" s="237"/>
      <c r="FZ89" s="237"/>
      <c r="GA89" s="237"/>
      <c r="GB89" s="237"/>
      <c r="GC89" s="237"/>
      <c r="GD89" s="237"/>
      <c r="GE89" s="237"/>
      <c r="GF89" s="260"/>
      <c r="GG89" s="260"/>
    </row>
    <row r="90" spans="1:189" ht="15" customHeight="1" outlineLevel="1" x14ac:dyDescent="0.3">
      <c r="A90" s="253"/>
      <c r="B90" s="181"/>
      <c r="C90" s="181"/>
      <c r="D90" s="181"/>
      <c r="E90" s="181"/>
      <c r="F90" s="181"/>
      <c r="G90" s="25" t="s">
        <v>433</v>
      </c>
      <c r="H90" s="33"/>
      <c r="I90" s="284"/>
      <c r="J90" s="281"/>
      <c r="K90" s="471"/>
      <c r="L90" s="281"/>
      <c r="M90" s="471"/>
      <c r="N90" s="281"/>
      <c r="O90" s="471"/>
      <c r="P90" s="281"/>
      <c r="Q90" s="471"/>
      <c r="R90" s="281"/>
      <c r="S90" s="471"/>
      <c r="T90" s="281"/>
      <c r="U90" s="471"/>
      <c r="V90" s="281"/>
      <c r="W90" s="471"/>
      <c r="X90" s="281"/>
      <c r="Y90" s="471"/>
      <c r="Z90" s="281"/>
      <c r="AA90" s="471"/>
      <c r="AB90" s="281"/>
      <c r="AC90" s="471"/>
      <c r="AD90" s="281"/>
      <c r="AE90" s="471"/>
      <c r="AF90" s="281"/>
      <c r="AG90" s="471"/>
      <c r="AH90" s="281"/>
      <c r="AI90" s="471"/>
      <c r="AJ90" s="281"/>
      <c r="AK90" s="471"/>
      <c r="AL90" s="281"/>
      <c r="AM90" s="471"/>
      <c r="AN90" s="281"/>
      <c r="AO90" s="471"/>
      <c r="AP90" s="281"/>
      <c r="AQ90" s="471"/>
      <c r="AR90" s="281"/>
      <c r="AS90" s="472"/>
      <c r="AT90" s="281"/>
      <c r="AU90" s="472"/>
      <c r="AV90" s="281"/>
      <c r="AW90" s="472"/>
      <c r="AX90" s="281"/>
      <c r="AY90" s="472"/>
      <c r="AZ90" s="281"/>
      <c r="BA90" s="472"/>
      <c r="BB90" s="281"/>
      <c r="BC90" s="472"/>
      <c r="BD90" s="281"/>
      <c r="BE90" s="472"/>
      <c r="BF90" s="281"/>
      <c r="BG90" s="471"/>
      <c r="BH90" s="281"/>
      <c r="BI90" s="471"/>
      <c r="BJ90" s="281"/>
      <c r="BK90" s="50"/>
      <c r="BL90" s="51"/>
      <c r="BM90" s="50"/>
      <c r="BN90" s="51"/>
      <c r="BO90" s="50"/>
      <c r="BP90" s="51"/>
      <c r="BQ90" s="50"/>
      <c r="BR90" s="51"/>
      <c r="BS90" s="50"/>
      <c r="BT90" s="51"/>
      <c r="BU90" s="52"/>
      <c r="BV90" s="51"/>
      <c r="BW90" s="52"/>
      <c r="BX90" s="51"/>
      <c r="BY90" s="53"/>
      <c r="BZ90" s="51"/>
      <c r="CA90" s="53"/>
      <c r="CB90" s="51"/>
      <c r="CC90" s="53"/>
      <c r="CD90" s="51"/>
      <c r="CE90" s="53"/>
      <c r="CF90" s="51"/>
      <c r="CG90" s="52"/>
      <c r="CH90" s="51"/>
      <c r="CI90" s="52"/>
      <c r="CJ90" s="51"/>
      <c r="CK90" s="52"/>
      <c r="CL90" s="51"/>
      <c r="CM90" s="52"/>
      <c r="CN90" s="51"/>
      <c r="CO90" s="52"/>
      <c r="CP90" s="51"/>
      <c r="CQ90" s="52"/>
      <c r="CR90" s="51"/>
      <c r="CS90" s="52"/>
      <c r="CT90" s="51"/>
      <c r="CU90" s="52"/>
      <c r="CV90" s="51"/>
      <c r="CW90" s="176"/>
      <c r="CX90" s="51"/>
      <c r="CY90" s="176"/>
      <c r="CZ90" s="51"/>
      <c r="DA90" s="176"/>
      <c r="DB90" s="51"/>
      <c r="DC90" s="176"/>
      <c r="DD90" s="51"/>
      <c r="DE90" s="176"/>
      <c r="DF90" s="51"/>
      <c r="DG90" s="176"/>
      <c r="DH90" s="51"/>
      <c r="DI90" s="176"/>
      <c r="DJ90" s="51"/>
      <c r="DK90" s="176"/>
      <c r="DL90" s="51"/>
      <c r="DM90" s="176"/>
      <c r="DN90" s="51"/>
      <c r="DO90" s="176"/>
      <c r="DP90" s="51"/>
      <c r="DQ90" s="176"/>
      <c r="DR90" s="51"/>
      <c r="DS90" s="176"/>
      <c r="DT90" s="51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176"/>
      <c r="EO90" s="51"/>
      <c r="EP90" s="176"/>
      <c r="EQ90" s="51"/>
      <c r="ER90" s="176"/>
      <c r="ES90" s="51"/>
      <c r="ET90" s="176"/>
      <c r="EU90" s="51"/>
      <c r="EV90" s="176"/>
      <c r="EW90" s="51"/>
      <c r="EX90" s="176">
        <v>0</v>
      </c>
      <c r="EY90" s="51">
        <f t="shared" si="189"/>
        <v>0</v>
      </c>
      <c r="EZ90" s="176">
        <v>17250</v>
      </c>
      <c r="FA90" s="51">
        <f t="shared" si="189"/>
        <v>0.28482878075118839</v>
      </c>
      <c r="FB90" s="176">
        <v>34500</v>
      </c>
      <c r="FC90" s="51">
        <f t="shared" si="190"/>
        <v>0.44337970485305433</v>
      </c>
      <c r="FD90" s="176">
        <v>34500</v>
      </c>
      <c r="FE90" s="51">
        <f t="shared" si="191"/>
        <v>0.44562272546733878</v>
      </c>
      <c r="FF90" s="176">
        <v>34500</v>
      </c>
      <c r="FG90" s="51">
        <f t="shared" si="192"/>
        <v>0.40783661001481208</v>
      </c>
      <c r="FH90" s="176">
        <v>34500</v>
      </c>
      <c r="FI90" s="51">
        <f t="shared" si="193"/>
        <v>0.41680378907263699</v>
      </c>
      <c r="FJ90" s="176">
        <v>34500</v>
      </c>
      <c r="FK90" s="51">
        <f t="shared" si="194"/>
        <v>0.41905635068967573</v>
      </c>
      <c r="FL90" s="176">
        <v>39500</v>
      </c>
      <c r="FM90" s="51">
        <f t="shared" si="195"/>
        <v>0.45042004234632582</v>
      </c>
      <c r="FN90" s="176">
        <v>34500</v>
      </c>
      <c r="FO90" s="51">
        <f t="shared" si="196"/>
        <v>0.42905570187667719</v>
      </c>
      <c r="FP90" s="176">
        <v>34500</v>
      </c>
      <c r="FQ90" s="51">
        <f t="shared" si="197"/>
        <v>0.57369846940574143</v>
      </c>
      <c r="FR90" s="36"/>
      <c r="FS90" s="36"/>
      <c r="FT90" s="36"/>
      <c r="FU90" s="36"/>
      <c r="FV90" s="36"/>
      <c r="FW90" s="36"/>
      <c r="FX90" s="224"/>
      <c r="FY90" s="237"/>
      <c r="FZ90" s="237"/>
      <c r="GA90" s="237"/>
      <c r="GB90" s="237"/>
      <c r="GC90" s="237"/>
      <c r="GD90" s="237"/>
      <c r="GE90" s="237"/>
      <c r="GF90" s="260"/>
      <c r="GG90" s="260"/>
    </row>
    <row r="91" spans="1:189" ht="15" customHeight="1" outlineLevel="1" x14ac:dyDescent="0.3">
      <c r="A91" s="253"/>
      <c r="B91" s="252"/>
      <c r="C91" s="181"/>
      <c r="D91" s="181"/>
      <c r="E91" s="181"/>
      <c r="F91" s="181"/>
      <c r="G91" s="25" t="s">
        <v>437</v>
      </c>
      <c r="H91" s="33"/>
      <c r="I91" s="284"/>
      <c r="J91" s="281"/>
      <c r="K91" s="471"/>
      <c r="L91" s="281"/>
      <c r="M91" s="471"/>
      <c r="N91" s="281"/>
      <c r="O91" s="471"/>
      <c r="P91" s="281"/>
      <c r="Q91" s="471"/>
      <c r="R91" s="281"/>
      <c r="S91" s="471"/>
      <c r="T91" s="281"/>
      <c r="U91" s="471"/>
      <c r="V91" s="281"/>
      <c r="W91" s="471"/>
      <c r="X91" s="281"/>
      <c r="Y91" s="471"/>
      <c r="Z91" s="281"/>
      <c r="AA91" s="471"/>
      <c r="AB91" s="281"/>
      <c r="AC91" s="471"/>
      <c r="AD91" s="281"/>
      <c r="AE91" s="471"/>
      <c r="AF91" s="281"/>
      <c r="AG91" s="471"/>
      <c r="AH91" s="281"/>
      <c r="AI91" s="471"/>
      <c r="AJ91" s="281"/>
      <c r="AK91" s="471"/>
      <c r="AL91" s="281"/>
      <c r="AM91" s="471"/>
      <c r="AN91" s="281"/>
      <c r="AO91" s="471"/>
      <c r="AP91" s="281"/>
      <c r="AQ91" s="471"/>
      <c r="AR91" s="281"/>
      <c r="AS91" s="472"/>
      <c r="AT91" s="281"/>
      <c r="AU91" s="472"/>
      <c r="AV91" s="281"/>
      <c r="AW91" s="472"/>
      <c r="AX91" s="281"/>
      <c r="AY91" s="472"/>
      <c r="AZ91" s="281"/>
      <c r="BA91" s="472"/>
      <c r="BB91" s="281"/>
      <c r="BC91" s="472"/>
      <c r="BD91" s="281"/>
      <c r="BE91" s="472"/>
      <c r="BF91" s="281"/>
      <c r="BG91" s="471"/>
      <c r="BH91" s="281"/>
      <c r="BI91" s="471"/>
      <c r="BJ91" s="281"/>
      <c r="BK91" s="50"/>
      <c r="BL91" s="51"/>
      <c r="BM91" s="50"/>
      <c r="BN91" s="51"/>
      <c r="BO91" s="50"/>
      <c r="BP91" s="51"/>
      <c r="BQ91" s="50"/>
      <c r="BR91" s="51"/>
      <c r="BS91" s="50"/>
      <c r="BT91" s="51"/>
      <c r="BU91" s="52"/>
      <c r="BV91" s="51"/>
      <c r="BW91" s="52"/>
      <c r="BX91" s="51"/>
      <c r="BY91" s="53"/>
      <c r="BZ91" s="51"/>
      <c r="CA91" s="53"/>
      <c r="CB91" s="51"/>
      <c r="CC91" s="53"/>
      <c r="CD91" s="51"/>
      <c r="CE91" s="53"/>
      <c r="CF91" s="51"/>
      <c r="CG91" s="52"/>
      <c r="CH91" s="51"/>
      <c r="CI91" s="52"/>
      <c r="CJ91" s="51"/>
      <c r="CK91" s="52"/>
      <c r="CL91" s="51"/>
      <c r="CM91" s="52"/>
      <c r="CN91" s="51"/>
      <c r="CO91" s="52"/>
      <c r="CP91" s="51"/>
      <c r="CQ91" s="52"/>
      <c r="CR91" s="51"/>
      <c r="CS91" s="52"/>
      <c r="CT91" s="51"/>
      <c r="CU91" s="52"/>
      <c r="CV91" s="51"/>
      <c r="CW91" s="176"/>
      <c r="CX91" s="51"/>
      <c r="CY91" s="176"/>
      <c r="CZ91" s="51"/>
      <c r="DA91" s="176"/>
      <c r="DB91" s="51"/>
      <c r="DC91" s="176"/>
      <c r="DD91" s="51"/>
      <c r="DE91" s="176"/>
      <c r="DF91" s="51"/>
      <c r="DG91" s="176"/>
      <c r="DH91" s="51"/>
      <c r="DI91" s="176"/>
      <c r="DJ91" s="51"/>
      <c r="DK91" s="176"/>
      <c r="DL91" s="51"/>
      <c r="DM91" s="176"/>
      <c r="DN91" s="51"/>
      <c r="DO91" s="176"/>
      <c r="DP91" s="51"/>
      <c r="DQ91" s="176"/>
      <c r="DR91" s="51"/>
      <c r="DS91" s="176"/>
      <c r="DT91" s="51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176"/>
      <c r="EO91" s="51"/>
      <c r="EP91" s="176"/>
      <c r="EQ91" s="51"/>
      <c r="ER91" s="176"/>
      <c r="ES91" s="51"/>
      <c r="ET91" s="176"/>
      <c r="EU91" s="51"/>
      <c r="EV91" s="176"/>
      <c r="EW91" s="51"/>
      <c r="EX91" s="176"/>
      <c r="EY91" s="51"/>
      <c r="EZ91" s="176"/>
      <c r="FA91" s="51"/>
      <c r="FB91" s="176"/>
      <c r="FC91" s="51"/>
      <c r="FD91" s="176"/>
      <c r="FE91" s="51"/>
      <c r="FF91" s="176">
        <v>7700</v>
      </c>
      <c r="FG91" s="51">
        <f t="shared" si="192"/>
        <v>9.1024402814900096E-2</v>
      </c>
      <c r="FH91" s="176">
        <v>5000</v>
      </c>
      <c r="FI91" s="51">
        <f t="shared" si="193"/>
        <v>6.0406346242411153E-2</v>
      </c>
      <c r="FJ91" s="176">
        <v>5000</v>
      </c>
      <c r="FK91" s="51">
        <f t="shared" si="194"/>
        <v>6.0732804447779093E-2</v>
      </c>
      <c r="FL91" s="176">
        <v>5000</v>
      </c>
      <c r="FM91" s="51">
        <f t="shared" si="195"/>
        <v>5.7015195233712131E-2</v>
      </c>
      <c r="FN91" s="176">
        <v>5000</v>
      </c>
      <c r="FO91" s="51">
        <f t="shared" si="196"/>
        <v>6.218198577922858E-2</v>
      </c>
      <c r="FP91" s="176">
        <v>5000</v>
      </c>
      <c r="FQ91" s="51">
        <f t="shared" si="197"/>
        <v>8.3144705710977027E-2</v>
      </c>
      <c r="FR91" s="36"/>
      <c r="FS91" s="36"/>
      <c r="FT91" s="36"/>
      <c r="FU91" s="36"/>
      <c r="FV91" s="36"/>
      <c r="FW91" s="36"/>
      <c r="FX91" s="224"/>
      <c r="FY91" s="237"/>
      <c r="FZ91" s="237"/>
      <c r="GA91" s="237"/>
      <c r="GB91" s="237"/>
      <c r="GC91" s="237"/>
      <c r="GD91" s="237"/>
      <c r="GE91" s="237"/>
      <c r="GF91" s="260"/>
      <c r="GG91" s="260"/>
    </row>
    <row r="92" spans="1:189" ht="15" customHeight="1" outlineLevel="1" x14ac:dyDescent="0.3">
      <c r="A92" s="1"/>
      <c r="B92" s="181"/>
      <c r="C92" s="181"/>
      <c r="D92" s="181"/>
      <c r="E92" s="181"/>
      <c r="F92" s="181"/>
      <c r="G92" s="242"/>
      <c r="H92" s="243"/>
      <c r="I92" s="183"/>
      <c r="J92" s="181"/>
      <c r="K92" s="244"/>
      <c r="L92" s="181"/>
      <c r="M92" s="244"/>
      <c r="N92" s="181"/>
      <c r="O92" s="244"/>
      <c r="P92" s="181"/>
      <c r="Q92" s="244"/>
      <c r="R92" s="181"/>
      <c r="S92" s="244"/>
      <c r="T92" s="181"/>
      <c r="U92" s="244"/>
      <c r="V92" s="181"/>
      <c r="W92" s="244"/>
      <c r="X92" s="181"/>
      <c r="Y92" s="244"/>
      <c r="Z92" s="181"/>
      <c r="AA92" s="244"/>
      <c r="AB92" s="181"/>
      <c r="AC92" s="244"/>
      <c r="AD92" s="181"/>
      <c r="AE92" s="244"/>
      <c r="AF92" s="181"/>
      <c r="AG92" s="244"/>
      <c r="AH92" s="181"/>
      <c r="AI92" s="244"/>
      <c r="AJ92" s="181"/>
      <c r="AK92" s="244"/>
      <c r="AL92" s="181"/>
      <c r="AM92" s="244"/>
      <c r="AN92" s="181"/>
      <c r="AO92" s="244"/>
      <c r="AP92" s="181"/>
      <c r="AQ92" s="244"/>
      <c r="AR92" s="181"/>
      <c r="AS92" s="245"/>
      <c r="AT92" s="181"/>
      <c r="AU92" s="245"/>
      <c r="AV92" s="181"/>
      <c r="AW92" s="245"/>
      <c r="AX92" s="181"/>
      <c r="AY92" s="245"/>
      <c r="AZ92" s="181"/>
      <c r="BA92" s="245"/>
      <c r="BB92" s="181"/>
      <c r="BC92" s="245"/>
      <c r="BD92" s="181"/>
      <c r="BE92" s="245"/>
      <c r="BF92" s="181"/>
      <c r="BG92" s="244"/>
      <c r="BH92" s="181"/>
      <c r="BI92" s="244"/>
      <c r="BJ92" s="181"/>
      <c r="BK92" s="246"/>
      <c r="BL92" s="247"/>
      <c r="BM92" s="246"/>
      <c r="BN92" s="247"/>
      <c r="BO92" s="246"/>
      <c r="BP92" s="247"/>
      <c r="BQ92" s="246"/>
      <c r="BR92" s="247"/>
      <c r="BS92" s="246"/>
      <c r="BT92" s="247"/>
      <c r="BU92" s="248"/>
      <c r="BV92" s="247"/>
      <c r="BW92" s="248"/>
      <c r="BX92" s="247"/>
      <c r="BY92" s="249"/>
      <c r="BZ92" s="247"/>
      <c r="CA92" s="249"/>
      <c r="CB92" s="247"/>
      <c r="CC92" s="249"/>
      <c r="CD92" s="247"/>
      <c r="CE92" s="249"/>
      <c r="CF92" s="247"/>
      <c r="CG92" s="248"/>
      <c r="CH92" s="247"/>
      <c r="CI92" s="248"/>
      <c r="CJ92" s="247"/>
      <c r="CK92" s="248"/>
      <c r="CL92" s="247"/>
      <c r="CM92" s="248"/>
      <c r="CN92" s="247"/>
      <c r="CO92" s="248"/>
      <c r="CP92" s="247"/>
      <c r="CQ92" s="248"/>
      <c r="CR92" s="247"/>
      <c r="CS92" s="248"/>
      <c r="CT92" s="247"/>
      <c r="CU92" s="248"/>
      <c r="CV92" s="247"/>
      <c r="CW92" s="250"/>
      <c r="CX92" s="247"/>
      <c r="CY92" s="250"/>
      <c r="CZ92" s="247"/>
      <c r="DA92" s="250"/>
      <c r="DB92" s="247"/>
      <c r="DC92" s="250"/>
      <c r="DD92" s="247"/>
      <c r="DE92" s="250"/>
      <c r="DF92" s="247"/>
      <c r="DG92" s="250"/>
      <c r="DH92" s="247"/>
      <c r="DI92" s="250"/>
      <c r="DJ92" s="247"/>
      <c r="DK92" s="250"/>
      <c r="DL92" s="247"/>
      <c r="DM92" s="250"/>
      <c r="DN92" s="247"/>
      <c r="DO92" s="250"/>
      <c r="DP92" s="247"/>
      <c r="DQ92" s="250"/>
      <c r="DR92" s="247"/>
      <c r="DS92" s="250"/>
      <c r="DT92" s="247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250"/>
      <c r="EO92" s="247"/>
      <c r="EP92" s="250"/>
      <c r="EQ92" s="247"/>
      <c r="ER92" s="250"/>
      <c r="ES92" s="247"/>
      <c r="ET92" s="250"/>
      <c r="EU92" s="247"/>
      <c r="EV92" s="250"/>
      <c r="EW92" s="247"/>
      <c r="EX92" s="250"/>
      <c r="EY92" s="247"/>
      <c r="EZ92" s="250"/>
      <c r="FA92" s="247"/>
      <c r="FB92" s="250"/>
      <c r="FC92" s="247"/>
      <c r="FD92" s="250"/>
      <c r="FE92" s="247"/>
      <c r="FF92" s="251"/>
      <c r="FG92" s="247"/>
      <c r="FH92" s="251"/>
      <c r="FI92" s="247"/>
      <c r="FJ92" s="251"/>
      <c r="FK92" s="247"/>
      <c r="FL92" s="251"/>
      <c r="FM92" s="247"/>
      <c r="FN92" s="251"/>
      <c r="FO92" s="247"/>
      <c r="FP92" s="251"/>
      <c r="FQ92" s="247"/>
      <c r="FR92" s="35"/>
      <c r="FS92" s="35"/>
      <c r="FT92" s="35"/>
      <c r="FU92" s="35"/>
      <c r="FV92" s="35"/>
      <c r="FW92" s="35"/>
      <c r="FX92" s="223"/>
      <c r="FY92" s="236"/>
      <c r="FZ92" s="236"/>
      <c r="GA92" s="236"/>
      <c r="GB92" s="236"/>
      <c r="GC92" s="236"/>
      <c r="GD92" s="236"/>
      <c r="GE92" s="236"/>
      <c r="GF92" s="259"/>
      <c r="GG92" s="259"/>
    </row>
    <row r="93" spans="1:189" ht="8.25" customHeight="1" x14ac:dyDescent="0.3">
      <c r="A93" s="1"/>
      <c r="B93" s="18"/>
      <c r="C93" s="18"/>
      <c r="D93" s="18"/>
      <c r="E93" s="18"/>
      <c r="F93" s="18"/>
      <c r="G93" s="3"/>
      <c r="H93" s="3"/>
      <c r="I93" s="19"/>
      <c r="J93" s="20"/>
      <c r="K93" s="19"/>
      <c r="L93" s="20"/>
      <c r="M93" s="19"/>
      <c r="N93" s="20"/>
      <c r="O93" s="19"/>
      <c r="P93" s="20"/>
      <c r="Q93" s="19"/>
      <c r="R93" s="20"/>
      <c r="S93" s="19"/>
      <c r="T93" s="20"/>
      <c r="U93" s="19"/>
      <c r="V93" s="20"/>
      <c r="W93" s="19"/>
      <c r="X93" s="20"/>
      <c r="Y93" s="19"/>
      <c r="Z93" s="20"/>
      <c r="AA93" s="19"/>
      <c r="AB93" s="20"/>
      <c r="AC93" s="19"/>
      <c r="AD93" s="20"/>
      <c r="AE93" s="19"/>
      <c r="AF93" s="20"/>
      <c r="AG93" s="19"/>
      <c r="AH93" s="20"/>
      <c r="AI93" s="19"/>
      <c r="AJ93" s="20"/>
      <c r="AK93" s="19"/>
      <c r="AL93" s="20"/>
      <c r="AM93" s="19"/>
      <c r="AN93" s="20"/>
      <c r="AO93" s="19"/>
      <c r="AP93" s="20"/>
      <c r="AQ93" s="19"/>
      <c r="AR93" s="20"/>
      <c r="AS93" s="19"/>
      <c r="AT93" s="20"/>
      <c r="AU93" s="19"/>
      <c r="AV93" s="20"/>
      <c r="AW93" s="19"/>
      <c r="AX93" s="20"/>
      <c r="AY93" s="19"/>
      <c r="AZ93" s="20"/>
      <c r="BA93" s="19"/>
      <c r="BB93" s="20"/>
      <c r="BC93" s="19"/>
      <c r="BD93" s="20"/>
      <c r="BE93" s="19"/>
      <c r="BF93" s="20"/>
      <c r="BG93" s="19"/>
      <c r="BH93" s="20"/>
      <c r="BI93" s="19"/>
      <c r="BJ93" s="20"/>
      <c r="BK93" s="19"/>
      <c r="BL93" s="20"/>
      <c r="BM93" s="19"/>
      <c r="BN93" s="20"/>
      <c r="BO93" s="19"/>
      <c r="BP93" s="20"/>
      <c r="BQ93" s="19"/>
      <c r="BR93" s="20"/>
      <c r="BS93" s="19"/>
      <c r="BT93" s="20"/>
      <c r="BU93" s="19"/>
      <c r="BV93" s="20"/>
      <c r="BW93" s="19"/>
      <c r="BX93" s="20"/>
      <c r="BY93" s="19"/>
      <c r="BZ93" s="20"/>
      <c r="CA93" s="19"/>
      <c r="CB93" s="20"/>
      <c r="CC93" s="19"/>
      <c r="CD93" s="20"/>
      <c r="CE93" s="19"/>
      <c r="CF93" s="20"/>
      <c r="CG93" s="19"/>
      <c r="CH93" s="20"/>
      <c r="CI93" s="61"/>
      <c r="CJ93" s="62"/>
      <c r="CK93" s="61"/>
      <c r="CL93" s="62"/>
      <c r="CM93" s="61"/>
      <c r="CN93" s="20"/>
      <c r="CO93" s="61"/>
      <c r="CP93" s="20"/>
      <c r="CQ93" s="61"/>
      <c r="CR93" s="20"/>
      <c r="CS93" s="61"/>
      <c r="CT93" s="20"/>
      <c r="CU93" s="61"/>
      <c r="CV93" s="20"/>
      <c r="CW93" s="61"/>
      <c r="CX93" s="20"/>
      <c r="CY93" s="61"/>
      <c r="CZ93" s="20"/>
      <c r="DA93" s="61"/>
      <c r="DB93" s="20"/>
      <c r="DC93" s="61"/>
      <c r="DD93" s="20"/>
      <c r="DE93" s="61"/>
      <c r="DF93" s="20"/>
      <c r="DG93" s="61"/>
      <c r="DH93" s="20"/>
      <c r="DI93" s="61"/>
      <c r="DJ93" s="20"/>
      <c r="DK93" s="61"/>
      <c r="DL93" s="20"/>
      <c r="DM93" s="61"/>
      <c r="DN93" s="20"/>
      <c r="DO93" s="61"/>
      <c r="DP93" s="20"/>
      <c r="DQ93" s="61"/>
      <c r="DR93" s="20"/>
      <c r="DS93" s="61"/>
      <c r="DT93" s="20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61"/>
      <c r="EO93" s="20"/>
      <c r="EP93" s="61"/>
      <c r="EQ93" s="20"/>
      <c r="ER93" s="61"/>
      <c r="ES93" s="20"/>
      <c r="ET93" s="61"/>
      <c r="EU93" s="20"/>
      <c r="EV93" s="61"/>
      <c r="EW93" s="20"/>
      <c r="EX93" s="61"/>
      <c r="EY93" s="20"/>
      <c r="EZ93" s="61"/>
      <c r="FA93" s="20"/>
      <c r="FB93" s="61"/>
      <c r="FC93" s="20"/>
      <c r="FD93" s="61"/>
      <c r="FE93" s="20"/>
      <c r="FF93" s="61"/>
      <c r="FG93" s="20"/>
      <c r="FH93" s="61"/>
      <c r="FI93" s="20"/>
      <c r="FJ93" s="61"/>
      <c r="FK93" s="20"/>
      <c r="FL93" s="61"/>
      <c r="FM93" s="20"/>
      <c r="FN93" s="61"/>
      <c r="FO93" s="20"/>
      <c r="FP93" s="61"/>
      <c r="FQ93" s="20"/>
      <c r="FR93" s="3"/>
      <c r="FS93" s="3"/>
      <c r="FT93" s="3"/>
      <c r="FU93" s="3"/>
      <c r="FV93" s="3"/>
      <c r="FW93" s="234"/>
      <c r="FX93" s="234"/>
      <c r="FY93" s="234"/>
      <c r="FZ93" s="234"/>
      <c r="GA93" s="234"/>
      <c r="GB93" s="234"/>
      <c r="GC93" s="234"/>
      <c r="GD93" s="234"/>
      <c r="GE93" s="234"/>
      <c r="GF93" s="234"/>
      <c r="GG93" s="234"/>
    </row>
    <row r="94" spans="1:189" s="270" customFormat="1" ht="15" customHeight="1" x14ac:dyDescent="0.3">
      <c r="A94" s="268"/>
      <c r="B94" s="430" t="s">
        <v>79</v>
      </c>
      <c r="C94" s="313" t="s">
        <v>80</v>
      </c>
      <c r="D94" s="313" t="s">
        <v>25</v>
      </c>
      <c r="E94" s="313" t="s">
        <v>81</v>
      </c>
      <c r="F94" s="313" t="s">
        <v>27</v>
      </c>
      <c r="G94" s="269" t="s">
        <v>28</v>
      </c>
      <c r="H94" s="269"/>
      <c r="I94" s="283">
        <v>1.9E-2</v>
      </c>
      <c r="J94" s="366"/>
      <c r="K94" s="283">
        <v>1.9E-2</v>
      </c>
      <c r="L94" s="366"/>
      <c r="M94" s="283">
        <v>1.9E-2</v>
      </c>
      <c r="N94" s="366"/>
      <c r="O94" s="283">
        <v>1.9E-2</v>
      </c>
      <c r="P94" s="366"/>
      <c r="Q94" s="283">
        <v>1.9E-2</v>
      </c>
      <c r="R94" s="366"/>
      <c r="S94" s="283">
        <v>1.9E-2</v>
      </c>
      <c r="T94" s="366"/>
      <c r="U94" s="283">
        <v>1.9E-2</v>
      </c>
      <c r="V94" s="366"/>
      <c r="W94" s="283">
        <v>1.9E-2</v>
      </c>
      <c r="X94" s="366"/>
      <c r="Y94" s="283">
        <v>1.9E-2</v>
      </c>
      <c r="Z94" s="366"/>
      <c r="AA94" s="283">
        <v>1.9E-2</v>
      </c>
      <c r="AB94" s="366"/>
      <c r="AC94" s="283">
        <v>1.9E-2</v>
      </c>
      <c r="AD94" s="366"/>
      <c r="AE94" s="283">
        <v>1.9E-2</v>
      </c>
      <c r="AF94" s="366"/>
      <c r="AG94" s="283">
        <v>1.9E-2</v>
      </c>
      <c r="AH94" s="366"/>
      <c r="AI94" s="283">
        <v>1.9E-2</v>
      </c>
      <c r="AJ94" s="366"/>
      <c r="AK94" s="283">
        <v>1.9E-2</v>
      </c>
      <c r="AL94" s="366"/>
      <c r="AM94" s="283">
        <v>1.9E-2</v>
      </c>
      <c r="AN94" s="366"/>
      <c r="AO94" s="283">
        <v>1.9E-2</v>
      </c>
      <c r="AP94" s="366"/>
      <c r="AQ94" s="283">
        <v>1.9E-2</v>
      </c>
      <c r="AR94" s="366"/>
      <c r="AS94" s="283">
        <v>1.9E-2</v>
      </c>
      <c r="AT94" s="366"/>
      <c r="AU94" s="283">
        <v>1.9E-2</v>
      </c>
      <c r="AV94" s="366"/>
      <c r="AW94" s="283">
        <v>1.9E-2</v>
      </c>
      <c r="AX94" s="366"/>
      <c r="AY94" s="283">
        <v>1.9E-2</v>
      </c>
      <c r="AZ94" s="366"/>
      <c r="BA94" s="283">
        <v>1.9E-2</v>
      </c>
      <c r="BB94" s="366"/>
      <c r="BC94" s="283">
        <v>1.9E-2</v>
      </c>
      <c r="BD94" s="366"/>
      <c r="BE94" s="283">
        <v>1.9E-2</v>
      </c>
      <c r="BF94" s="366"/>
      <c r="BG94" s="283">
        <v>1.9E-2</v>
      </c>
      <c r="BH94" s="366"/>
      <c r="BI94" s="283">
        <v>1.9E-2</v>
      </c>
      <c r="BJ94" s="366"/>
      <c r="BK94" s="283">
        <v>1.9E-2</v>
      </c>
      <c r="BL94" s="366"/>
      <c r="BM94" s="283">
        <v>1.9E-2</v>
      </c>
      <c r="BN94" s="366"/>
      <c r="BO94" s="283">
        <v>1.9E-2</v>
      </c>
      <c r="BP94" s="366"/>
      <c r="BQ94" s="283">
        <v>1.9E-2</v>
      </c>
      <c r="BR94" s="366"/>
      <c r="BS94" s="283">
        <v>1.9E-2</v>
      </c>
      <c r="BT94" s="366"/>
      <c r="BU94" s="283">
        <v>1.9E-2</v>
      </c>
      <c r="BV94" s="366"/>
      <c r="BW94" s="283">
        <v>1.9E-2</v>
      </c>
      <c r="BX94" s="366"/>
      <c r="BY94" s="283">
        <v>1.9E-2</v>
      </c>
      <c r="BZ94" s="366"/>
      <c r="CA94" s="283">
        <v>1.9E-2</v>
      </c>
      <c r="CB94" s="366"/>
      <c r="CC94" s="283">
        <v>1.9E-2</v>
      </c>
      <c r="CD94" s="366"/>
      <c r="CE94" s="283">
        <v>1.9E-2</v>
      </c>
      <c r="CF94" s="366"/>
      <c r="CG94" s="283">
        <v>1.9E-2</v>
      </c>
      <c r="CH94" s="366"/>
      <c r="CI94" s="283">
        <v>1.9E-2</v>
      </c>
      <c r="CJ94" s="366"/>
      <c r="CK94" s="283">
        <v>1.9E-2</v>
      </c>
      <c r="CL94" s="366"/>
      <c r="CM94" s="283">
        <v>1.9E-2</v>
      </c>
      <c r="CN94" s="366"/>
      <c r="CO94" s="283">
        <v>1.9E-2</v>
      </c>
      <c r="CP94" s="366"/>
      <c r="CQ94" s="283">
        <v>1.9E-2</v>
      </c>
      <c r="CR94" s="366"/>
      <c r="CS94" s="283">
        <v>1.9E-2</v>
      </c>
      <c r="CT94" s="366"/>
      <c r="CU94" s="283">
        <v>1.9E-2</v>
      </c>
      <c r="CV94" s="366"/>
      <c r="CW94" s="283">
        <v>1.9E-2</v>
      </c>
      <c r="CX94" s="366"/>
      <c r="CY94" s="283">
        <v>1.9E-2</v>
      </c>
      <c r="CZ94" s="366"/>
      <c r="DA94" s="283">
        <v>1.9E-2</v>
      </c>
      <c r="DB94" s="366"/>
      <c r="DC94" s="283">
        <v>1.9E-2</v>
      </c>
      <c r="DD94" s="366"/>
      <c r="DE94" s="283">
        <v>1.9E-2</v>
      </c>
      <c r="DF94" s="366"/>
      <c r="DG94" s="283">
        <v>1.9E-2</v>
      </c>
      <c r="DH94" s="366"/>
      <c r="DI94" s="283">
        <v>1.9E-2</v>
      </c>
      <c r="DJ94" s="366"/>
      <c r="DK94" s="283">
        <v>1.9E-2</v>
      </c>
      <c r="DL94" s="366"/>
      <c r="DM94" s="283">
        <v>1.9E-2</v>
      </c>
      <c r="DN94" s="366"/>
      <c r="DO94" s="283">
        <v>1.9E-2</v>
      </c>
      <c r="DP94" s="366"/>
      <c r="DQ94" s="283">
        <v>1.9E-2</v>
      </c>
      <c r="DR94" s="366"/>
      <c r="DS94" s="283">
        <v>1.9E-2</v>
      </c>
      <c r="DT94" s="366"/>
      <c r="DU94" s="297" t="s">
        <v>29</v>
      </c>
      <c r="DV94" s="297" t="s">
        <v>29</v>
      </c>
      <c r="DW94" s="297" t="s">
        <v>29</v>
      </c>
      <c r="DX94" s="297" t="s">
        <v>29</v>
      </c>
      <c r="DY94" s="297" t="s">
        <v>82</v>
      </c>
      <c r="DZ94" s="297" t="s">
        <v>29</v>
      </c>
      <c r="EA94" s="297" t="s">
        <v>29</v>
      </c>
      <c r="EB94" s="297" t="s">
        <v>29</v>
      </c>
      <c r="EC94" s="297" t="s">
        <v>29</v>
      </c>
      <c r="ED94" s="297" t="s">
        <v>29</v>
      </c>
      <c r="EE94" s="297" t="s">
        <v>29</v>
      </c>
      <c r="EF94" s="297" t="s">
        <v>29</v>
      </c>
      <c r="EG94" s="297" t="s">
        <v>29</v>
      </c>
      <c r="EH94" s="297" t="s">
        <v>29</v>
      </c>
      <c r="EI94" s="297" t="s">
        <v>29</v>
      </c>
      <c r="EJ94" s="297" t="s">
        <v>29</v>
      </c>
      <c r="EK94" s="297" t="s">
        <v>29</v>
      </c>
      <c r="EL94" s="297"/>
      <c r="EM94" s="297" t="s">
        <v>29</v>
      </c>
      <c r="EN94" s="283">
        <v>1.9E-2</v>
      </c>
      <c r="EO94" s="366"/>
      <c r="EP94" s="283">
        <v>1.9E-2</v>
      </c>
      <c r="EQ94" s="366"/>
      <c r="ER94" s="283">
        <v>1.9E-2</v>
      </c>
      <c r="ES94" s="366"/>
      <c r="ET94" s="283">
        <v>1.9E-2</v>
      </c>
      <c r="EU94" s="366"/>
      <c r="EV94" s="283">
        <v>1.9E-2</v>
      </c>
      <c r="EW94" s="366"/>
      <c r="EX94" s="283">
        <v>1.9E-2</v>
      </c>
      <c r="EY94" s="366"/>
      <c r="EZ94" s="283">
        <v>1.9E-2</v>
      </c>
      <c r="FA94" s="366"/>
      <c r="FB94" s="283">
        <v>1.9E-2</v>
      </c>
      <c r="FC94" s="366"/>
      <c r="FD94" s="283">
        <v>1.9E-2</v>
      </c>
      <c r="FE94" s="366"/>
      <c r="FF94" s="283">
        <v>1.9E-2</v>
      </c>
      <c r="FG94" s="366"/>
      <c r="FH94" s="283">
        <v>1.9E-2</v>
      </c>
      <c r="FI94" s="366"/>
      <c r="FJ94" s="283">
        <v>1.9E-2</v>
      </c>
      <c r="FK94" s="366"/>
      <c r="FL94" s="283">
        <v>1.9E-2</v>
      </c>
      <c r="FM94" s="366"/>
      <c r="FN94" s="283">
        <v>1.9E-2</v>
      </c>
      <c r="FO94" s="366"/>
      <c r="FP94" s="283">
        <v>1.9E-2</v>
      </c>
      <c r="FQ94" s="366"/>
      <c r="FR94" s="297" t="s">
        <v>29</v>
      </c>
      <c r="FS94" s="297" t="s">
        <v>29</v>
      </c>
      <c r="FT94" s="297" t="s">
        <v>29</v>
      </c>
      <c r="FU94" s="297" t="s">
        <v>29</v>
      </c>
      <c r="FV94" s="297" t="s">
        <v>29</v>
      </c>
      <c r="FW94" s="297" t="s">
        <v>29</v>
      </c>
      <c r="FX94" s="297" t="s">
        <v>29</v>
      </c>
      <c r="FY94" s="297" t="s">
        <v>29</v>
      </c>
      <c r="FZ94" s="297" t="s">
        <v>29</v>
      </c>
      <c r="GA94" s="297" t="s">
        <v>29</v>
      </c>
      <c r="GB94" s="297" t="s">
        <v>29</v>
      </c>
      <c r="GC94" s="297" t="s">
        <v>29</v>
      </c>
      <c r="GD94" s="297" t="s">
        <v>29</v>
      </c>
      <c r="GE94" s="297" t="s">
        <v>29</v>
      </c>
      <c r="GF94" s="297" t="s">
        <v>443</v>
      </c>
      <c r="GG94" s="297" t="s">
        <v>443</v>
      </c>
    </row>
    <row r="95" spans="1:189" s="270" customFormat="1" ht="4.5" customHeight="1" x14ac:dyDescent="0.3">
      <c r="A95" s="271"/>
      <c r="B95" s="473"/>
      <c r="C95" s="390"/>
      <c r="D95" s="390"/>
      <c r="E95" s="390"/>
      <c r="F95" s="390"/>
      <c r="G95" s="269"/>
      <c r="H95" s="269"/>
      <c r="I95" s="351"/>
      <c r="J95" s="366"/>
      <c r="K95" s="348"/>
      <c r="L95" s="366"/>
      <c r="M95" s="348"/>
      <c r="N95" s="366"/>
      <c r="O95" s="348"/>
      <c r="P95" s="366"/>
      <c r="Q95" s="348"/>
      <c r="R95" s="366"/>
      <c r="S95" s="348"/>
      <c r="T95" s="366"/>
      <c r="U95" s="348"/>
      <c r="V95" s="366"/>
      <c r="W95" s="348"/>
      <c r="X95" s="366"/>
      <c r="Y95" s="348"/>
      <c r="Z95" s="366"/>
      <c r="AA95" s="348"/>
      <c r="AB95" s="366"/>
      <c r="AC95" s="348"/>
      <c r="AD95" s="366"/>
      <c r="AE95" s="348"/>
      <c r="AF95" s="366"/>
      <c r="AG95" s="348"/>
      <c r="AH95" s="366"/>
      <c r="AI95" s="348"/>
      <c r="AJ95" s="366"/>
      <c r="AK95" s="348"/>
      <c r="AL95" s="366"/>
      <c r="AM95" s="371"/>
      <c r="AN95" s="366"/>
      <c r="AO95" s="348"/>
      <c r="AP95" s="366"/>
      <c r="AQ95" s="371"/>
      <c r="AR95" s="366"/>
      <c r="AS95" s="371"/>
      <c r="AT95" s="366"/>
      <c r="AU95" s="371"/>
      <c r="AV95" s="366"/>
      <c r="AW95" s="328"/>
      <c r="AX95" s="366"/>
      <c r="AY95" s="328"/>
      <c r="AZ95" s="366"/>
      <c r="BA95" s="328"/>
      <c r="BB95" s="366"/>
      <c r="BC95" s="328"/>
      <c r="BD95" s="366"/>
      <c r="BE95" s="328"/>
      <c r="BF95" s="366"/>
      <c r="BG95" s="371"/>
      <c r="BH95" s="366"/>
      <c r="BI95" s="371"/>
      <c r="BJ95" s="366"/>
      <c r="BK95" s="371"/>
      <c r="BL95" s="366"/>
      <c r="BM95" s="371"/>
      <c r="BN95" s="366"/>
      <c r="BO95" s="371"/>
      <c r="BP95" s="366"/>
      <c r="BQ95" s="371"/>
      <c r="BR95" s="366"/>
      <c r="BS95" s="371"/>
      <c r="BT95" s="366"/>
      <c r="BU95" s="371"/>
      <c r="BV95" s="366"/>
      <c r="BW95" s="328"/>
      <c r="BX95" s="366"/>
      <c r="BY95" s="328"/>
      <c r="BZ95" s="366"/>
      <c r="CA95" s="328"/>
      <c r="CB95" s="366"/>
      <c r="CC95" s="371"/>
      <c r="CD95" s="366"/>
      <c r="CE95" s="371"/>
      <c r="CF95" s="366"/>
      <c r="CG95" s="371"/>
      <c r="CH95" s="366"/>
      <c r="CI95" s="328"/>
      <c r="CJ95" s="366"/>
      <c r="CK95" s="328"/>
      <c r="CL95" s="366"/>
      <c r="CM95" s="328"/>
      <c r="CN95" s="366"/>
      <c r="CO95" s="328"/>
      <c r="CP95" s="366"/>
      <c r="CQ95" s="328"/>
      <c r="CR95" s="366"/>
      <c r="CS95" s="328"/>
      <c r="CT95" s="366"/>
      <c r="CU95" s="328"/>
      <c r="CV95" s="366"/>
      <c r="CW95" s="328"/>
      <c r="CX95" s="366"/>
      <c r="CY95" s="328"/>
      <c r="CZ95" s="366"/>
      <c r="DA95" s="371"/>
      <c r="DB95" s="366"/>
      <c r="DC95" s="371"/>
      <c r="DD95" s="366"/>
      <c r="DE95" s="371"/>
      <c r="DF95" s="366"/>
      <c r="DG95" s="371"/>
      <c r="DH95" s="366"/>
      <c r="DI95" s="371"/>
      <c r="DJ95" s="366"/>
      <c r="DK95" s="371"/>
      <c r="DL95" s="366"/>
      <c r="DM95" s="371"/>
      <c r="DN95" s="366"/>
      <c r="DO95" s="371"/>
      <c r="DP95" s="366"/>
      <c r="DQ95" s="371"/>
      <c r="DR95" s="366"/>
      <c r="DS95" s="371"/>
      <c r="DT95" s="366"/>
      <c r="DU95" s="390"/>
      <c r="DV95" s="390"/>
      <c r="DW95" s="390"/>
      <c r="DX95" s="390"/>
      <c r="DY95" s="390"/>
      <c r="DZ95" s="390"/>
      <c r="EA95" s="390"/>
      <c r="EB95" s="390"/>
      <c r="EC95" s="390"/>
      <c r="ED95" s="390"/>
      <c r="EE95" s="390"/>
      <c r="EF95" s="390"/>
      <c r="EG95" s="390"/>
      <c r="EH95" s="390"/>
      <c r="EI95" s="390"/>
      <c r="EJ95" s="390"/>
      <c r="EK95" s="390"/>
      <c r="EL95" s="390"/>
      <c r="EM95" s="390"/>
      <c r="EN95" s="371"/>
      <c r="EO95" s="366"/>
      <c r="EP95" s="371"/>
      <c r="EQ95" s="366"/>
      <c r="ER95" s="371"/>
      <c r="ES95" s="366"/>
      <c r="ET95" s="371"/>
      <c r="EU95" s="366"/>
      <c r="EV95" s="328"/>
      <c r="EW95" s="366"/>
      <c r="EX95" s="328"/>
      <c r="EY95" s="366"/>
      <c r="EZ95" s="328"/>
      <c r="FA95" s="366"/>
      <c r="FB95" s="371"/>
      <c r="FC95" s="366"/>
      <c r="FD95" s="371"/>
      <c r="FE95" s="366"/>
      <c r="FF95" s="371"/>
      <c r="FG95" s="366"/>
      <c r="FH95" s="371"/>
      <c r="FI95" s="366"/>
      <c r="FJ95" s="371"/>
      <c r="FK95" s="366"/>
      <c r="FL95" s="328"/>
      <c r="FM95" s="366"/>
      <c r="FN95" s="328"/>
      <c r="FO95" s="366"/>
      <c r="FP95" s="371"/>
      <c r="FQ95" s="366"/>
      <c r="FR95" s="390"/>
      <c r="FS95" s="390"/>
      <c r="FT95" s="390"/>
      <c r="FU95" s="390"/>
      <c r="FV95" s="390"/>
      <c r="FW95" s="390"/>
      <c r="FX95" s="390"/>
      <c r="FY95" s="390"/>
      <c r="FZ95" s="390"/>
      <c r="GA95" s="390"/>
      <c r="GB95" s="390"/>
      <c r="GC95" s="390"/>
      <c r="GD95" s="390"/>
      <c r="GE95" s="390"/>
      <c r="GF95" s="298"/>
      <c r="GG95" s="298"/>
    </row>
    <row r="96" spans="1:189" s="270" customFormat="1" ht="15" customHeight="1" x14ac:dyDescent="0.3">
      <c r="A96" s="271"/>
      <c r="B96" s="473"/>
      <c r="C96" s="390"/>
      <c r="D96" s="390"/>
      <c r="E96" s="390"/>
      <c r="F96" s="390"/>
      <c r="G96" s="269" t="s">
        <v>30</v>
      </c>
      <c r="H96" s="269"/>
      <c r="I96" s="283">
        <f>I97/I316</f>
        <v>1.1788710611343532E-2</v>
      </c>
      <c r="J96" s="366"/>
      <c r="K96" s="283">
        <v>1.7000000000000001E-2</v>
      </c>
      <c r="L96" s="366"/>
      <c r="M96" s="283">
        <v>1.9E-2</v>
      </c>
      <c r="N96" s="366"/>
      <c r="O96" s="283">
        <v>1.9E-2</v>
      </c>
      <c r="P96" s="366"/>
      <c r="Q96" s="283">
        <v>1.7999999999999999E-2</v>
      </c>
      <c r="R96" s="366"/>
      <c r="S96" s="283">
        <v>1.9E-2</v>
      </c>
      <c r="T96" s="366"/>
      <c r="U96" s="283">
        <v>1.9E-2</v>
      </c>
      <c r="V96" s="366"/>
      <c r="W96" s="283">
        <v>1.2999999999999999E-2</v>
      </c>
      <c r="X96" s="366"/>
      <c r="Y96" s="283">
        <v>1.2200000000000001E-2</v>
      </c>
      <c r="Z96" s="366"/>
      <c r="AA96" s="283">
        <v>1.2999999999999999E-2</v>
      </c>
      <c r="AB96" s="366"/>
      <c r="AC96" s="283">
        <v>1.2999999999999999E-2</v>
      </c>
      <c r="AD96" s="366"/>
      <c r="AE96" s="283">
        <v>1.2E-2</v>
      </c>
      <c r="AF96" s="366"/>
      <c r="AG96" s="283">
        <v>1.17E-2</v>
      </c>
      <c r="AH96" s="366"/>
      <c r="AI96" s="283">
        <v>1.9E-2</v>
      </c>
      <c r="AJ96" s="366"/>
      <c r="AK96" s="283">
        <v>1.6799999999999999E-2</v>
      </c>
      <c r="AL96" s="366"/>
      <c r="AM96" s="283">
        <v>0.02</v>
      </c>
      <c r="AN96" s="366"/>
      <c r="AO96" s="283">
        <v>1.7999999999999999E-2</v>
      </c>
      <c r="AP96" s="366"/>
      <c r="AQ96" s="283">
        <v>2.7E-2</v>
      </c>
      <c r="AR96" s="366"/>
      <c r="AS96" s="283">
        <v>2.3E-2</v>
      </c>
      <c r="AT96" s="366"/>
      <c r="AU96" s="283">
        <v>3.3000000000000002E-2</v>
      </c>
      <c r="AV96" s="366"/>
      <c r="AW96" s="283">
        <v>1.7999999999999999E-2</v>
      </c>
      <c r="AX96" s="366"/>
      <c r="AY96" s="283">
        <v>1.7000000000000001E-2</v>
      </c>
      <c r="AZ96" s="366"/>
      <c r="BA96" s="336">
        <v>1.7600000000000001E-2</v>
      </c>
      <c r="BB96" s="366"/>
      <c r="BC96" s="336">
        <v>1.61E-2</v>
      </c>
      <c r="BD96" s="366"/>
      <c r="BE96" s="336">
        <v>1.7999999999999999E-2</v>
      </c>
      <c r="BF96" s="366"/>
      <c r="BG96" s="419">
        <v>1.7000000000000001E-2</v>
      </c>
      <c r="BH96" s="366"/>
      <c r="BI96" s="419">
        <v>1.9E-2</v>
      </c>
      <c r="BJ96" s="366"/>
      <c r="BK96" s="336">
        <v>2.4E-2</v>
      </c>
      <c r="BL96" s="366"/>
      <c r="BM96" s="336">
        <v>2.9000000000000001E-2</v>
      </c>
      <c r="BN96" s="366"/>
      <c r="BO96" s="419">
        <v>2.7E-2</v>
      </c>
      <c r="BP96" s="366"/>
      <c r="BQ96" s="336">
        <v>2.8000000000000001E-2</v>
      </c>
      <c r="BR96" s="366"/>
      <c r="BS96" s="419">
        <v>2.4E-2</v>
      </c>
      <c r="BT96" s="366"/>
      <c r="BU96" s="419">
        <v>2.1999999999999999E-2</v>
      </c>
      <c r="BV96" s="366"/>
      <c r="BW96" s="419">
        <v>1.7000000000000001E-2</v>
      </c>
      <c r="BX96" s="366"/>
      <c r="BY96" s="419">
        <v>1.7000000000000001E-2</v>
      </c>
      <c r="BZ96" s="366"/>
      <c r="CA96" s="419">
        <v>1.2E-2</v>
      </c>
      <c r="CB96" s="366"/>
      <c r="CC96" s="419">
        <v>2.1000000000000001E-2</v>
      </c>
      <c r="CD96" s="366"/>
      <c r="CE96" s="477">
        <v>2.1000000000000001E-2</v>
      </c>
      <c r="CF96" s="478"/>
      <c r="CG96" s="477">
        <v>0.02</v>
      </c>
      <c r="CH96" s="478"/>
      <c r="CI96" s="479">
        <v>6.0000000000000001E-3</v>
      </c>
      <c r="CJ96" s="480"/>
      <c r="CK96" s="481">
        <v>1.4999999999999999E-2</v>
      </c>
      <c r="CL96" s="482"/>
      <c r="CM96" s="481">
        <v>1.4E-2</v>
      </c>
      <c r="CN96" s="482"/>
      <c r="CO96" s="481">
        <v>1.2E-2</v>
      </c>
      <c r="CP96" s="482"/>
      <c r="CQ96" s="481">
        <v>1.2E-2</v>
      </c>
      <c r="CR96" s="482"/>
      <c r="CS96" s="481">
        <v>1.2E-2</v>
      </c>
      <c r="CT96" s="482"/>
      <c r="CU96" s="481">
        <v>1.0999999999999999E-2</v>
      </c>
      <c r="CV96" s="482"/>
      <c r="CW96" s="481">
        <v>1.2999999999999999E-2</v>
      </c>
      <c r="CX96" s="482"/>
      <c r="CY96" s="481">
        <v>1.4999999999999999E-2</v>
      </c>
      <c r="CZ96" s="482"/>
      <c r="DA96" s="481">
        <v>2.7E-2</v>
      </c>
      <c r="DB96" s="482"/>
      <c r="DC96" s="367">
        <v>6.7000000000000004E-2</v>
      </c>
      <c r="DD96" s="368"/>
      <c r="DE96" s="367">
        <v>2.9000000000000001E-2</v>
      </c>
      <c r="DF96" s="368"/>
      <c r="DG96" s="367">
        <v>2.1000000000000001E-2</v>
      </c>
      <c r="DH96" s="368"/>
      <c r="DI96" s="367">
        <v>0.03</v>
      </c>
      <c r="DJ96" s="368"/>
      <c r="DK96" s="367">
        <v>4.2000000000000003E-2</v>
      </c>
      <c r="DL96" s="368"/>
      <c r="DM96" s="367">
        <v>2.1999999999999999E-2</v>
      </c>
      <c r="DN96" s="368"/>
      <c r="DO96" s="367">
        <v>0.03</v>
      </c>
      <c r="DP96" s="368"/>
      <c r="DQ96" s="367">
        <v>3.5999999999999997E-2</v>
      </c>
      <c r="DR96" s="368"/>
      <c r="DS96" s="367">
        <v>3.1E-2</v>
      </c>
      <c r="DT96" s="368"/>
      <c r="DU96" s="390"/>
      <c r="DV96" s="390"/>
      <c r="DW96" s="390"/>
      <c r="DX96" s="390"/>
      <c r="DY96" s="390"/>
      <c r="DZ96" s="390"/>
      <c r="EA96" s="390"/>
      <c r="EB96" s="390"/>
      <c r="EC96" s="390"/>
      <c r="ED96" s="390"/>
      <c r="EE96" s="390"/>
      <c r="EF96" s="390"/>
      <c r="EG96" s="390"/>
      <c r="EH96" s="390"/>
      <c r="EI96" s="390"/>
      <c r="EJ96" s="390"/>
      <c r="EK96" s="390"/>
      <c r="EL96" s="390"/>
      <c r="EM96" s="390"/>
      <c r="EN96" s="367">
        <v>0.03</v>
      </c>
      <c r="EO96" s="368"/>
      <c r="EP96" s="367">
        <v>2.5000000000000001E-2</v>
      </c>
      <c r="EQ96" s="368"/>
      <c r="ER96" s="367">
        <v>2.9000000000000001E-2</v>
      </c>
      <c r="ES96" s="368"/>
      <c r="ET96" s="367">
        <v>2.4E-2</v>
      </c>
      <c r="EU96" s="368"/>
      <c r="EV96" s="367">
        <v>1.2E-2</v>
      </c>
      <c r="EW96" s="368"/>
      <c r="EX96" s="367">
        <v>5.0000000000000001E-3</v>
      </c>
      <c r="EY96" s="368"/>
      <c r="EZ96" s="367">
        <v>3.0000000000000001E-3</v>
      </c>
      <c r="FA96" s="368"/>
      <c r="FB96" s="367">
        <v>2.1000000000000001E-2</v>
      </c>
      <c r="FC96" s="368"/>
      <c r="FD96" s="367">
        <v>3.1E-2</v>
      </c>
      <c r="FE96" s="368"/>
      <c r="FF96" s="367">
        <v>4.4999999999999998E-2</v>
      </c>
      <c r="FG96" s="368"/>
      <c r="FH96" s="367">
        <v>4.5999999999999999E-2</v>
      </c>
      <c r="FI96" s="368"/>
      <c r="FJ96" s="367">
        <v>3.9E-2</v>
      </c>
      <c r="FK96" s="368"/>
      <c r="FL96" s="367">
        <v>1.9E-2</v>
      </c>
      <c r="FM96" s="368"/>
      <c r="FN96" s="367">
        <v>1.9E-2</v>
      </c>
      <c r="FO96" s="368"/>
      <c r="FP96" s="367">
        <v>2.1999999999999999E-2</v>
      </c>
      <c r="FQ96" s="368"/>
      <c r="FR96" s="390"/>
      <c r="FS96" s="390"/>
      <c r="FT96" s="390"/>
      <c r="FU96" s="390"/>
      <c r="FV96" s="390"/>
      <c r="FW96" s="390"/>
      <c r="FX96" s="390"/>
      <c r="FY96" s="390"/>
      <c r="FZ96" s="390"/>
      <c r="GA96" s="390"/>
      <c r="GB96" s="390"/>
      <c r="GC96" s="390"/>
      <c r="GD96" s="390"/>
      <c r="GE96" s="390"/>
      <c r="GF96" s="298"/>
      <c r="GG96" s="298"/>
    </row>
    <row r="97" spans="1:189" s="270" customFormat="1" ht="15" customHeight="1" x14ac:dyDescent="0.3">
      <c r="A97" s="271"/>
      <c r="B97" s="474"/>
      <c r="C97" s="391"/>
      <c r="D97" s="391"/>
      <c r="E97" s="391"/>
      <c r="F97" s="391"/>
      <c r="G97" s="269" t="s">
        <v>83</v>
      </c>
      <c r="H97" s="269"/>
      <c r="I97" s="284">
        <f>SUM(K97:AH97)</f>
        <v>4703</v>
      </c>
      <c r="J97" s="366"/>
      <c r="K97" s="284">
        <v>590</v>
      </c>
      <c r="L97" s="366"/>
      <c r="M97" s="284">
        <v>436</v>
      </c>
      <c r="N97" s="366"/>
      <c r="O97" s="284">
        <v>416</v>
      </c>
      <c r="P97" s="366"/>
      <c r="Q97" s="284">
        <v>445</v>
      </c>
      <c r="R97" s="366"/>
      <c r="S97" s="284">
        <v>383</v>
      </c>
      <c r="T97" s="366"/>
      <c r="U97" s="284">
        <v>301</v>
      </c>
      <c r="V97" s="366"/>
      <c r="W97" s="284">
        <v>367</v>
      </c>
      <c r="X97" s="366"/>
      <c r="Y97" s="284">
        <v>337</v>
      </c>
      <c r="Z97" s="366"/>
      <c r="AA97" s="284">
        <v>362</v>
      </c>
      <c r="AB97" s="366"/>
      <c r="AC97" s="284">
        <v>416</v>
      </c>
      <c r="AD97" s="366"/>
      <c r="AE97" s="284">
        <v>339</v>
      </c>
      <c r="AF97" s="366"/>
      <c r="AG97" s="284">
        <v>311</v>
      </c>
      <c r="AH97" s="366"/>
      <c r="AI97" s="284">
        <v>393</v>
      </c>
      <c r="AJ97" s="366"/>
      <c r="AK97" s="284">
        <v>257</v>
      </c>
      <c r="AL97" s="366"/>
      <c r="AM97" s="284">
        <v>358</v>
      </c>
      <c r="AN97" s="366"/>
      <c r="AO97" s="284">
        <v>292</v>
      </c>
      <c r="AP97" s="366"/>
      <c r="AQ97" s="284">
        <v>397</v>
      </c>
      <c r="AR97" s="366"/>
      <c r="AS97" s="284">
        <v>335</v>
      </c>
      <c r="AT97" s="366"/>
      <c r="AU97" s="284">
        <v>450</v>
      </c>
      <c r="AV97" s="366"/>
      <c r="AW97" s="284">
        <v>233</v>
      </c>
      <c r="AX97" s="366"/>
      <c r="AY97" s="284">
        <v>228</v>
      </c>
      <c r="AZ97" s="366"/>
      <c r="BA97" s="284">
        <v>221</v>
      </c>
      <c r="BB97" s="366"/>
      <c r="BC97" s="284">
        <v>184</v>
      </c>
      <c r="BD97" s="366"/>
      <c r="BE97" s="284">
        <v>273</v>
      </c>
      <c r="BF97" s="366"/>
      <c r="BG97" s="335">
        <v>263</v>
      </c>
      <c r="BH97" s="366"/>
      <c r="BI97" s="335">
        <v>244</v>
      </c>
      <c r="BJ97" s="366"/>
      <c r="BK97" s="284">
        <v>275</v>
      </c>
      <c r="BL97" s="366"/>
      <c r="BM97" s="335">
        <v>307</v>
      </c>
      <c r="BN97" s="366"/>
      <c r="BO97" s="335">
        <v>276</v>
      </c>
      <c r="BP97" s="366"/>
      <c r="BQ97" s="284">
        <v>222</v>
      </c>
      <c r="BR97" s="366"/>
      <c r="BS97" s="335">
        <v>225</v>
      </c>
      <c r="BT97" s="366"/>
      <c r="BU97" s="335">
        <v>191</v>
      </c>
      <c r="BV97" s="366"/>
      <c r="BW97" s="335">
        <v>166</v>
      </c>
      <c r="BX97" s="366"/>
      <c r="BY97" s="335">
        <v>144</v>
      </c>
      <c r="BZ97" s="366"/>
      <c r="CA97" s="335">
        <v>96</v>
      </c>
      <c r="CB97" s="366"/>
      <c r="CC97" s="335">
        <v>168</v>
      </c>
      <c r="CD97" s="366"/>
      <c r="CE97" s="402">
        <v>63</v>
      </c>
      <c r="CF97" s="485"/>
      <c r="CG97" s="402">
        <v>40</v>
      </c>
      <c r="CH97" s="485"/>
      <c r="CI97" s="484">
        <v>19</v>
      </c>
      <c r="CJ97" s="480"/>
      <c r="CK97" s="484">
        <v>37</v>
      </c>
      <c r="CL97" s="480"/>
      <c r="CM97" s="484">
        <v>44</v>
      </c>
      <c r="CN97" s="480"/>
      <c r="CO97" s="484">
        <v>37</v>
      </c>
      <c r="CP97" s="480"/>
      <c r="CQ97" s="484">
        <v>33</v>
      </c>
      <c r="CR97" s="480"/>
      <c r="CS97" s="484">
        <v>42</v>
      </c>
      <c r="CT97" s="480"/>
      <c r="CU97" s="484">
        <v>36</v>
      </c>
      <c r="CV97" s="480"/>
      <c r="CW97" s="484">
        <v>49</v>
      </c>
      <c r="CX97" s="480"/>
      <c r="CY97" s="484">
        <v>67</v>
      </c>
      <c r="CZ97" s="480"/>
      <c r="DA97" s="484">
        <v>139</v>
      </c>
      <c r="DB97" s="480"/>
      <c r="DC97" s="369">
        <v>361</v>
      </c>
      <c r="DD97" s="370"/>
      <c r="DE97" s="369">
        <v>166</v>
      </c>
      <c r="DF97" s="370"/>
      <c r="DG97" s="369">
        <v>143</v>
      </c>
      <c r="DH97" s="370"/>
      <c r="DI97" s="369">
        <v>179</v>
      </c>
      <c r="DJ97" s="370"/>
      <c r="DK97" s="369">
        <v>291</v>
      </c>
      <c r="DL97" s="370"/>
      <c r="DM97" s="369">
        <v>147</v>
      </c>
      <c r="DN97" s="370"/>
      <c r="DO97" s="369">
        <v>180</v>
      </c>
      <c r="DP97" s="370"/>
      <c r="DQ97" s="369">
        <v>237</v>
      </c>
      <c r="DR97" s="370"/>
      <c r="DS97" s="369">
        <v>177</v>
      </c>
      <c r="DT97" s="370"/>
      <c r="DU97" s="391"/>
      <c r="DV97" s="391"/>
      <c r="DW97" s="391"/>
      <c r="DX97" s="391"/>
      <c r="DY97" s="391"/>
      <c r="DZ97" s="391"/>
      <c r="EA97" s="391"/>
      <c r="EB97" s="391"/>
      <c r="EC97" s="391"/>
      <c r="ED97" s="391"/>
      <c r="EE97" s="391"/>
      <c r="EF97" s="391"/>
      <c r="EG97" s="391"/>
      <c r="EH97" s="391"/>
      <c r="EI97" s="391"/>
      <c r="EJ97" s="391"/>
      <c r="EK97" s="391"/>
      <c r="EL97" s="391"/>
      <c r="EM97" s="391"/>
      <c r="EN97" s="369">
        <v>167</v>
      </c>
      <c r="EO97" s="370"/>
      <c r="EP97" s="369">
        <v>141</v>
      </c>
      <c r="EQ97" s="370"/>
      <c r="ER97" s="369">
        <v>149</v>
      </c>
      <c r="ES97" s="370"/>
      <c r="ET97" s="369">
        <v>156</v>
      </c>
      <c r="EU97" s="370"/>
      <c r="EV97" s="369">
        <v>92</v>
      </c>
      <c r="EW97" s="370"/>
      <c r="EX97" s="369">
        <v>31</v>
      </c>
      <c r="EY97" s="370"/>
      <c r="EZ97" s="369">
        <v>31</v>
      </c>
      <c r="FA97" s="370"/>
      <c r="FB97" s="369">
        <v>149</v>
      </c>
      <c r="FC97" s="370"/>
      <c r="FD97" s="369">
        <v>151</v>
      </c>
      <c r="FE97" s="370"/>
      <c r="FF97" s="369">
        <v>245</v>
      </c>
      <c r="FG97" s="370"/>
      <c r="FH97" s="369">
        <v>221</v>
      </c>
      <c r="FI97" s="370"/>
      <c r="FJ97" s="369">
        <v>189</v>
      </c>
      <c r="FK97" s="370"/>
      <c r="FL97" s="369">
        <v>98</v>
      </c>
      <c r="FM97" s="370"/>
      <c r="FN97" s="369">
        <v>133</v>
      </c>
      <c r="FO97" s="370"/>
      <c r="FP97" s="369">
        <v>53</v>
      </c>
      <c r="FQ97" s="370"/>
      <c r="FR97" s="391"/>
      <c r="FS97" s="391"/>
      <c r="FT97" s="391"/>
      <c r="FU97" s="391"/>
      <c r="FV97" s="391"/>
      <c r="FW97" s="391"/>
      <c r="FX97" s="391"/>
      <c r="FY97" s="391"/>
      <c r="FZ97" s="391"/>
      <c r="GA97" s="391"/>
      <c r="GB97" s="391"/>
      <c r="GC97" s="391"/>
      <c r="GD97" s="391"/>
      <c r="GE97" s="391"/>
      <c r="GF97" s="299"/>
      <c r="GG97" s="299"/>
    </row>
    <row r="98" spans="1:189" ht="8.25" customHeight="1" x14ac:dyDescent="0.3">
      <c r="A98" s="1"/>
      <c r="B98" s="18"/>
      <c r="C98" s="18"/>
      <c r="D98" s="18"/>
      <c r="E98" s="18"/>
      <c r="F98" s="18"/>
      <c r="G98" s="3"/>
      <c r="H98" s="3"/>
      <c r="I98" s="19"/>
      <c r="J98" s="20"/>
      <c r="K98" s="19"/>
      <c r="L98" s="20"/>
      <c r="M98" s="19"/>
      <c r="N98" s="20"/>
      <c r="O98" s="19"/>
      <c r="P98" s="20"/>
      <c r="Q98" s="19"/>
      <c r="R98" s="20"/>
      <c r="S98" s="19"/>
      <c r="T98" s="20"/>
      <c r="U98" s="19"/>
      <c r="V98" s="20"/>
      <c r="W98" s="19"/>
      <c r="X98" s="20"/>
      <c r="Y98" s="19"/>
      <c r="Z98" s="20"/>
      <c r="AA98" s="19"/>
      <c r="AB98" s="20"/>
      <c r="AC98" s="19"/>
      <c r="AD98" s="20"/>
      <c r="AE98" s="19"/>
      <c r="AF98" s="20"/>
      <c r="AG98" s="19"/>
      <c r="AH98" s="20"/>
      <c r="AI98" s="19"/>
      <c r="AJ98" s="20"/>
      <c r="AK98" s="19"/>
      <c r="AL98" s="20"/>
      <c r="AM98" s="19"/>
      <c r="AN98" s="20"/>
      <c r="AO98" s="19"/>
      <c r="AP98" s="20"/>
      <c r="AQ98" s="19"/>
      <c r="AR98" s="20"/>
      <c r="AS98" s="19"/>
      <c r="AT98" s="20"/>
      <c r="AU98" s="19"/>
      <c r="AV98" s="20"/>
      <c r="AW98" s="19"/>
      <c r="AX98" s="20"/>
      <c r="AY98" s="19"/>
      <c r="AZ98" s="20"/>
      <c r="BA98" s="19"/>
      <c r="BB98" s="20"/>
      <c r="BC98" s="19"/>
      <c r="BD98" s="20"/>
      <c r="BE98" s="19"/>
      <c r="BF98" s="20"/>
      <c r="BG98" s="19"/>
      <c r="BH98" s="20"/>
      <c r="BI98" s="19"/>
      <c r="BJ98" s="20"/>
      <c r="BK98" s="19"/>
      <c r="BL98" s="20"/>
      <c r="BM98" s="19"/>
      <c r="BN98" s="20"/>
      <c r="BO98" s="19"/>
      <c r="BP98" s="20"/>
      <c r="BQ98" s="19"/>
      <c r="BR98" s="20"/>
      <c r="BS98" s="19"/>
      <c r="BT98" s="20"/>
      <c r="BU98" s="19"/>
      <c r="BV98" s="20"/>
      <c r="BW98" s="19"/>
      <c r="BX98" s="20"/>
      <c r="BY98" s="19"/>
      <c r="BZ98" s="20"/>
      <c r="CA98" s="19"/>
      <c r="CB98" s="20"/>
      <c r="CC98" s="19"/>
      <c r="CD98" s="20"/>
      <c r="CE98" s="19"/>
      <c r="CF98" s="20"/>
      <c r="CG98" s="19"/>
      <c r="CH98" s="20"/>
      <c r="CI98" s="19"/>
      <c r="CJ98" s="20"/>
      <c r="CK98" s="19"/>
      <c r="CL98" s="20"/>
      <c r="CM98" s="19"/>
      <c r="CN98" s="20"/>
      <c r="CO98" s="19"/>
      <c r="CP98" s="20"/>
      <c r="CQ98" s="19"/>
      <c r="CR98" s="20"/>
      <c r="CS98" s="19"/>
      <c r="CT98" s="20"/>
      <c r="CU98" s="19"/>
      <c r="CV98" s="20"/>
      <c r="CW98" s="19"/>
      <c r="CX98" s="20"/>
      <c r="CY98" s="19"/>
      <c r="CZ98" s="20"/>
      <c r="DA98" s="19"/>
      <c r="DB98" s="20"/>
      <c r="DC98" s="19"/>
      <c r="DD98" s="20"/>
      <c r="DE98" s="19"/>
      <c r="DF98" s="20"/>
      <c r="DG98" s="19"/>
      <c r="DH98" s="20"/>
      <c r="DI98" s="19"/>
      <c r="DJ98" s="20"/>
      <c r="DK98" s="19"/>
      <c r="DL98" s="20"/>
      <c r="DM98" s="19"/>
      <c r="DN98" s="20"/>
      <c r="DO98" s="19"/>
      <c r="DP98" s="20"/>
      <c r="DQ98" s="19"/>
      <c r="DR98" s="20"/>
      <c r="DS98" s="19"/>
      <c r="DT98" s="20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19"/>
      <c r="EO98" s="20"/>
      <c r="EP98" s="19"/>
      <c r="EQ98" s="20"/>
      <c r="ER98" s="19"/>
      <c r="ES98" s="20"/>
      <c r="ET98" s="19"/>
      <c r="EU98" s="20"/>
      <c r="EV98" s="19"/>
      <c r="EW98" s="20"/>
      <c r="EX98" s="19"/>
      <c r="EY98" s="20"/>
      <c r="EZ98" s="19"/>
      <c r="FA98" s="20"/>
      <c r="FB98" s="19"/>
      <c r="FC98" s="20"/>
      <c r="FD98" s="19"/>
      <c r="FE98" s="20"/>
      <c r="FF98" s="19"/>
      <c r="FG98" s="20"/>
      <c r="FH98" s="19"/>
      <c r="FI98" s="20"/>
      <c r="FJ98" s="19"/>
      <c r="FK98" s="20"/>
      <c r="FL98" s="19"/>
      <c r="FM98" s="20"/>
      <c r="FN98" s="19"/>
      <c r="FO98" s="20"/>
      <c r="FP98" s="19"/>
      <c r="FQ98" s="20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</row>
    <row r="99" spans="1:189" ht="15" hidden="1" customHeight="1" x14ac:dyDescent="0.3">
      <c r="A99" s="63"/>
      <c r="B99" s="470" t="s">
        <v>84</v>
      </c>
      <c r="C99" s="313" t="s">
        <v>85</v>
      </c>
      <c r="D99" s="313" t="s">
        <v>25</v>
      </c>
      <c r="E99" s="313" t="s">
        <v>86</v>
      </c>
      <c r="F99" s="313" t="s">
        <v>27</v>
      </c>
      <c r="G99" s="5" t="s">
        <v>28</v>
      </c>
      <c r="H99" s="5"/>
      <c r="I99" s="327">
        <v>0.1</v>
      </c>
      <c r="J99" s="281"/>
      <c r="K99" s="327">
        <v>0.1</v>
      </c>
      <c r="L99" s="281"/>
      <c r="M99" s="327">
        <v>0.1</v>
      </c>
      <c r="N99" s="281"/>
      <c r="O99" s="327">
        <v>0.1</v>
      </c>
      <c r="P99" s="281"/>
      <c r="Q99" s="327">
        <v>0.1</v>
      </c>
      <c r="R99" s="281"/>
      <c r="S99" s="327">
        <v>0.1</v>
      </c>
      <c r="T99" s="281"/>
      <c r="U99" s="327">
        <v>0.1</v>
      </c>
      <c r="V99" s="281"/>
      <c r="W99" s="327">
        <v>0.1</v>
      </c>
      <c r="X99" s="281"/>
      <c r="Y99" s="327">
        <v>0.1</v>
      </c>
      <c r="Z99" s="281"/>
      <c r="AA99" s="327">
        <v>0.1</v>
      </c>
      <c r="AB99" s="281"/>
      <c r="AC99" s="327">
        <v>0.1</v>
      </c>
      <c r="AD99" s="281"/>
      <c r="AE99" s="327">
        <v>0.1</v>
      </c>
      <c r="AF99" s="281"/>
      <c r="AG99" s="327">
        <v>0.1</v>
      </c>
      <c r="AH99" s="281"/>
      <c r="AI99" s="327">
        <v>0.1</v>
      </c>
      <c r="AJ99" s="281"/>
      <c r="AK99" s="327">
        <v>0.1</v>
      </c>
      <c r="AL99" s="281"/>
      <c r="AM99" s="327">
        <v>0.1</v>
      </c>
      <c r="AN99" s="281"/>
      <c r="AO99" s="327">
        <v>0.1</v>
      </c>
      <c r="AP99" s="281"/>
      <c r="AQ99" s="327">
        <v>0.1</v>
      </c>
      <c r="AR99" s="281"/>
      <c r="AS99" s="327">
        <v>0.1</v>
      </c>
      <c r="AT99" s="281"/>
      <c r="AU99" s="427">
        <v>0.1</v>
      </c>
      <c r="AV99" s="281"/>
      <c r="AW99" s="327">
        <v>0.1</v>
      </c>
      <c r="AX99" s="281"/>
      <c r="AY99" s="327">
        <v>0.1</v>
      </c>
      <c r="AZ99" s="281"/>
      <c r="BA99" s="327">
        <v>0.1</v>
      </c>
      <c r="BB99" s="281"/>
      <c r="BC99" s="327">
        <v>0.1</v>
      </c>
      <c r="BD99" s="281"/>
      <c r="BE99" s="327">
        <v>0.1</v>
      </c>
      <c r="BF99" s="281"/>
      <c r="BG99" s="327">
        <v>0.1</v>
      </c>
      <c r="BH99" s="281"/>
      <c r="BI99" s="327">
        <v>0.1</v>
      </c>
      <c r="BJ99" s="281"/>
      <c r="BK99" s="327">
        <v>0.1</v>
      </c>
      <c r="BL99" s="281"/>
      <c r="BM99" s="327">
        <v>0.1</v>
      </c>
      <c r="BN99" s="281"/>
      <c r="BO99" s="327">
        <v>0.1</v>
      </c>
      <c r="BP99" s="281"/>
      <c r="BQ99" s="327">
        <v>0.1</v>
      </c>
      <c r="BR99" s="281"/>
      <c r="BS99" s="327">
        <v>0.1</v>
      </c>
      <c r="BT99" s="281"/>
      <c r="BU99" s="327">
        <v>0.1</v>
      </c>
      <c r="BV99" s="281"/>
      <c r="BW99" s="327">
        <v>0.1</v>
      </c>
      <c r="BX99" s="281"/>
      <c r="BY99" s="327">
        <v>0.1</v>
      </c>
      <c r="BZ99" s="281"/>
      <c r="CA99" s="327">
        <v>0.1</v>
      </c>
      <c r="CB99" s="281"/>
      <c r="CC99" s="327">
        <v>0.1</v>
      </c>
      <c r="CD99" s="281"/>
      <c r="CE99" s="327">
        <v>0.1</v>
      </c>
      <c r="CF99" s="281"/>
      <c r="CG99" s="327">
        <v>0.1</v>
      </c>
      <c r="CH99" s="281"/>
      <c r="CI99" s="327">
        <v>0.1</v>
      </c>
      <c r="CJ99" s="281"/>
      <c r="CK99" s="327">
        <v>0.1</v>
      </c>
      <c r="CL99" s="281"/>
      <c r="CM99" s="327">
        <v>0.1</v>
      </c>
      <c r="CN99" s="281"/>
      <c r="CO99" s="327">
        <v>0.1</v>
      </c>
      <c r="CP99" s="281"/>
      <c r="CQ99" s="327">
        <v>0.1</v>
      </c>
      <c r="CR99" s="281"/>
      <c r="CS99" s="327">
        <v>0.1</v>
      </c>
      <c r="CT99" s="281"/>
      <c r="CU99" s="327">
        <v>0.1</v>
      </c>
      <c r="CV99" s="281"/>
      <c r="CW99" s="327">
        <v>0.1</v>
      </c>
      <c r="CX99" s="281"/>
      <c r="CY99" s="327">
        <v>0.1</v>
      </c>
      <c r="CZ99" s="281"/>
      <c r="DA99" s="327">
        <v>0.1</v>
      </c>
      <c r="DB99" s="281"/>
      <c r="DC99" s="327">
        <v>0.1</v>
      </c>
      <c r="DD99" s="281"/>
      <c r="DE99" s="327">
        <v>0.1</v>
      </c>
      <c r="DF99" s="281"/>
      <c r="DG99" s="327">
        <v>0.1</v>
      </c>
      <c r="DH99" s="281"/>
      <c r="DI99" s="327">
        <v>0.1</v>
      </c>
      <c r="DJ99" s="281"/>
      <c r="DK99" s="327">
        <v>0.1</v>
      </c>
      <c r="DL99" s="281"/>
      <c r="DM99" s="327">
        <v>0.1</v>
      </c>
      <c r="DN99" s="281"/>
      <c r="DO99" s="327">
        <v>0.1</v>
      </c>
      <c r="DP99" s="281"/>
      <c r="DQ99" s="327">
        <v>0.1</v>
      </c>
      <c r="DR99" s="281"/>
      <c r="DS99" s="327">
        <v>0.1</v>
      </c>
      <c r="DT99" s="281"/>
      <c r="DU99" s="297" t="s">
        <v>29</v>
      </c>
      <c r="DV99" s="297" t="s">
        <v>29</v>
      </c>
      <c r="DW99" s="300" t="s">
        <v>87</v>
      </c>
      <c r="DX99" s="300" t="s">
        <v>87</v>
      </c>
      <c r="DY99" s="300" t="s">
        <v>87</v>
      </c>
      <c r="DZ99" s="300" t="s">
        <v>87</v>
      </c>
      <c r="EA99" s="300" t="s">
        <v>87</v>
      </c>
      <c r="EB99" s="300" t="s">
        <v>87</v>
      </c>
      <c r="EC99" s="300"/>
      <c r="ED99" s="300"/>
      <c r="EE99" s="300"/>
      <c r="EF99" s="300"/>
      <c r="EG99" s="300"/>
      <c r="EH99" s="300"/>
      <c r="EI99" s="300"/>
      <c r="EJ99" s="300"/>
      <c r="EK99" s="300"/>
      <c r="EL99" s="300"/>
      <c r="EM99" s="300"/>
      <c r="EN99" s="327">
        <v>0.1</v>
      </c>
      <c r="EO99" s="281"/>
      <c r="EP99" s="327">
        <v>0.1</v>
      </c>
      <c r="EQ99" s="281"/>
      <c r="ER99" s="327">
        <v>0.1</v>
      </c>
      <c r="ES99" s="281"/>
      <c r="ET99" s="327">
        <v>0.1</v>
      </c>
      <c r="EU99" s="281"/>
      <c r="EV99" s="327">
        <v>0.1</v>
      </c>
      <c r="EW99" s="281"/>
      <c r="EX99" s="327">
        <v>0.1</v>
      </c>
      <c r="EY99" s="281"/>
      <c r="EZ99" s="327">
        <v>0.1</v>
      </c>
      <c r="FA99" s="281"/>
      <c r="FB99" s="327">
        <v>0.1</v>
      </c>
      <c r="FC99" s="281"/>
      <c r="FD99" s="327">
        <v>0.1</v>
      </c>
      <c r="FE99" s="281"/>
      <c r="FF99" s="327">
        <v>0.1</v>
      </c>
      <c r="FG99" s="281"/>
      <c r="FH99" s="327">
        <v>0.1</v>
      </c>
      <c r="FI99" s="281"/>
      <c r="FJ99" s="327">
        <v>0.1</v>
      </c>
      <c r="FK99" s="281"/>
      <c r="FL99" s="327">
        <v>0.1</v>
      </c>
      <c r="FM99" s="281"/>
      <c r="FN99" s="327">
        <v>0.1</v>
      </c>
      <c r="FO99" s="281"/>
      <c r="FP99" s="327">
        <v>0.1</v>
      </c>
      <c r="FQ99" s="281"/>
      <c r="FR99" s="300"/>
      <c r="FS99" s="300"/>
      <c r="FT99" s="300"/>
      <c r="FU99" s="300"/>
      <c r="FV99" s="300"/>
      <c r="FW99" s="300"/>
      <c r="FX99" s="300"/>
      <c r="FY99" s="300"/>
      <c r="FZ99" s="300"/>
      <c r="GA99" s="300"/>
      <c r="GB99" s="300"/>
      <c r="GC99" s="300"/>
      <c r="GD99" s="300"/>
      <c r="GE99" s="300"/>
      <c r="GF99" s="300"/>
      <c r="GG99" s="300"/>
    </row>
    <row r="100" spans="1:189" ht="3.75" hidden="1" customHeight="1" x14ac:dyDescent="0.3">
      <c r="A100" s="1"/>
      <c r="B100" s="301"/>
      <c r="C100" s="301"/>
      <c r="D100" s="301"/>
      <c r="E100" s="301"/>
      <c r="F100" s="301"/>
      <c r="G100" s="5"/>
      <c r="H100" s="5"/>
      <c r="I100" s="351"/>
      <c r="J100" s="281"/>
      <c r="K100" s="351"/>
      <c r="L100" s="281"/>
      <c r="M100" s="351"/>
      <c r="N100" s="281"/>
      <c r="O100" s="351"/>
      <c r="P100" s="281"/>
      <c r="Q100" s="351"/>
      <c r="R100" s="281"/>
      <c r="S100" s="328"/>
      <c r="T100" s="281"/>
      <c r="U100" s="328"/>
      <c r="V100" s="281"/>
      <c r="W100" s="328"/>
      <c r="X100" s="281"/>
      <c r="Y100" s="351"/>
      <c r="Z100" s="281"/>
      <c r="AA100" s="328"/>
      <c r="AB100" s="281"/>
      <c r="AC100" s="328"/>
      <c r="AD100" s="281"/>
      <c r="AE100" s="328"/>
      <c r="AF100" s="281"/>
      <c r="AG100" s="328"/>
      <c r="AH100" s="281"/>
      <c r="AI100" s="328"/>
      <c r="AJ100" s="281"/>
      <c r="AK100" s="328"/>
      <c r="AL100" s="281"/>
      <c r="AM100" s="328"/>
      <c r="AN100" s="281"/>
      <c r="AO100" s="328"/>
      <c r="AP100" s="281"/>
      <c r="AQ100" s="328"/>
      <c r="AR100" s="281"/>
      <c r="AS100" s="328"/>
      <c r="AT100" s="281"/>
      <c r="AU100" s="428"/>
      <c r="AV100" s="281"/>
      <c r="AW100" s="371"/>
      <c r="AX100" s="281"/>
      <c r="AY100" s="371"/>
      <c r="AZ100" s="281"/>
      <c r="BA100" s="371"/>
      <c r="BB100" s="281"/>
      <c r="BC100" s="371"/>
      <c r="BD100" s="281"/>
      <c r="BE100" s="371"/>
      <c r="BF100" s="281"/>
      <c r="BG100" s="371"/>
      <c r="BH100" s="281"/>
      <c r="BI100" s="371"/>
      <c r="BJ100" s="281"/>
      <c r="BK100" s="371"/>
      <c r="BL100" s="281"/>
      <c r="BM100" s="371"/>
      <c r="BN100" s="281"/>
      <c r="BO100" s="371"/>
      <c r="BP100" s="281"/>
      <c r="BQ100" s="328"/>
      <c r="BR100" s="281"/>
      <c r="BS100" s="328"/>
      <c r="BT100" s="281"/>
      <c r="BU100" s="371"/>
      <c r="BV100" s="281"/>
      <c r="BW100" s="371"/>
      <c r="BX100" s="281"/>
      <c r="BY100" s="371"/>
      <c r="BZ100" s="281"/>
      <c r="CA100" s="371"/>
      <c r="CB100" s="281"/>
      <c r="CC100" s="371"/>
      <c r="CD100" s="281"/>
      <c r="CE100" s="371"/>
      <c r="CF100" s="281"/>
      <c r="CG100" s="371"/>
      <c r="CH100" s="281"/>
      <c r="CI100" s="371"/>
      <c r="CJ100" s="281"/>
      <c r="CK100" s="371"/>
      <c r="CL100" s="281"/>
      <c r="CM100" s="371"/>
      <c r="CN100" s="281"/>
      <c r="CO100" s="371"/>
      <c r="CP100" s="281"/>
      <c r="CQ100" s="371"/>
      <c r="CR100" s="281"/>
      <c r="CS100" s="371"/>
      <c r="CT100" s="281"/>
      <c r="CU100" s="371"/>
      <c r="CV100" s="281"/>
      <c r="CW100" s="371"/>
      <c r="CX100" s="281"/>
      <c r="CY100" s="371"/>
      <c r="CZ100" s="281"/>
      <c r="DA100" s="371"/>
      <c r="DB100" s="281"/>
      <c r="DC100" s="371"/>
      <c r="DD100" s="281"/>
      <c r="DE100" s="371"/>
      <c r="DF100" s="281"/>
      <c r="DG100" s="371"/>
      <c r="DH100" s="281"/>
      <c r="DI100" s="371"/>
      <c r="DJ100" s="281"/>
      <c r="DK100" s="371"/>
      <c r="DL100" s="281"/>
      <c r="DM100" s="371"/>
      <c r="DN100" s="281"/>
      <c r="DO100" s="371"/>
      <c r="DP100" s="281"/>
      <c r="DQ100" s="371"/>
      <c r="DR100" s="281"/>
      <c r="DS100" s="371"/>
      <c r="DT100" s="281"/>
      <c r="DU100" s="301"/>
      <c r="DV100" s="301"/>
      <c r="DW100" s="301"/>
      <c r="DX100" s="301"/>
      <c r="DY100" s="301"/>
      <c r="DZ100" s="301"/>
      <c r="EA100" s="301"/>
      <c r="EB100" s="301"/>
      <c r="EC100" s="301"/>
      <c r="ED100" s="301"/>
      <c r="EE100" s="301"/>
      <c r="EF100" s="301"/>
      <c r="EG100" s="301"/>
      <c r="EH100" s="301"/>
      <c r="EI100" s="301"/>
      <c r="EJ100" s="301"/>
      <c r="EK100" s="301"/>
      <c r="EL100" s="301"/>
      <c r="EM100" s="301"/>
      <c r="EN100" s="371"/>
      <c r="EO100" s="281"/>
      <c r="EP100" s="371"/>
      <c r="EQ100" s="281"/>
      <c r="ER100" s="371"/>
      <c r="ES100" s="281"/>
      <c r="ET100" s="371"/>
      <c r="EU100" s="281"/>
      <c r="EV100" s="371"/>
      <c r="EW100" s="281"/>
      <c r="EX100" s="371"/>
      <c r="EY100" s="281"/>
      <c r="EZ100" s="371"/>
      <c r="FA100" s="281"/>
      <c r="FB100" s="371"/>
      <c r="FC100" s="281"/>
      <c r="FD100" s="371"/>
      <c r="FE100" s="281"/>
      <c r="FF100" s="371"/>
      <c r="FG100" s="281"/>
      <c r="FH100" s="371"/>
      <c r="FI100" s="281"/>
      <c r="FJ100" s="371"/>
      <c r="FK100" s="281"/>
      <c r="FL100" s="371"/>
      <c r="FM100" s="281"/>
      <c r="FN100" s="371"/>
      <c r="FO100" s="281"/>
      <c r="FP100" s="371"/>
      <c r="FQ100" s="281"/>
      <c r="FR100" s="301"/>
      <c r="FS100" s="301"/>
      <c r="FT100" s="301"/>
      <c r="FU100" s="301"/>
      <c r="FV100" s="301"/>
      <c r="FW100" s="301"/>
      <c r="FX100" s="301"/>
      <c r="FY100" s="301"/>
      <c r="FZ100" s="301"/>
      <c r="GA100" s="301"/>
      <c r="GB100" s="301"/>
      <c r="GC100" s="301"/>
      <c r="GD100" s="301"/>
      <c r="GE100" s="301"/>
      <c r="GF100" s="301"/>
      <c r="GG100" s="301"/>
    </row>
    <row r="101" spans="1:189" ht="15" hidden="1" customHeight="1" x14ac:dyDescent="0.3">
      <c r="A101" s="1"/>
      <c r="B101" s="301"/>
      <c r="C101" s="301"/>
      <c r="D101" s="301"/>
      <c r="E101" s="301"/>
      <c r="F101" s="301"/>
      <c r="G101" s="5" t="s">
        <v>30</v>
      </c>
      <c r="H101" s="5"/>
      <c r="I101" s="283">
        <f>I103/I326</f>
        <v>0.10809166316203907</v>
      </c>
      <c r="J101" s="281"/>
      <c r="K101" s="283">
        <f>K103/K326</f>
        <v>0.15829843998962465</v>
      </c>
      <c r="L101" s="281"/>
      <c r="M101" s="283">
        <f>M103/M326</f>
        <v>0.14054682367210794</v>
      </c>
      <c r="N101" s="281"/>
      <c r="O101" s="283">
        <f>O103/O326</f>
        <v>0.1110514381191073</v>
      </c>
      <c r="P101" s="281"/>
      <c r="Q101" s="283">
        <f>Q103/Q326</f>
        <v>0.12300123001230012</v>
      </c>
      <c r="R101" s="281"/>
      <c r="S101" s="283">
        <f>S103/S326</f>
        <v>9.9610757254069357E-2</v>
      </c>
      <c r="T101" s="281"/>
      <c r="U101" s="283">
        <f>U103/U326</f>
        <v>7.7925585792423521E-2</v>
      </c>
      <c r="V101" s="281"/>
      <c r="W101" s="283">
        <f>W103/W326</f>
        <v>9.4157070039645088E-2</v>
      </c>
      <c r="X101" s="281"/>
      <c r="Y101" s="283">
        <f>Y103/Y326</f>
        <v>0.11775827143821742</v>
      </c>
      <c r="Z101" s="281"/>
      <c r="AA101" s="283">
        <f>AA103/AA326</f>
        <v>9.7451195896791756E-2</v>
      </c>
      <c r="AB101" s="281"/>
      <c r="AC101" s="283">
        <f>AC103/AC326</f>
        <v>8.3050498817237473E-2</v>
      </c>
      <c r="AD101" s="281"/>
      <c r="AE101" s="283">
        <f>AE103/AE326</f>
        <v>7.1362200334510309E-2</v>
      </c>
      <c r="AF101" s="281"/>
      <c r="AG101" s="283">
        <f>AG103/AG326</f>
        <v>7.8727926749509486E-2</v>
      </c>
      <c r="AH101" s="281"/>
      <c r="AI101" s="283">
        <f>AI103/AI326</f>
        <v>5.0644381796214256E-2</v>
      </c>
      <c r="AJ101" s="281"/>
      <c r="AK101" s="283">
        <f>AK103/AK326</f>
        <v>9.2997093840817474E-2</v>
      </c>
      <c r="AL101" s="281"/>
      <c r="AM101" s="283">
        <f>AM103/AM326</f>
        <v>6.356821589205397E-2</v>
      </c>
      <c r="AN101" s="281"/>
      <c r="AO101" s="283">
        <f>AO103/AO326</f>
        <v>3.1073446327683617E-2</v>
      </c>
      <c r="AP101" s="281"/>
      <c r="AQ101" s="283">
        <f>AQ103/AQ326</f>
        <v>2.0079502599123434E-2</v>
      </c>
      <c r="AR101" s="281"/>
      <c r="AS101" s="283">
        <f>AS103/AS326</f>
        <v>2.4369980614788147E-2</v>
      </c>
      <c r="AT101" s="281"/>
      <c r="AU101" s="429">
        <f>AU103/AU326</f>
        <v>0</v>
      </c>
      <c r="AV101" s="281"/>
      <c r="AW101" s="283">
        <f>AW103/379</f>
        <v>0.36675461741424803</v>
      </c>
      <c r="AX101" s="281"/>
      <c r="AY101" s="283">
        <f>AY103/SUM(646+AY103)</f>
        <v>0.20638820638820637</v>
      </c>
      <c r="AZ101" s="281"/>
      <c r="BA101" s="283">
        <f>BA103/SUM(325+BA103)</f>
        <v>0.47580645161290325</v>
      </c>
      <c r="BB101" s="281"/>
      <c r="BC101" s="283">
        <f>BC103/SUM(581+BC103)</f>
        <v>0.43810444874274662</v>
      </c>
      <c r="BD101" s="281"/>
      <c r="BE101" s="283">
        <f>BE103/SUM(1983+BE103)</f>
        <v>0.39963669391462309</v>
      </c>
      <c r="BF101" s="281"/>
      <c r="BG101" s="283">
        <f>BG103/(BG103+BG102)</f>
        <v>0.20949123557075675</v>
      </c>
      <c r="BH101" s="281"/>
      <c r="BI101" s="283">
        <f>BI103/(BI103+BI102)</f>
        <v>0.20793499043977057</v>
      </c>
      <c r="BJ101" s="281"/>
      <c r="BK101" s="283">
        <f>BK103/(BK103+BK102)</f>
        <v>0.28790560471976401</v>
      </c>
      <c r="BL101" s="281"/>
      <c r="BM101" s="283">
        <f>BM103/(BM103+BM102)</f>
        <v>0.11742566804666918</v>
      </c>
      <c r="BN101" s="281"/>
      <c r="BO101" s="283">
        <f>BO103/(BO103+BO102)</f>
        <v>0.11050128064398097</v>
      </c>
      <c r="BP101" s="281"/>
      <c r="BQ101" s="283">
        <f>BQ103/(BQ103+BQ102)</f>
        <v>9.0263267864605104E-2</v>
      </c>
      <c r="BR101" s="281"/>
      <c r="BS101" s="283">
        <f>BS103/(BS103+BS102)</f>
        <v>0.10067114093959731</v>
      </c>
      <c r="BT101" s="281"/>
      <c r="BU101" s="283">
        <f>BU103/(BU103+BU102)</f>
        <v>0.11927034611786716</v>
      </c>
      <c r="BV101" s="281"/>
      <c r="BW101" s="283">
        <f>BW103/(BW103+BW102)</f>
        <v>0.1105955143078113</v>
      </c>
      <c r="BX101" s="281"/>
      <c r="BY101" s="283">
        <f>BY103/(BY103+BY102)</f>
        <v>0.13494261970716265</v>
      </c>
      <c r="BZ101" s="281"/>
      <c r="CA101" s="283">
        <f>CA103/(CA103+CA102)</f>
        <v>0.24316682375117812</v>
      </c>
      <c r="CB101" s="281"/>
      <c r="CC101" s="283">
        <f>CC103/(CC103+CC102)</f>
        <v>0.30193236714975846</v>
      </c>
      <c r="CD101" s="281"/>
      <c r="CE101" s="283">
        <f>CE103/(CE103+CE102)</f>
        <v>0.58301158301158296</v>
      </c>
      <c r="CF101" s="281"/>
      <c r="CG101" s="283" t="e">
        <f>CG103/(CG103+CG102)</f>
        <v>#DIV/0!</v>
      </c>
      <c r="CH101" s="281"/>
      <c r="CI101" s="283" t="e">
        <f>CI103/(CI103+CI102)</f>
        <v>#DIV/0!</v>
      </c>
      <c r="CJ101" s="281"/>
      <c r="CK101" s="283" t="e">
        <f>CK103/(CK103+CK102)</f>
        <v>#DIV/0!</v>
      </c>
      <c r="CL101" s="281"/>
      <c r="CM101" s="283" t="e">
        <f>CM103/(CM103+CM102)</f>
        <v>#DIV/0!</v>
      </c>
      <c r="CN101" s="281"/>
      <c r="CO101" s="283" t="e">
        <f>CO103/(CO103+CO102)</f>
        <v>#DIV/0!</v>
      </c>
      <c r="CP101" s="281"/>
      <c r="CQ101" s="283" t="e">
        <f>CQ103/(CQ103+CQ102)</f>
        <v>#DIV/0!</v>
      </c>
      <c r="CR101" s="281"/>
      <c r="CS101" s="283" t="e">
        <f>CS103/(CS103+CS102)</f>
        <v>#DIV/0!</v>
      </c>
      <c r="CT101" s="281"/>
      <c r="CU101" s="283" t="e">
        <f>CU103/(CU103+CU102)</f>
        <v>#DIV/0!</v>
      </c>
      <c r="CV101" s="281"/>
      <c r="CW101" s="283" t="e">
        <f>CW103/(CW103+CW102)</f>
        <v>#DIV/0!</v>
      </c>
      <c r="CX101" s="281"/>
      <c r="CY101" s="283" t="e">
        <f>CY103/(CY103+CY102)</f>
        <v>#DIV/0!</v>
      </c>
      <c r="CZ101" s="281"/>
      <c r="DA101" s="283" t="e">
        <f>DA103/(DA103+DA102)</f>
        <v>#DIV/0!</v>
      </c>
      <c r="DB101" s="281"/>
      <c r="DC101" s="283" t="e">
        <f>DC103/(DC103+DC102)</f>
        <v>#DIV/0!</v>
      </c>
      <c r="DD101" s="281"/>
      <c r="DE101" s="283" t="e">
        <f>DE103/(DE103+DE102)</f>
        <v>#DIV/0!</v>
      </c>
      <c r="DF101" s="281"/>
      <c r="DG101" s="283" t="e">
        <f>DG103/(DG103+DG102)</f>
        <v>#DIV/0!</v>
      </c>
      <c r="DH101" s="281"/>
      <c r="DI101" s="283" t="e">
        <f>DI103/(DI103+DI102)</f>
        <v>#DIV/0!</v>
      </c>
      <c r="DJ101" s="281"/>
      <c r="DK101" s="283" t="e">
        <f>DK103/(DK103+DK102)</f>
        <v>#DIV/0!</v>
      </c>
      <c r="DL101" s="281"/>
      <c r="DM101" s="283" t="e">
        <f>DM103/(DM103+DM102)</f>
        <v>#DIV/0!</v>
      </c>
      <c r="DN101" s="281"/>
      <c r="DO101" s="283" t="e">
        <f>DO103/(DO103+DO102)</f>
        <v>#DIV/0!</v>
      </c>
      <c r="DP101" s="281"/>
      <c r="DQ101" s="283" t="e">
        <f>DQ103/(DQ103+DQ102)</f>
        <v>#DIV/0!</v>
      </c>
      <c r="DR101" s="281"/>
      <c r="DS101" s="283" t="e">
        <f>DS103/(DS103+DS102)</f>
        <v>#DIV/0!</v>
      </c>
      <c r="DT101" s="281"/>
      <c r="DU101" s="301"/>
      <c r="DV101" s="301"/>
      <c r="DW101" s="301"/>
      <c r="DX101" s="301"/>
      <c r="DY101" s="301"/>
      <c r="DZ101" s="301"/>
      <c r="EA101" s="301"/>
      <c r="EB101" s="301"/>
      <c r="EC101" s="301"/>
      <c r="ED101" s="301"/>
      <c r="EE101" s="301"/>
      <c r="EF101" s="301"/>
      <c r="EG101" s="301"/>
      <c r="EH101" s="301"/>
      <c r="EI101" s="301"/>
      <c r="EJ101" s="301"/>
      <c r="EK101" s="301"/>
      <c r="EL101" s="301"/>
      <c r="EM101" s="301"/>
      <c r="EN101" s="283" t="e">
        <f>EN103/(EN103+EN102)</f>
        <v>#DIV/0!</v>
      </c>
      <c r="EO101" s="281"/>
      <c r="EP101" s="283" t="e">
        <f>EP103/(EP103+EP102)</f>
        <v>#DIV/0!</v>
      </c>
      <c r="EQ101" s="281"/>
      <c r="ER101" s="283" t="e">
        <f>ER103/(ER103+ER102)</f>
        <v>#DIV/0!</v>
      </c>
      <c r="ES101" s="281"/>
      <c r="ET101" s="283" t="e">
        <f>ET103/(ET103+ET102)</f>
        <v>#DIV/0!</v>
      </c>
      <c r="EU101" s="281"/>
      <c r="EV101" s="283" t="e">
        <f>EV103/(EV103+EV102)</f>
        <v>#DIV/0!</v>
      </c>
      <c r="EW101" s="281"/>
      <c r="EX101" s="283" t="e">
        <f>EX103/(EX103+EX102)</f>
        <v>#DIV/0!</v>
      </c>
      <c r="EY101" s="281"/>
      <c r="EZ101" s="283" t="e">
        <f>EZ103/(EZ103+EZ102)</f>
        <v>#DIV/0!</v>
      </c>
      <c r="FA101" s="281"/>
      <c r="FB101" s="283" t="e">
        <f>FB103/(FB103+FB102)</f>
        <v>#DIV/0!</v>
      </c>
      <c r="FC101" s="281"/>
      <c r="FD101" s="283" t="e">
        <f>FD103/(FD103+FD102)</f>
        <v>#DIV/0!</v>
      </c>
      <c r="FE101" s="281"/>
      <c r="FF101" s="283" t="e">
        <f>FF103/(FF103+FF102)</f>
        <v>#DIV/0!</v>
      </c>
      <c r="FG101" s="281"/>
      <c r="FH101" s="283" t="e">
        <f>FH103/(FH103+FH102)</f>
        <v>#DIV/0!</v>
      </c>
      <c r="FI101" s="281"/>
      <c r="FJ101" s="283" t="e">
        <f>FJ103/(FJ103+FJ102)</f>
        <v>#DIV/0!</v>
      </c>
      <c r="FK101" s="281"/>
      <c r="FL101" s="283" t="e">
        <f>FL103/(FL103+FL102)</f>
        <v>#DIV/0!</v>
      </c>
      <c r="FM101" s="281"/>
      <c r="FN101" s="283" t="e">
        <f>FN103/(FN103+FN102)</f>
        <v>#DIV/0!</v>
      </c>
      <c r="FO101" s="281"/>
      <c r="FP101" s="283" t="e">
        <f>FP103/(FP103+FP102)</f>
        <v>#DIV/0!</v>
      </c>
      <c r="FQ101" s="281"/>
      <c r="FR101" s="301"/>
      <c r="FS101" s="301"/>
      <c r="FT101" s="301"/>
      <c r="FU101" s="301"/>
      <c r="FV101" s="301"/>
      <c r="FW101" s="301"/>
      <c r="FX101" s="301"/>
      <c r="FY101" s="301"/>
      <c r="FZ101" s="301"/>
      <c r="GA101" s="301"/>
      <c r="GB101" s="301"/>
      <c r="GC101" s="301"/>
      <c r="GD101" s="301"/>
      <c r="GE101" s="301"/>
      <c r="GF101" s="301"/>
      <c r="GG101" s="301"/>
    </row>
    <row r="102" spans="1:189" ht="15" hidden="1" customHeight="1" x14ac:dyDescent="0.3">
      <c r="A102" s="1"/>
      <c r="B102" s="301"/>
      <c r="C102" s="301"/>
      <c r="D102" s="301"/>
      <c r="E102" s="301"/>
      <c r="F102" s="301"/>
      <c r="G102" s="5" t="s">
        <v>88</v>
      </c>
      <c r="H102" s="5"/>
      <c r="I102" s="64"/>
      <c r="J102" s="64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6"/>
      <c r="AV102" s="66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284">
        <v>1849</v>
      </c>
      <c r="BH102" s="281"/>
      <c r="BI102" s="284">
        <v>1657</v>
      </c>
      <c r="BJ102" s="281"/>
      <c r="BK102" s="284">
        <v>2414</v>
      </c>
      <c r="BL102" s="281"/>
      <c r="BM102" s="284">
        <v>2345</v>
      </c>
      <c r="BN102" s="281"/>
      <c r="BO102" s="284">
        <v>2431</v>
      </c>
      <c r="BP102" s="281"/>
      <c r="BQ102" s="284">
        <v>2177</v>
      </c>
      <c r="BR102" s="281"/>
      <c r="BS102" s="284">
        <v>1608</v>
      </c>
      <c r="BT102" s="281"/>
      <c r="BU102" s="284">
        <v>1883</v>
      </c>
      <c r="BV102" s="281"/>
      <c r="BW102" s="284">
        <v>2300</v>
      </c>
      <c r="BX102" s="281"/>
      <c r="BY102" s="284">
        <v>2186</v>
      </c>
      <c r="BZ102" s="281"/>
      <c r="CA102" s="284">
        <v>2409</v>
      </c>
      <c r="CB102" s="281"/>
      <c r="CC102" s="284">
        <v>867</v>
      </c>
      <c r="CD102" s="281"/>
      <c r="CE102" s="284">
        <v>108</v>
      </c>
      <c r="CF102" s="281"/>
      <c r="CG102" s="284">
        <v>0</v>
      </c>
      <c r="CH102" s="281"/>
      <c r="CI102" s="284">
        <v>0</v>
      </c>
      <c r="CJ102" s="281"/>
      <c r="CK102" s="284">
        <v>0</v>
      </c>
      <c r="CL102" s="281"/>
      <c r="CM102" s="284">
        <v>0</v>
      </c>
      <c r="CN102" s="281"/>
      <c r="CO102" s="284">
        <v>0</v>
      </c>
      <c r="CP102" s="281"/>
      <c r="CQ102" s="284">
        <v>0</v>
      </c>
      <c r="CR102" s="281"/>
      <c r="CS102" s="284">
        <v>0</v>
      </c>
      <c r="CT102" s="281"/>
      <c r="CU102" s="284">
        <v>0</v>
      </c>
      <c r="CV102" s="281"/>
      <c r="CW102" s="284">
        <v>0</v>
      </c>
      <c r="CX102" s="281"/>
      <c r="CY102" s="284">
        <v>0</v>
      </c>
      <c r="CZ102" s="281"/>
      <c r="DA102" s="284">
        <v>0</v>
      </c>
      <c r="DB102" s="281"/>
      <c r="DC102" s="284">
        <v>0</v>
      </c>
      <c r="DD102" s="281"/>
      <c r="DE102" s="284">
        <v>0</v>
      </c>
      <c r="DF102" s="281"/>
      <c r="DG102" s="284">
        <v>0</v>
      </c>
      <c r="DH102" s="281"/>
      <c r="DI102" s="284">
        <v>0</v>
      </c>
      <c r="DJ102" s="281"/>
      <c r="DK102" s="284">
        <v>0</v>
      </c>
      <c r="DL102" s="281"/>
      <c r="DM102" s="284">
        <v>0</v>
      </c>
      <c r="DN102" s="281"/>
      <c r="DO102" s="284">
        <v>0</v>
      </c>
      <c r="DP102" s="281"/>
      <c r="DQ102" s="284">
        <v>0</v>
      </c>
      <c r="DR102" s="281"/>
      <c r="DS102" s="284">
        <v>0</v>
      </c>
      <c r="DT102" s="281"/>
      <c r="DU102" s="301"/>
      <c r="DV102" s="301"/>
      <c r="DW102" s="301"/>
      <c r="DX102" s="301"/>
      <c r="DY102" s="301"/>
      <c r="DZ102" s="301"/>
      <c r="EA102" s="301"/>
      <c r="EB102" s="301"/>
      <c r="EC102" s="301"/>
      <c r="ED102" s="301"/>
      <c r="EE102" s="301"/>
      <c r="EF102" s="301"/>
      <c r="EG102" s="301"/>
      <c r="EH102" s="301"/>
      <c r="EI102" s="301"/>
      <c r="EJ102" s="301"/>
      <c r="EK102" s="301"/>
      <c r="EL102" s="301"/>
      <c r="EM102" s="301"/>
      <c r="EN102" s="284">
        <v>0</v>
      </c>
      <c r="EO102" s="281"/>
      <c r="EP102" s="284">
        <v>0</v>
      </c>
      <c r="EQ102" s="281"/>
      <c r="ER102" s="284">
        <v>0</v>
      </c>
      <c r="ES102" s="281"/>
      <c r="ET102" s="284">
        <v>0</v>
      </c>
      <c r="EU102" s="281"/>
      <c r="EV102" s="284">
        <v>0</v>
      </c>
      <c r="EW102" s="281"/>
      <c r="EX102" s="284">
        <v>0</v>
      </c>
      <c r="EY102" s="281"/>
      <c r="EZ102" s="284">
        <v>0</v>
      </c>
      <c r="FA102" s="281"/>
      <c r="FB102" s="284">
        <v>0</v>
      </c>
      <c r="FC102" s="281"/>
      <c r="FD102" s="284">
        <v>0</v>
      </c>
      <c r="FE102" s="281"/>
      <c r="FF102" s="284">
        <v>0</v>
      </c>
      <c r="FG102" s="281"/>
      <c r="FH102" s="284">
        <v>0</v>
      </c>
      <c r="FI102" s="281"/>
      <c r="FJ102" s="284">
        <v>0</v>
      </c>
      <c r="FK102" s="281"/>
      <c r="FL102" s="284">
        <v>0</v>
      </c>
      <c r="FM102" s="281"/>
      <c r="FN102" s="284">
        <v>0</v>
      </c>
      <c r="FO102" s="281"/>
      <c r="FP102" s="284">
        <v>0</v>
      </c>
      <c r="FQ102" s="281"/>
      <c r="FR102" s="301"/>
      <c r="FS102" s="301"/>
      <c r="FT102" s="301"/>
      <c r="FU102" s="301"/>
      <c r="FV102" s="301"/>
      <c r="FW102" s="301"/>
      <c r="FX102" s="301"/>
      <c r="FY102" s="301"/>
      <c r="FZ102" s="301"/>
      <c r="GA102" s="301"/>
      <c r="GB102" s="301"/>
      <c r="GC102" s="301"/>
      <c r="GD102" s="301"/>
      <c r="GE102" s="301"/>
      <c r="GF102" s="301"/>
      <c r="GG102" s="301"/>
    </row>
    <row r="103" spans="1:189" ht="15" hidden="1" customHeight="1" x14ac:dyDescent="0.3">
      <c r="A103" s="1"/>
      <c r="B103" s="301"/>
      <c r="C103" s="301"/>
      <c r="D103" s="301"/>
      <c r="E103" s="301"/>
      <c r="F103" s="301"/>
      <c r="G103" s="5" t="s">
        <v>89</v>
      </c>
      <c r="H103" s="5"/>
      <c r="I103" s="284">
        <f>SUM(K103:AH103)</f>
        <v>24160</v>
      </c>
      <c r="J103" s="281"/>
      <c r="K103" s="284">
        <v>4272</v>
      </c>
      <c r="L103" s="281"/>
      <c r="M103" s="284">
        <v>2781</v>
      </c>
      <c r="N103" s="281"/>
      <c r="O103" s="284">
        <v>1861</v>
      </c>
      <c r="P103" s="281"/>
      <c r="Q103" s="284">
        <v>2200</v>
      </c>
      <c r="R103" s="281"/>
      <c r="S103" s="284">
        <v>1689</v>
      </c>
      <c r="T103" s="281"/>
      <c r="U103" s="284">
        <v>1154</v>
      </c>
      <c r="V103" s="281"/>
      <c r="W103" s="284">
        <v>1995</v>
      </c>
      <c r="X103" s="281"/>
      <c r="Y103" s="284">
        <v>2616</v>
      </c>
      <c r="Z103" s="281"/>
      <c r="AA103" s="284">
        <v>1862</v>
      </c>
      <c r="AB103" s="281"/>
      <c r="AC103" s="284">
        <v>1615</v>
      </c>
      <c r="AD103" s="281"/>
      <c r="AE103" s="284">
        <v>1152</v>
      </c>
      <c r="AF103" s="281"/>
      <c r="AG103" s="284">
        <v>963</v>
      </c>
      <c r="AH103" s="281"/>
      <c r="AI103" s="284">
        <v>503</v>
      </c>
      <c r="AJ103" s="281"/>
      <c r="AK103" s="284">
        <v>992</v>
      </c>
      <c r="AL103" s="281"/>
      <c r="AM103" s="284">
        <v>424</v>
      </c>
      <c r="AN103" s="281"/>
      <c r="AO103" s="284">
        <v>429</v>
      </c>
      <c r="AP103" s="281"/>
      <c r="AQ103" s="284">
        <v>197</v>
      </c>
      <c r="AR103" s="281"/>
      <c r="AS103" s="284">
        <v>176</v>
      </c>
      <c r="AT103" s="281"/>
      <c r="AU103" s="428"/>
      <c r="AV103" s="281"/>
      <c r="AW103" s="284">
        <v>139</v>
      </c>
      <c r="AX103" s="281"/>
      <c r="AY103" s="284">
        <v>168</v>
      </c>
      <c r="AZ103" s="281"/>
      <c r="BA103" s="284">
        <v>295</v>
      </c>
      <c r="BB103" s="281"/>
      <c r="BC103" s="284">
        <v>453</v>
      </c>
      <c r="BD103" s="281"/>
      <c r="BE103" s="284">
        <v>1320</v>
      </c>
      <c r="BF103" s="281"/>
      <c r="BG103" s="284">
        <v>490</v>
      </c>
      <c r="BH103" s="281"/>
      <c r="BI103" s="284">
        <v>435</v>
      </c>
      <c r="BJ103" s="281"/>
      <c r="BK103" s="284">
        <v>976</v>
      </c>
      <c r="BL103" s="281"/>
      <c r="BM103" s="284">
        <v>312</v>
      </c>
      <c r="BN103" s="281"/>
      <c r="BO103" s="284">
        <v>302</v>
      </c>
      <c r="BP103" s="281"/>
      <c r="BQ103" s="284">
        <v>216</v>
      </c>
      <c r="BR103" s="281"/>
      <c r="BS103" s="284">
        <v>180</v>
      </c>
      <c r="BT103" s="281"/>
      <c r="BU103" s="284">
        <v>255</v>
      </c>
      <c r="BV103" s="281"/>
      <c r="BW103" s="284">
        <v>286</v>
      </c>
      <c r="BX103" s="281"/>
      <c r="BY103" s="284">
        <v>341</v>
      </c>
      <c r="BZ103" s="281"/>
      <c r="CA103" s="284">
        <v>774</v>
      </c>
      <c r="CB103" s="281"/>
      <c r="CC103" s="284">
        <v>375</v>
      </c>
      <c r="CD103" s="281"/>
      <c r="CE103" s="284">
        <v>151</v>
      </c>
      <c r="CF103" s="281"/>
      <c r="CG103" s="284">
        <v>0</v>
      </c>
      <c r="CH103" s="281"/>
      <c r="CI103" s="284">
        <v>0</v>
      </c>
      <c r="CJ103" s="281"/>
      <c r="CK103" s="284">
        <v>0</v>
      </c>
      <c r="CL103" s="281"/>
      <c r="CM103" s="284">
        <v>0</v>
      </c>
      <c r="CN103" s="281"/>
      <c r="CO103" s="284">
        <v>0</v>
      </c>
      <c r="CP103" s="281"/>
      <c r="CQ103" s="284">
        <v>0</v>
      </c>
      <c r="CR103" s="281"/>
      <c r="CS103" s="284">
        <v>0</v>
      </c>
      <c r="CT103" s="281"/>
      <c r="CU103" s="284">
        <v>0</v>
      </c>
      <c r="CV103" s="281"/>
      <c r="CW103" s="284">
        <v>0</v>
      </c>
      <c r="CX103" s="281"/>
      <c r="CY103" s="284">
        <v>0</v>
      </c>
      <c r="CZ103" s="281"/>
      <c r="DA103" s="284">
        <v>0</v>
      </c>
      <c r="DB103" s="281"/>
      <c r="DC103" s="284">
        <v>0</v>
      </c>
      <c r="DD103" s="281"/>
      <c r="DE103" s="284">
        <v>0</v>
      </c>
      <c r="DF103" s="281"/>
      <c r="DG103" s="284">
        <v>0</v>
      </c>
      <c r="DH103" s="281"/>
      <c r="DI103" s="284">
        <v>0</v>
      </c>
      <c r="DJ103" s="281"/>
      <c r="DK103" s="284">
        <v>0</v>
      </c>
      <c r="DL103" s="281"/>
      <c r="DM103" s="284">
        <v>0</v>
      </c>
      <c r="DN103" s="281"/>
      <c r="DO103" s="284">
        <v>0</v>
      </c>
      <c r="DP103" s="281"/>
      <c r="DQ103" s="284">
        <v>0</v>
      </c>
      <c r="DR103" s="281"/>
      <c r="DS103" s="284">
        <v>0</v>
      </c>
      <c r="DT103" s="281"/>
      <c r="DU103" s="302"/>
      <c r="DV103" s="302"/>
      <c r="DW103" s="302"/>
      <c r="DX103" s="302"/>
      <c r="DY103" s="302"/>
      <c r="DZ103" s="302"/>
      <c r="EA103" s="302"/>
      <c r="EB103" s="302"/>
      <c r="EC103" s="302"/>
      <c r="ED103" s="302"/>
      <c r="EE103" s="302"/>
      <c r="EF103" s="302"/>
      <c r="EG103" s="302"/>
      <c r="EH103" s="302"/>
      <c r="EI103" s="302"/>
      <c r="EJ103" s="302"/>
      <c r="EK103" s="302"/>
      <c r="EL103" s="302"/>
      <c r="EM103" s="302"/>
      <c r="EN103" s="284">
        <v>0</v>
      </c>
      <c r="EO103" s="281"/>
      <c r="EP103" s="284">
        <v>0</v>
      </c>
      <c r="EQ103" s="281"/>
      <c r="ER103" s="284">
        <v>0</v>
      </c>
      <c r="ES103" s="281"/>
      <c r="ET103" s="284">
        <v>0</v>
      </c>
      <c r="EU103" s="281"/>
      <c r="EV103" s="284">
        <v>0</v>
      </c>
      <c r="EW103" s="281"/>
      <c r="EX103" s="284">
        <v>0</v>
      </c>
      <c r="EY103" s="281"/>
      <c r="EZ103" s="284">
        <v>0</v>
      </c>
      <c r="FA103" s="281"/>
      <c r="FB103" s="284">
        <v>0</v>
      </c>
      <c r="FC103" s="281"/>
      <c r="FD103" s="284">
        <v>0</v>
      </c>
      <c r="FE103" s="281"/>
      <c r="FF103" s="284">
        <v>0</v>
      </c>
      <c r="FG103" s="281"/>
      <c r="FH103" s="284">
        <v>0</v>
      </c>
      <c r="FI103" s="281"/>
      <c r="FJ103" s="284">
        <v>0</v>
      </c>
      <c r="FK103" s="281"/>
      <c r="FL103" s="284">
        <v>0</v>
      </c>
      <c r="FM103" s="281"/>
      <c r="FN103" s="284">
        <v>0</v>
      </c>
      <c r="FO103" s="281"/>
      <c r="FP103" s="284">
        <v>0</v>
      </c>
      <c r="FQ103" s="281"/>
      <c r="FR103" s="302"/>
      <c r="FS103" s="302"/>
      <c r="FT103" s="302"/>
      <c r="FU103" s="302"/>
      <c r="FV103" s="302"/>
      <c r="FW103" s="302"/>
      <c r="FX103" s="302"/>
      <c r="FY103" s="302"/>
      <c r="FZ103" s="302"/>
      <c r="GA103" s="302"/>
      <c r="GB103" s="302"/>
      <c r="GC103" s="302"/>
      <c r="GD103" s="302"/>
      <c r="GE103" s="302"/>
      <c r="GF103" s="302"/>
      <c r="GG103" s="302"/>
    </row>
    <row r="104" spans="1:189" ht="8.25" hidden="1" customHeight="1" x14ac:dyDescent="0.3">
      <c r="A104" s="1"/>
      <c r="B104" s="18"/>
      <c r="C104" s="18"/>
      <c r="D104" s="18"/>
      <c r="E104" s="18"/>
      <c r="F104" s="18"/>
      <c r="G104" s="3"/>
      <c r="H104" s="3"/>
      <c r="I104" s="19"/>
      <c r="J104" s="20"/>
      <c r="K104" s="19"/>
      <c r="L104" s="20"/>
      <c r="M104" s="19"/>
      <c r="N104" s="20"/>
      <c r="O104" s="19"/>
      <c r="P104" s="20"/>
      <c r="Q104" s="19"/>
      <c r="R104" s="20"/>
      <c r="S104" s="19"/>
      <c r="T104" s="20"/>
      <c r="U104" s="19"/>
      <c r="V104" s="20"/>
      <c r="W104" s="19"/>
      <c r="X104" s="20"/>
      <c r="Y104" s="19"/>
      <c r="Z104" s="20"/>
      <c r="AA104" s="19"/>
      <c r="AB104" s="20"/>
      <c r="AC104" s="19"/>
      <c r="AD104" s="20"/>
      <c r="AE104" s="19"/>
      <c r="AF104" s="20"/>
      <c r="AG104" s="19"/>
      <c r="AH104" s="20"/>
      <c r="AI104" s="19"/>
      <c r="AJ104" s="20"/>
      <c r="AK104" s="19"/>
      <c r="AL104" s="20"/>
      <c r="AM104" s="19"/>
      <c r="AN104" s="20"/>
      <c r="AO104" s="19"/>
      <c r="AP104" s="20"/>
      <c r="AQ104" s="19"/>
      <c r="AR104" s="20"/>
      <c r="AS104" s="19"/>
      <c r="AT104" s="20"/>
      <c r="AU104" s="19"/>
      <c r="AV104" s="20"/>
      <c r="AW104" s="19"/>
      <c r="AX104" s="20"/>
      <c r="AY104" s="19"/>
      <c r="AZ104" s="20"/>
      <c r="BA104" s="19"/>
      <c r="BB104" s="20"/>
      <c r="BC104" s="19"/>
      <c r="BD104" s="20"/>
      <c r="BE104" s="19"/>
      <c r="BF104" s="20"/>
      <c r="BG104" s="19"/>
      <c r="BH104" s="20"/>
      <c r="BI104" s="19"/>
      <c r="BJ104" s="20"/>
      <c r="BK104" s="19"/>
      <c r="BL104" s="20"/>
      <c r="BM104" s="19"/>
      <c r="BN104" s="20"/>
      <c r="BO104" s="19"/>
      <c r="BP104" s="20"/>
      <c r="BQ104" s="19"/>
      <c r="BR104" s="20"/>
      <c r="BS104" s="19"/>
      <c r="BT104" s="20"/>
      <c r="BU104" s="19"/>
      <c r="BV104" s="20"/>
      <c r="BW104" s="19"/>
      <c r="BX104" s="20"/>
      <c r="BY104" s="19"/>
      <c r="BZ104" s="20"/>
      <c r="CA104" s="19"/>
      <c r="CB104" s="20"/>
      <c r="CC104" s="19"/>
      <c r="CD104" s="20"/>
      <c r="CE104" s="19"/>
      <c r="CF104" s="20"/>
      <c r="CG104" s="19"/>
      <c r="CH104" s="20"/>
      <c r="CI104" s="19"/>
      <c r="CJ104" s="20"/>
      <c r="CK104" s="19"/>
      <c r="CL104" s="20"/>
      <c r="CM104" s="19"/>
      <c r="CN104" s="20"/>
      <c r="CO104" s="19"/>
      <c r="CP104" s="20"/>
      <c r="CQ104" s="19"/>
      <c r="CR104" s="20"/>
      <c r="CS104" s="19"/>
      <c r="CT104" s="20"/>
      <c r="CU104" s="19"/>
      <c r="CV104" s="20"/>
      <c r="CW104" s="19"/>
      <c r="CX104" s="20"/>
      <c r="CY104" s="19"/>
      <c r="CZ104" s="20"/>
      <c r="DA104" s="19"/>
      <c r="DB104" s="20"/>
      <c r="DC104" s="19"/>
      <c r="DD104" s="20"/>
      <c r="DE104" s="19"/>
      <c r="DF104" s="20"/>
      <c r="DG104" s="19"/>
      <c r="DH104" s="20"/>
      <c r="DI104" s="19"/>
      <c r="DJ104" s="20"/>
      <c r="DK104" s="19"/>
      <c r="DL104" s="20"/>
      <c r="DM104" s="19"/>
      <c r="DN104" s="20"/>
      <c r="DO104" s="19"/>
      <c r="DP104" s="20"/>
      <c r="DQ104" s="19"/>
      <c r="DR104" s="20"/>
      <c r="DS104" s="19"/>
      <c r="DT104" s="20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19"/>
      <c r="EO104" s="20"/>
      <c r="EP104" s="19"/>
      <c r="EQ104" s="20"/>
      <c r="ER104" s="19"/>
      <c r="ES104" s="20"/>
      <c r="ET104" s="19"/>
      <c r="EU104" s="20"/>
      <c r="EV104" s="19"/>
      <c r="EW104" s="20"/>
      <c r="EX104" s="19"/>
      <c r="EY104" s="20"/>
      <c r="EZ104" s="19"/>
      <c r="FA104" s="20"/>
      <c r="FB104" s="19"/>
      <c r="FC104" s="20"/>
      <c r="FD104" s="19"/>
      <c r="FE104" s="20"/>
      <c r="FF104" s="19"/>
      <c r="FG104" s="20"/>
      <c r="FH104" s="19"/>
      <c r="FI104" s="20"/>
      <c r="FJ104" s="19"/>
      <c r="FK104" s="20"/>
      <c r="FL104" s="19"/>
      <c r="FM104" s="20"/>
      <c r="FN104" s="19"/>
      <c r="FO104" s="20"/>
      <c r="FP104" s="19"/>
      <c r="FQ104" s="20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</row>
    <row r="105" spans="1:189" ht="15" hidden="1" customHeight="1" x14ac:dyDescent="0.3">
      <c r="A105" s="63"/>
      <c r="B105" s="470" t="s">
        <v>90</v>
      </c>
      <c r="C105" s="313" t="s">
        <v>85</v>
      </c>
      <c r="D105" s="313" t="s">
        <v>25</v>
      </c>
      <c r="E105" s="313" t="s">
        <v>91</v>
      </c>
      <c r="F105" s="313" t="s">
        <v>27</v>
      </c>
      <c r="G105" s="5" t="s">
        <v>28</v>
      </c>
      <c r="H105" s="5"/>
      <c r="I105" s="327">
        <v>0.1</v>
      </c>
      <c r="J105" s="281"/>
      <c r="K105" s="327">
        <v>0.1</v>
      </c>
      <c r="L105" s="281"/>
      <c r="M105" s="327">
        <v>0.1</v>
      </c>
      <c r="N105" s="281"/>
      <c r="O105" s="327">
        <v>0.1</v>
      </c>
      <c r="P105" s="281"/>
      <c r="Q105" s="327">
        <v>0.1</v>
      </c>
      <c r="R105" s="281"/>
      <c r="S105" s="327">
        <v>0.1</v>
      </c>
      <c r="T105" s="281"/>
      <c r="U105" s="327">
        <v>0.1</v>
      </c>
      <c r="V105" s="281"/>
      <c r="W105" s="327">
        <v>0.1</v>
      </c>
      <c r="X105" s="281"/>
      <c r="Y105" s="327">
        <v>0.1</v>
      </c>
      <c r="Z105" s="281"/>
      <c r="AA105" s="327">
        <v>0.1</v>
      </c>
      <c r="AB105" s="281"/>
      <c r="AC105" s="327">
        <v>0.1</v>
      </c>
      <c r="AD105" s="281"/>
      <c r="AE105" s="327">
        <v>0.1</v>
      </c>
      <c r="AF105" s="281"/>
      <c r="AG105" s="327">
        <v>0.1</v>
      </c>
      <c r="AH105" s="281"/>
      <c r="AI105" s="327">
        <v>0.1</v>
      </c>
      <c r="AJ105" s="281"/>
      <c r="AK105" s="327">
        <v>0.1</v>
      </c>
      <c r="AL105" s="281"/>
      <c r="AM105" s="327">
        <v>0.1</v>
      </c>
      <c r="AN105" s="281"/>
      <c r="AO105" s="327">
        <v>0.1</v>
      </c>
      <c r="AP105" s="281"/>
      <c r="AQ105" s="327">
        <v>0.1</v>
      </c>
      <c r="AR105" s="281"/>
      <c r="AS105" s="327">
        <v>0.1</v>
      </c>
      <c r="AT105" s="281"/>
      <c r="AU105" s="327">
        <v>0.1</v>
      </c>
      <c r="AV105" s="281"/>
      <c r="AW105" s="327">
        <v>0.1</v>
      </c>
      <c r="AX105" s="281"/>
      <c r="AY105" s="327">
        <v>0.1</v>
      </c>
      <c r="AZ105" s="281"/>
      <c r="BA105" s="327">
        <v>0.1</v>
      </c>
      <c r="BB105" s="281"/>
      <c r="BC105" s="327">
        <v>0.1</v>
      </c>
      <c r="BD105" s="281"/>
      <c r="BE105" s="327">
        <v>0.1</v>
      </c>
      <c r="BF105" s="281"/>
      <c r="BG105" s="327">
        <v>0.1</v>
      </c>
      <c r="BH105" s="281"/>
      <c r="BI105" s="327">
        <v>0.1</v>
      </c>
      <c r="BJ105" s="281"/>
      <c r="BK105" s="327">
        <v>0.1</v>
      </c>
      <c r="BL105" s="281"/>
      <c r="BM105" s="327">
        <v>0.1</v>
      </c>
      <c r="BN105" s="281"/>
      <c r="BO105" s="327">
        <v>0.1</v>
      </c>
      <c r="BP105" s="281"/>
      <c r="BQ105" s="327">
        <v>0.1</v>
      </c>
      <c r="BR105" s="281"/>
      <c r="BS105" s="327">
        <v>0.1</v>
      </c>
      <c r="BT105" s="281"/>
      <c r="BU105" s="327">
        <v>0.1</v>
      </c>
      <c r="BV105" s="281"/>
      <c r="BW105" s="327">
        <v>0.1</v>
      </c>
      <c r="BX105" s="281"/>
      <c r="BY105" s="327">
        <v>0.1</v>
      </c>
      <c r="BZ105" s="281"/>
      <c r="CA105" s="327">
        <v>0.1</v>
      </c>
      <c r="CB105" s="281"/>
      <c r="CC105" s="327">
        <v>0.1</v>
      </c>
      <c r="CD105" s="281"/>
      <c r="CE105" s="327">
        <v>0.1</v>
      </c>
      <c r="CF105" s="281"/>
      <c r="CG105" s="327">
        <v>0.1</v>
      </c>
      <c r="CH105" s="281"/>
      <c r="CI105" s="327">
        <v>0.1</v>
      </c>
      <c r="CJ105" s="281"/>
      <c r="CK105" s="327">
        <v>0.1</v>
      </c>
      <c r="CL105" s="281"/>
      <c r="CM105" s="327">
        <v>0.1</v>
      </c>
      <c r="CN105" s="281"/>
      <c r="CO105" s="327">
        <v>0.1</v>
      </c>
      <c r="CP105" s="281"/>
      <c r="CQ105" s="327">
        <v>0.1</v>
      </c>
      <c r="CR105" s="281"/>
      <c r="CS105" s="327">
        <v>0.1</v>
      </c>
      <c r="CT105" s="281"/>
      <c r="CU105" s="327">
        <v>0.1</v>
      </c>
      <c r="CV105" s="281"/>
      <c r="CW105" s="327">
        <v>0.1</v>
      </c>
      <c r="CX105" s="281"/>
      <c r="CY105" s="327">
        <v>0.1</v>
      </c>
      <c r="CZ105" s="281"/>
      <c r="DA105" s="327">
        <v>0.1</v>
      </c>
      <c r="DB105" s="281"/>
      <c r="DC105" s="327">
        <v>0.1</v>
      </c>
      <c r="DD105" s="281"/>
      <c r="DE105" s="327">
        <v>0.1</v>
      </c>
      <c r="DF105" s="281"/>
      <c r="DG105" s="327">
        <v>0.1</v>
      </c>
      <c r="DH105" s="281"/>
      <c r="DI105" s="327">
        <v>0.1</v>
      </c>
      <c r="DJ105" s="281"/>
      <c r="DK105" s="327">
        <v>0.1</v>
      </c>
      <c r="DL105" s="281"/>
      <c r="DM105" s="327">
        <v>0.1</v>
      </c>
      <c r="DN105" s="281"/>
      <c r="DO105" s="327">
        <v>0.1</v>
      </c>
      <c r="DP105" s="281"/>
      <c r="DQ105" s="327">
        <v>0.1</v>
      </c>
      <c r="DR105" s="281"/>
      <c r="DS105" s="327">
        <v>0.1</v>
      </c>
      <c r="DT105" s="281"/>
      <c r="DU105" s="300" t="s">
        <v>87</v>
      </c>
      <c r="DV105" s="300" t="s">
        <v>87</v>
      </c>
      <c r="DW105" s="300" t="s">
        <v>87</v>
      </c>
      <c r="DX105" s="300" t="s">
        <v>87</v>
      </c>
      <c r="DY105" s="300" t="s">
        <v>87</v>
      </c>
      <c r="DZ105" s="300" t="s">
        <v>87</v>
      </c>
      <c r="EA105" s="300" t="s">
        <v>87</v>
      </c>
      <c r="EB105" s="300" t="s">
        <v>87</v>
      </c>
      <c r="EC105" s="300"/>
      <c r="ED105" s="300"/>
      <c r="EE105" s="300"/>
      <c r="EF105" s="300"/>
      <c r="EG105" s="300"/>
      <c r="EH105" s="300"/>
      <c r="EI105" s="300"/>
      <c r="EJ105" s="300"/>
      <c r="EK105" s="300"/>
      <c r="EL105" s="300"/>
      <c r="EM105" s="300"/>
      <c r="EN105" s="327">
        <v>0.1</v>
      </c>
      <c r="EO105" s="281"/>
      <c r="EP105" s="327">
        <v>0.1</v>
      </c>
      <c r="EQ105" s="281"/>
      <c r="ER105" s="327">
        <v>0.1</v>
      </c>
      <c r="ES105" s="281"/>
      <c r="ET105" s="327">
        <v>0.1</v>
      </c>
      <c r="EU105" s="281"/>
      <c r="EV105" s="327">
        <v>0.1</v>
      </c>
      <c r="EW105" s="281"/>
      <c r="EX105" s="327">
        <v>0.1</v>
      </c>
      <c r="EY105" s="281"/>
      <c r="EZ105" s="327">
        <v>0.1</v>
      </c>
      <c r="FA105" s="281"/>
      <c r="FB105" s="327">
        <v>0.1</v>
      </c>
      <c r="FC105" s="281"/>
      <c r="FD105" s="327">
        <v>0.1</v>
      </c>
      <c r="FE105" s="281"/>
      <c r="FF105" s="327">
        <v>0.1</v>
      </c>
      <c r="FG105" s="281"/>
      <c r="FH105" s="327">
        <v>0.1</v>
      </c>
      <c r="FI105" s="281"/>
      <c r="FJ105" s="327">
        <v>0.1</v>
      </c>
      <c r="FK105" s="281"/>
      <c r="FL105" s="327">
        <v>0.1</v>
      </c>
      <c r="FM105" s="281"/>
      <c r="FN105" s="327">
        <v>0.1</v>
      </c>
      <c r="FO105" s="281"/>
      <c r="FP105" s="327">
        <v>0.1</v>
      </c>
      <c r="FQ105" s="281"/>
      <c r="FR105" s="300"/>
      <c r="FS105" s="300"/>
      <c r="FT105" s="300"/>
      <c r="FU105" s="300"/>
      <c r="FV105" s="300"/>
      <c r="FW105" s="300"/>
      <c r="FX105" s="300"/>
      <c r="FY105" s="300"/>
      <c r="FZ105" s="300"/>
      <c r="GA105" s="300"/>
      <c r="GB105" s="300"/>
      <c r="GC105" s="300"/>
      <c r="GD105" s="300"/>
      <c r="GE105" s="300"/>
      <c r="GF105" s="300"/>
      <c r="GG105" s="300"/>
    </row>
    <row r="106" spans="1:189" ht="4.5" hidden="1" customHeight="1" x14ac:dyDescent="0.3">
      <c r="A106" s="1"/>
      <c r="B106" s="301"/>
      <c r="C106" s="301"/>
      <c r="D106" s="301"/>
      <c r="E106" s="301"/>
      <c r="F106" s="301"/>
      <c r="G106" s="5"/>
      <c r="H106" s="5"/>
      <c r="I106" s="351"/>
      <c r="J106" s="281"/>
      <c r="K106" s="351"/>
      <c r="L106" s="281"/>
      <c r="M106" s="351"/>
      <c r="N106" s="281"/>
      <c r="O106" s="351"/>
      <c r="P106" s="281"/>
      <c r="Q106" s="351"/>
      <c r="R106" s="281"/>
      <c r="S106" s="328"/>
      <c r="T106" s="281"/>
      <c r="U106" s="351"/>
      <c r="V106" s="281"/>
      <c r="W106" s="351"/>
      <c r="X106" s="281"/>
      <c r="Y106" s="351"/>
      <c r="Z106" s="281"/>
      <c r="AA106" s="328"/>
      <c r="AB106" s="281"/>
      <c r="AC106" s="351"/>
      <c r="AD106" s="281"/>
      <c r="AE106" s="328"/>
      <c r="AF106" s="281"/>
      <c r="AG106" s="328"/>
      <c r="AH106" s="281"/>
      <c r="AI106" s="328"/>
      <c r="AJ106" s="281"/>
      <c r="AK106" s="328"/>
      <c r="AL106" s="281"/>
      <c r="AM106" s="328"/>
      <c r="AN106" s="281"/>
      <c r="AO106" s="371"/>
      <c r="AP106" s="281"/>
      <c r="AQ106" s="371"/>
      <c r="AR106" s="281"/>
      <c r="AS106" s="371"/>
      <c r="AT106" s="281"/>
      <c r="AU106" s="371"/>
      <c r="AV106" s="281"/>
      <c r="AW106" s="371"/>
      <c r="AX106" s="281"/>
      <c r="AY106" s="371"/>
      <c r="AZ106" s="281"/>
      <c r="BA106" s="371"/>
      <c r="BB106" s="281"/>
      <c r="BC106" s="371"/>
      <c r="BD106" s="281"/>
      <c r="BE106" s="371"/>
      <c r="BF106" s="281"/>
      <c r="BG106" s="328"/>
      <c r="BH106" s="281"/>
      <c r="BI106" s="328"/>
      <c r="BJ106" s="281"/>
      <c r="BK106" s="371"/>
      <c r="BL106" s="281"/>
      <c r="BM106" s="371"/>
      <c r="BN106" s="281"/>
      <c r="BO106" s="328"/>
      <c r="BP106" s="281"/>
      <c r="BQ106" s="328"/>
      <c r="BR106" s="281"/>
      <c r="BS106" s="328"/>
      <c r="BT106" s="281"/>
      <c r="BU106" s="328"/>
      <c r="BV106" s="281"/>
      <c r="BW106" s="371"/>
      <c r="BX106" s="281"/>
      <c r="BY106" s="328"/>
      <c r="BZ106" s="281"/>
      <c r="CA106" s="328"/>
      <c r="CB106" s="281"/>
      <c r="CC106" s="328"/>
      <c r="CD106" s="281"/>
      <c r="CE106" s="328"/>
      <c r="CF106" s="281"/>
      <c r="CG106" s="328"/>
      <c r="CH106" s="281"/>
      <c r="CI106" s="328"/>
      <c r="CJ106" s="281"/>
      <c r="CK106" s="328"/>
      <c r="CL106" s="281"/>
      <c r="CM106" s="328"/>
      <c r="CN106" s="281"/>
      <c r="CO106" s="328"/>
      <c r="CP106" s="281"/>
      <c r="CQ106" s="328"/>
      <c r="CR106" s="281"/>
      <c r="CS106" s="328"/>
      <c r="CT106" s="281"/>
      <c r="CU106" s="328"/>
      <c r="CV106" s="281"/>
      <c r="CW106" s="328"/>
      <c r="CX106" s="281"/>
      <c r="CY106" s="328"/>
      <c r="CZ106" s="281"/>
      <c r="DA106" s="328"/>
      <c r="DB106" s="281"/>
      <c r="DC106" s="328"/>
      <c r="DD106" s="281"/>
      <c r="DE106" s="328"/>
      <c r="DF106" s="281"/>
      <c r="DG106" s="328"/>
      <c r="DH106" s="281"/>
      <c r="DI106" s="328"/>
      <c r="DJ106" s="281"/>
      <c r="DK106" s="328"/>
      <c r="DL106" s="281"/>
      <c r="DM106" s="328"/>
      <c r="DN106" s="281"/>
      <c r="DO106" s="328"/>
      <c r="DP106" s="281"/>
      <c r="DQ106" s="328"/>
      <c r="DR106" s="281"/>
      <c r="DS106" s="328"/>
      <c r="DT106" s="281"/>
      <c r="DU106" s="301"/>
      <c r="DV106" s="301"/>
      <c r="DW106" s="301"/>
      <c r="DX106" s="301"/>
      <c r="DY106" s="301"/>
      <c r="DZ106" s="301"/>
      <c r="EA106" s="301"/>
      <c r="EB106" s="301"/>
      <c r="EC106" s="301"/>
      <c r="ED106" s="301"/>
      <c r="EE106" s="301"/>
      <c r="EF106" s="301"/>
      <c r="EG106" s="301"/>
      <c r="EH106" s="301"/>
      <c r="EI106" s="301"/>
      <c r="EJ106" s="301"/>
      <c r="EK106" s="301"/>
      <c r="EL106" s="301"/>
      <c r="EM106" s="301"/>
      <c r="EN106" s="328"/>
      <c r="EO106" s="281"/>
      <c r="EP106" s="328"/>
      <c r="EQ106" s="281"/>
      <c r="ER106" s="328"/>
      <c r="ES106" s="281"/>
      <c r="ET106" s="328"/>
      <c r="EU106" s="281"/>
      <c r="EV106" s="328"/>
      <c r="EW106" s="281"/>
      <c r="EX106" s="328"/>
      <c r="EY106" s="281"/>
      <c r="EZ106" s="328"/>
      <c r="FA106" s="281"/>
      <c r="FB106" s="328"/>
      <c r="FC106" s="281"/>
      <c r="FD106" s="328"/>
      <c r="FE106" s="281"/>
      <c r="FF106" s="328"/>
      <c r="FG106" s="281"/>
      <c r="FH106" s="328"/>
      <c r="FI106" s="281"/>
      <c r="FJ106" s="328"/>
      <c r="FK106" s="281"/>
      <c r="FL106" s="328"/>
      <c r="FM106" s="281"/>
      <c r="FN106" s="328"/>
      <c r="FO106" s="281"/>
      <c r="FP106" s="328"/>
      <c r="FQ106" s="281"/>
      <c r="FR106" s="301"/>
      <c r="FS106" s="301"/>
      <c r="FT106" s="301"/>
      <c r="FU106" s="301"/>
      <c r="FV106" s="301"/>
      <c r="FW106" s="301"/>
      <c r="FX106" s="301"/>
      <c r="FY106" s="301"/>
      <c r="FZ106" s="301"/>
      <c r="GA106" s="301"/>
      <c r="GB106" s="301"/>
      <c r="GC106" s="301"/>
      <c r="GD106" s="301"/>
      <c r="GE106" s="301"/>
      <c r="GF106" s="301"/>
      <c r="GG106" s="301"/>
    </row>
    <row r="107" spans="1:189" ht="15" hidden="1" customHeight="1" x14ac:dyDescent="0.3">
      <c r="A107" s="1"/>
      <c r="B107" s="301"/>
      <c r="C107" s="301"/>
      <c r="D107" s="301"/>
      <c r="E107" s="301"/>
      <c r="F107" s="301"/>
      <c r="G107" s="5" t="s">
        <v>30</v>
      </c>
      <c r="H107" s="5"/>
      <c r="I107" s="283">
        <f>I109/I108</f>
        <v>0.1812598479533509</v>
      </c>
      <c r="J107" s="281"/>
      <c r="K107" s="283">
        <f>K109/K108</f>
        <v>0.33088052914427452</v>
      </c>
      <c r="L107" s="281"/>
      <c r="M107" s="283">
        <f>M109/M108</f>
        <v>0.25300014118311448</v>
      </c>
      <c r="N107" s="281"/>
      <c r="O107" s="283">
        <f>O109/O108</f>
        <v>0.24382284382284383</v>
      </c>
      <c r="P107" s="281"/>
      <c r="Q107" s="283">
        <f>Q109/Q108</f>
        <v>0.22152811148486304</v>
      </c>
      <c r="R107" s="281"/>
      <c r="S107" s="283">
        <f>S109/S108</f>
        <v>6.6012957450534052E-2</v>
      </c>
      <c r="T107" s="281"/>
      <c r="U107" s="283">
        <f>U109/U108</f>
        <v>0.11408016443987667</v>
      </c>
      <c r="V107" s="281"/>
      <c r="W107" s="283">
        <f>W109/W108</f>
        <v>0.15763258130676824</v>
      </c>
      <c r="X107" s="281"/>
      <c r="Y107" s="283">
        <f>Y109/Y108</f>
        <v>0.14374034003091191</v>
      </c>
      <c r="Z107" s="281"/>
      <c r="AA107" s="283">
        <f>AA109/AA108</f>
        <v>0.1091937765205092</v>
      </c>
      <c r="AB107" s="281"/>
      <c r="AC107" s="283">
        <f>AC109/AC108</f>
        <v>0.16678817334953422</v>
      </c>
      <c r="AD107" s="281"/>
      <c r="AE107" s="283">
        <f>AE109/AE108</f>
        <v>0.10701865317736327</v>
      </c>
      <c r="AF107" s="281"/>
      <c r="AG107" s="283">
        <f>AG109/AG108</f>
        <v>9.8323328503415436E-2</v>
      </c>
      <c r="AH107" s="281"/>
      <c r="AI107" s="283">
        <f>AI109/SUM(AI108:AJ109)</f>
        <v>4.3341488989863682E-2</v>
      </c>
      <c r="AJ107" s="281"/>
      <c r="AK107" s="283">
        <f>AK109/SUM(AK108:AL109)</f>
        <v>6.8567304222302422E-2</v>
      </c>
      <c r="AL107" s="281"/>
      <c r="AM107" s="283">
        <f>AM109/SUM(AM108:AN109)</f>
        <v>3.3918691363964394E-2</v>
      </c>
      <c r="AN107" s="281"/>
      <c r="AO107" s="283">
        <f>AO109/SUM(AO108:AP109)</f>
        <v>0.32633279483037159</v>
      </c>
      <c r="AP107" s="281"/>
      <c r="AQ107" s="283">
        <f>AQ109/SUM(AQ108:AR109)</f>
        <v>0.32580174927113703</v>
      </c>
      <c r="AR107" s="281"/>
      <c r="AS107" s="283">
        <f>AS109/SUM(AS108:AT109)</f>
        <v>0.39391075406737325</v>
      </c>
      <c r="AT107" s="281"/>
      <c r="AU107" s="283">
        <f>AU109/SUM(AU108:AV109)</f>
        <v>0.32740541900847242</v>
      </c>
      <c r="AV107" s="281"/>
      <c r="AW107" s="283">
        <f>AW109/SUM(AW108:AX109)</f>
        <v>0.18328679696848824</v>
      </c>
      <c r="AX107" s="281"/>
      <c r="AY107" s="283">
        <f>AY109/SUM(AY108:AZ109)</f>
        <v>0.16958122411412793</v>
      </c>
      <c r="AZ107" s="281"/>
      <c r="BA107" s="283">
        <f>BA109/SUM(BA108:BB109)</f>
        <v>0.15145281563383903</v>
      </c>
      <c r="BB107" s="281"/>
      <c r="BC107" s="283">
        <f>BC109/SUM(BC108:BD109)</f>
        <v>0.36520618556701029</v>
      </c>
      <c r="BD107" s="281"/>
      <c r="BE107" s="283">
        <f>BE109/BE108</f>
        <v>0.25341161536020312</v>
      </c>
      <c r="BF107" s="281"/>
      <c r="BG107" s="283">
        <f>BG109/BG108</f>
        <v>8.154402895054283E-2</v>
      </c>
      <c r="BH107" s="281"/>
      <c r="BI107" s="283">
        <f>BI109/BI108</f>
        <v>5.1644988523335884E-2</v>
      </c>
      <c r="BJ107" s="281"/>
      <c r="BK107" s="283">
        <f>BK109/BK108</f>
        <v>0.13717354161581646</v>
      </c>
      <c r="BL107" s="281"/>
      <c r="BM107" s="283">
        <f>BM109/BM108</f>
        <v>0.16080910240202276</v>
      </c>
      <c r="BN107" s="281"/>
      <c r="BO107" s="283">
        <f>BO109/BO108</f>
        <v>5.5660022564874012E-2</v>
      </c>
      <c r="BP107" s="281"/>
      <c r="BQ107" s="283">
        <f>BQ109/BQ108</f>
        <v>5.8412931667891257E-2</v>
      </c>
      <c r="BR107" s="281"/>
      <c r="BS107" s="283">
        <f>BS109/BS108</f>
        <v>9.2006033182503777E-2</v>
      </c>
      <c r="BT107" s="281"/>
      <c r="BU107" s="283">
        <f>BU109/BU108</f>
        <v>0.10372040586245772</v>
      </c>
      <c r="BV107" s="281"/>
      <c r="BW107" s="283">
        <f>BW109/BW108</f>
        <v>0.14218009478672985</v>
      </c>
      <c r="BX107" s="281"/>
      <c r="BY107" s="283">
        <f>BY109/BY108</f>
        <v>7.9295154185022032E-2</v>
      </c>
      <c r="BZ107" s="281"/>
      <c r="CA107" s="283" t="e">
        <f>CA109/CA108</f>
        <v>#DIV/0!</v>
      </c>
      <c r="CB107" s="281"/>
      <c r="CC107" s="283" t="e">
        <f>CC109/CC108</f>
        <v>#DIV/0!</v>
      </c>
      <c r="CD107" s="281"/>
      <c r="CE107" s="283" t="e">
        <f>CE109/CE108</f>
        <v>#DIV/0!</v>
      </c>
      <c r="CF107" s="281"/>
      <c r="CG107" s="283" t="e">
        <f>CG109/CG108</f>
        <v>#DIV/0!</v>
      </c>
      <c r="CH107" s="281"/>
      <c r="CI107" s="283" t="e">
        <f>CI109/CI108</f>
        <v>#DIV/0!</v>
      </c>
      <c r="CJ107" s="281"/>
      <c r="CK107" s="283" t="e">
        <f>CK109/CK108</f>
        <v>#DIV/0!</v>
      </c>
      <c r="CL107" s="281"/>
      <c r="CM107" s="283" t="e">
        <f>CM109/CM108</f>
        <v>#DIV/0!</v>
      </c>
      <c r="CN107" s="281"/>
      <c r="CO107" s="283" t="e">
        <f>CO109/CO108</f>
        <v>#DIV/0!</v>
      </c>
      <c r="CP107" s="281"/>
      <c r="CQ107" s="283" t="e">
        <f>CQ109/CQ108</f>
        <v>#DIV/0!</v>
      </c>
      <c r="CR107" s="281"/>
      <c r="CS107" s="283" t="e">
        <f>CS109/CS108</f>
        <v>#DIV/0!</v>
      </c>
      <c r="CT107" s="281"/>
      <c r="CU107" s="283" t="e">
        <f>CU109/CU108</f>
        <v>#DIV/0!</v>
      </c>
      <c r="CV107" s="281"/>
      <c r="CW107" s="283" t="e">
        <f>CW109/CW108</f>
        <v>#DIV/0!</v>
      </c>
      <c r="CX107" s="281"/>
      <c r="CY107" s="283" t="e">
        <f>CY109/CY108</f>
        <v>#DIV/0!</v>
      </c>
      <c r="CZ107" s="281"/>
      <c r="DA107" s="283" t="e">
        <f>DA109/DA108</f>
        <v>#DIV/0!</v>
      </c>
      <c r="DB107" s="281"/>
      <c r="DC107" s="283" t="e">
        <f>DC109/DC108</f>
        <v>#DIV/0!</v>
      </c>
      <c r="DD107" s="281"/>
      <c r="DE107" s="283" t="e">
        <f>DE109/DE108</f>
        <v>#DIV/0!</v>
      </c>
      <c r="DF107" s="281"/>
      <c r="DG107" s="283" t="e">
        <f>DG109/DG108</f>
        <v>#DIV/0!</v>
      </c>
      <c r="DH107" s="281"/>
      <c r="DI107" s="283" t="e">
        <f>DI109/DI108</f>
        <v>#DIV/0!</v>
      </c>
      <c r="DJ107" s="281"/>
      <c r="DK107" s="283" t="e">
        <f>DK109/DK108</f>
        <v>#DIV/0!</v>
      </c>
      <c r="DL107" s="281"/>
      <c r="DM107" s="283" t="e">
        <f>DM109/DM108</f>
        <v>#DIV/0!</v>
      </c>
      <c r="DN107" s="281"/>
      <c r="DO107" s="283" t="e">
        <f>DO109/DO108</f>
        <v>#DIV/0!</v>
      </c>
      <c r="DP107" s="281"/>
      <c r="DQ107" s="283" t="e">
        <f>DQ109/DQ108</f>
        <v>#DIV/0!</v>
      </c>
      <c r="DR107" s="281"/>
      <c r="DS107" s="283" t="e">
        <f>DS109/DS108</f>
        <v>#DIV/0!</v>
      </c>
      <c r="DT107" s="281"/>
      <c r="DU107" s="301"/>
      <c r="DV107" s="301"/>
      <c r="DW107" s="301"/>
      <c r="DX107" s="301"/>
      <c r="DY107" s="301"/>
      <c r="DZ107" s="301"/>
      <c r="EA107" s="301"/>
      <c r="EB107" s="301"/>
      <c r="EC107" s="301"/>
      <c r="ED107" s="301"/>
      <c r="EE107" s="301"/>
      <c r="EF107" s="301"/>
      <c r="EG107" s="301"/>
      <c r="EH107" s="301"/>
      <c r="EI107" s="301"/>
      <c r="EJ107" s="301"/>
      <c r="EK107" s="301"/>
      <c r="EL107" s="301"/>
      <c r="EM107" s="301"/>
      <c r="EN107" s="283" t="e">
        <f>EN109/EN108</f>
        <v>#DIV/0!</v>
      </c>
      <c r="EO107" s="281"/>
      <c r="EP107" s="283" t="e">
        <f>EP109/EP108</f>
        <v>#DIV/0!</v>
      </c>
      <c r="EQ107" s="281"/>
      <c r="ER107" s="283" t="e">
        <f>ER109/ER108</f>
        <v>#DIV/0!</v>
      </c>
      <c r="ES107" s="281"/>
      <c r="ET107" s="283" t="e">
        <f>ET109/ET108</f>
        <v>#DIV/0!</v>
      </c>
      <c r="EU107" s="281"/>
      <c r="EV107" s="283" t="e">
        <f>EV109/EV108</f>
        <v>#DIV/0!</v>
      </c>
      <c r="EW107" s="281"/>
      <c r="EX107" s="283" t="e">
        <f>EX109/EX108</f>
        <v>#DIV/0!</v>
      </c>
      <c r="EY107" s="281"/>
      <c r="EZ107" s="283" t="e">
        <f>EZ109/EZ108</f>
        <v>#DIV/0!</v>
      </c>
      <c r="FA107" s="281"/>
      <c r="FB107" s="283" t="e">
        <f>FB109/FB108</f>
        <v>#DIV/0!</v>
      </c>
      <c r="FC107" s="281"/>
      <c r="FD107" s="283" t="e">
        <f>FD109/FD108</f>
        <v>#DIV/0!</v>
      </c>
      <c r="FE107" s="281"/>
      <c r="FF107" s="283" t="e">
        <f>FF109/FF108</f>
        <v>#DIV/0!</v>
      </c>
      <c r="FG107" s="281"/>
      <c r="FH107" s="283" t="e">
        <f>FH109/FH108</f>
        <v>#DIV/0!</v>
      </c>
      <c r="FI107" s="281"/>
      <c r="FJ107" s="283" t="e">
        <f>FJ109/FJ108</f>
        <v>#DIV/0!</v>
      </c>
      <c r="FK107" s="281"/>
      <c r="FL107" s="283" t="e">
        <f>FL109/FL108</f>
        <v>#DIV/0!</v>
      </c>
      <c r="FM107" s="281"/>
      <c r="FN107" s="283" t="e">
        <f>FN109/FN108</f>
        <v>#DIV/0!</v>
      </c>
      <c r="FO107" s="281"/>
      <c r="FP107" s="283" t="e">
        <f>FP109/FP108</f>
        <v>#DIV/0!</v>
      </c>
      <c r="FQ107" s="281"/>
      <c r="FR107" s="301"/>
      <c r="FS107" s="301"/>
      <c r="FT107" s="301"/>
      <c r="FU107" s="301"/>
      <c r="FV107" s="301"/>
      <c r="FW107" s="301"/>
      <c r="FX107" s="301"/>
      <c r="FY107" s="301"/>
      <c r="FZ107" s="301"/>
      <c r="GA107" s="301"/>
      <c r="GB107" s="301"/>
      <c r="GC107" s="301"/>
      <c r="GD107" s="301"/>
      <c r="GE107" s="301"/>
      <c r="GF107" s="301"/>
      <c r="GG107" s="301"/>
    </row>
    <row r="108" spans="1:189" ht="15" hidden="1" customHeight="1" x14ac:dyDescent="0.3">
      <c r="A108" s="1"/>
      <c r="B108" s="301"/>
      <c r="C108" s="301"/>
      <c r="D108" s="301"/>
      <c r="E108" s="301"/>
      <c r="F108" s="301"/>
      <c r="G108" s="5" t="s">
        <v>92</v>
      </c>
      <c r="H108" s="5"/>
      <c r="I108" s="284">
        <f t="shared" ref="I108:I109" si="232">SUM(K108:AH108)</f>
        <v>86947</v>
      </c>
      <c r="J108" s="281"/>
      <c r="K108" s="284">
        <v>12095</v>
      </c>
      <c r="L108" s="281"/>
      <c r="M108" s="284">
        <v>7083</v>
      </c>
      <c r="N108" s="281"/>
      <c r="O108" s="284">
        <v>6435</v>
      </c>
      <c r="P108" s="281"/>
      <c r="Q108" s="284">
        <v>6243</v>
      </c>
      <c r="R108" s="281"/>
      <c r="S108" s="284">
        <v>5711</v>
      </c>
      <c r="T108" s="281"/>
      <c r="U108" s="284">
        <v>4865</v>
      </c>
      <c r="V108" s="281"/>
      <c r="W108" s="284">
        <f>4277+1076+1347+126</f>
        <v>6826</v>
      </c>
      <c r="X108" s="281"/>
      <c r="Y108" s="284">
        <v>7117</v>
      </c>
      <c r="Z108" s="281"/>
      <c r="AA108" s="284">
        <v>7070</v>
      </c>
      <c r="AB108" s="281"/>
      <c r="AC108" s="284">
        <v>12345</v>
      </c>
      <c r="AD108" s="281"/>
      <c r="AE108" s="284">
        <v>6326</v>
      </c>
      <c r="AF108" s="281"/>
      <c r="AG108" s="284">
        <v>4831</v>
      </c>
      <c r="AH108" s="281"/>
      <c r="AI108" s="284">
        <v>2737</v>
      </c>
      <c r="AJ108" s="281"/>
      <c r="AK108" s="284">
        <v>2581</v>
      </c>
      <c r="AL108" s="281"/>
      <c r="AM108" s="284">
        <v>4016</v>
      </c>
      <c r="AN108" s="281"/>
      <c r="AO108" s="284">
        <f>AO109+1720</f>
        <v>3336</v>
      </c>
      <c r="AP108" s="281"/>
      <c r="AQ108" s="284">
        <f>1912+1788</f>
        <v>3700</v>
      </c>
      <c r="AR108" s="281"/>
      <c r="AS108" s="284">
        <f>3143+5835</f>
        <v>8978</v>
      </c>
      <c r="AT108" s="281"/>
      <c r="AU108" s="284">
        <f>AU109+4115</f>
        <v>8018</v>
      </c>
      <c r="AV108" s="281"/>
      <c r="AW108" s="284">
        <f>AW109+3176</f>
        <v>4095</v>
      </c>
      <c r="AX108" s="281"/>
      <c r="AY108" s="284">
        <f>AY109+2872</f>
        <v>3609</v>
      </c>
      <c r="AZ108" s="281"/>
      <c r="BA108" s="284">
        <f>BA109+2711</f>
        <v>3300</v>
      </c>
      <c r="BB108" s="281"/>
      <c r="BC108" s="284">
        <v>2463</v>
      </c>
      <c r="BD108" s="281"/>
      <c r="BE108" s="284">
        <v>6302</v>
      </c>
      <c r="BF108" s="281"/>
      <c r="BG108" s="284">
        <v>4145</v>
      </c>
      <c r="BH108" s="281"/>
      <c r="BI108" s="284">
        <v>2614</v>
      </c>
      <c r="BJ108" s="281"/>
      <c r="BK108" s="284">
        <v>4097</v>
      </c>
      <c r="BL108" s="281"/>
      <c r="BM108" s="284">
        <v>3955</v>
      </c>
      <c r="BN108" s="281"/>
      <c r="BO108" s="284">
        <v>2659</v>
      </c>
      <c r="BP108" s="281"/>
      <c r="BQ108" s="284">
        <v>2722</v>
      </c>
      <c r="BR108" s="281"/>
      <c r="BS108" s="284">
        <v>1326</v>
      </c>
      <c r="BT108" s="281"/>
      <c r="BU108" s="284">
        <v>887</v>
      </c>
      <c r="BV108" s="281"/>
      <c r="BW108" s="284">
        <v>422</v>
      </c>
      <c r="BX108" s="281"/>
      <c r="BY108" s="284">
        <v>227</v>
      </c>
      <c r="BZ108" s="281"/>
      <c r="CA108" s="284">
        <v>0</v>
      </c>
      <c r="CB108" s="281"/>
      <c r="CC108" s="284">
        <v>0</v>
      </c>
      <c r="CD108" s="281"/>
      <c r="CE108" s="284">
        <v>0</v>
      </c>
      <c r="CF108" s="281"/>
      <c r="CG108" s="284">
        <v>0</v>
      </c>
      <c r="CH108" s="281"/>
      <c r="CI108" s="284">
        <v>0</v>
      </c>
      <c r="CJ108" s="281"/>
      <c r="CK108" s="284">
        <v>0</v>
      </c>
      <c r="CL108" s="281"/>
      <c r="CM108" s="284">
        <v>0</v>
      </c>
      <c r="CN108" s="281"/>
      <c r="CO108" s="284">
        <v>0</v>
      </c>
      <c r="CP108" s="281"/>
      <c r="CQ108" s="284">
        <v>0</v>
      </c>
      <c r="CR108" s="281"/>
      <c r="CS108" s="284">
        <v>0</v>
      </c>
      <c r="CT108" s="281"/>
      <c r="CU108" s="284">
        <v>0</v>
      </c>
      <c r="CV108" s="281"/>
      <c r="CW108" s="284">
        <v>0</v>
      </c>
      <c r="CX108" s="281"/>
      <c r="CY108" s="284">
        <v>0</v>
      </c>
      <c r="CZ108" s="281"/>
      <c r="DA108" s="284">
        <v>0</v>
      </c>
      <c r="DB108" s="281"/>
      <c r="DC108" s="284">
        <v>0</v>
      </c>
      <c r="DD108" s="281"/>
      <c r="DE108" s="284">
        <v>0</v>
      </c>
      <c r="DF108" s="281"/>
      <c r="DG108" s="284">
        <v>0</v>
      </c>
      <c r="DH108" s="281"/>
      <c r="DI108" s="284">
        <v>0</v>
      </c>
      <c r="DJ108" s="281"/>
      <c r="DK108" s="284">
        <v>0</v>
      </c>
      <c r="DL108" s="281"/>
      <c r="DM108" s="284">
        <v>0</v>
      </c>
      <c r="DN108" s="281"/>
      <c r="DO108" s="284">
        <v>0</v>
      </c>
      <c r="DP108" s="281"/>
      <c r="DQ108" s="284">
        <v>0</v>
      </c>
      <c r="DR108" s="281"/>
      <c r="DS108" s="284">
        <v>0</v>
      </c>
      <c r="DT108" s="281"/>
      <c r="DU108" s="301"/>
      <c r="DV108" s="301"/>
      <c r="DW108" s="301"/>
      <c r="DX108" s="301"/>
      <c r="DY108" s="301"/>
      <c r="DZ108" s="301"/>
      <c r="EA108" s="301"/>
      <c r="EB108" s="301"/>
      <c r="EC108" s="301"/>
      <c r="ED108" s="301"/>
      <c r="EE108" s="301"/>
      <c r="EF108" s="301"/>
      <c r="EG108" s="301"/>
      <c r="EH108" s="301"/>
      <c r="EI108" s="301"/>
      <c r="EJ108" s="301"/>
      <c r="EK108" s="301"/>
      <c r="EL108" s="301"/>
      <c r="EM108" s="301"/>
      <c r="EN108" s="284">
        <v>0</v>
      </c>
      <c r="EO108" s="281"/>
      <c r="EP108" s="284">
        <v>0</v>
      </c>
      <c r="EQ108" s="281"/>
      <c r="ER108" s="284">
        <v>0</v>
      </c>
      <c r="ES108" s="281"/>
      <c r="ET108" s="284">
        <v>0</v>
      </c>
      <c r="EU108" s="281"/>
      <c r="EV108" s="284">
        <v>0</v>
      </c>
      <c r="EW108" s="281"/>
      <c r="EX108" s="284">
        <v>0</v>
      </c>
      <c r="EY108" s="281"/>
      <c r="EZ108" s="284">
        <v>0</v>
      </c>
      <c r="FA108" s="281"/>
      <c r="FB108" s="284">
        <v>0</v>
      </c>
      <c r="FC108" s="281"/>
      <c r="FD108" s="284">
        <v>0</v>
      </c>
      <c r="FE108" s="281"/>
      <c r="FF108" s="284">
        <v>0</v>
      </c>
      <c r="FG108" s="281"/>
      <c r="FH108" s="284">
        <v>0</v>
      </c>
      <c r="FI108" s="281"/>
      <c r="FJ108" s="284">
        <v>0</v>
      </c>
      <c r="FK108" s="281"/>
      <c r="FL108" s="284">
        <v>0</v>
      </c>
      <c r="FM108" s="281"/>
      <c r="FN108" s="284">
        <v>0</v>
      </c>
      <c r="FO108" s="281"/>
      <c r="FP108" s="284">
        <v>0</v>
      </c>
      <c r="FQ108" s="281"/>
      <c r="FR108" s="301"/>
      <c r="FS108" s="301"/>
      <c r="FT108" s="301"/>
      <c r="FU108" s="301"/>
      <c r="FV108" s="301"/>
      <c r="FW108" s="301"/>
      <c r="FX108" s="301"/>
      <c r="FY108" s="301"/>
      <c r="FZ108" s="301"/>
      <c r="GA108" s="301"/>
      <c r="GB108" s="301"/>
      <c r="GC108" s="301"/>
      <c r="GD108" s="301"/>
      <c r="GE108" s="301"/>
      <c r="GF108" s="301"/>
      <c r="GG108" s="301"/>
    </row>
    <row r="109" spans="1:189" ht="3" hidden="1" customHeight="1" x14ac:dyDescent="0.3">
      <c r="A109" s="1"/>
      <c r="B109" s="301"/>
      <c r="C109" s="301"/>
      <c r="D109" s="301"/>
      <c r="E109" s="301"/>
      <c r="F109" s="301"/>
      <c r="G109" s="5" t="s">
        <v>89</v>
      </c>
      <c r="H109" s="5"/>
      <c r="I109" s="284">
        <f t="shared" si="232"/>
        <v>15760</v>
      </c>
      <c r="J109" s="281"/>
      <c r="K109" s="284">
        <v>4002</v>
      </c>
      <c r="L109" s="281"/>
      <c r="M109" s="284">
        <v>1792</v>
      </c>
      <c r="N109" s="281"/>
      <c r="O109" s="284">
        <v>1569</v>
      </c>
      <c r="P109" s="281"/>
      <c r="Q109" s="284">
        <v>1383</v>
      </c>
      <c r="R109" s="281"/>
      <c r="S109" s="284">
        <v>377</v>
      </c>
      <c r="T109" s="281"/>
      <c r="U109" s="284">
        <v>555</v>
      </c>
      <c r="V109" s="281"/>
      <c r="W109" s="284">
        <v>1076</v>
      </c>
      <c r="X109" s="281"/>
      <c r="Y109" s="284">
        <v>1023</v>
      </c>
      <c r="Z109" s="281"/>
      <c r="AA109" s="284">
        <v>772</v>
      </c>
      <c r="AB109" s="281"/>
      <c r="AC109" s="284">
        <v>2059</v>
      </c>
      <c r="AD109" s="281"/>
      <c r="AE109" s="284">
        <v>677</v>
      </c>
      <c r="AF109" s="281"/>
      <c r="AG109" s="284">
        <v>475</v>
      </c>
      <c r="AH109" s="281"/>
      <c r="AI109" s="284">
        <v>124</v>
      </c>
      <c r="AJ109" s="281"/>
      <c r="AK109" s="284">
        <v>190</v>
      </c>
      <c r="AL109" s="281"/>
      <c r="AM109" s="284">
        <v>141</v>
      </c>
      <c r="AN109" s="281"/>
      <c r="AO109" s="284">
        <v>1616</v>
      </c>
      <c r="AP109" s="281"/>
      <c r="AQ109" s="284">
        <v>1788</v>
      </c>
      <c r="AR109" s="281"/>
      <c r="AS109" s="284">
        <v>5835</v>
      </c>
      <c r="AT109" s="281"/>
      <c r="AU109" s="284">
        <v>3903</v>
      </c>
      <c r="AV109" s="281"/>
      <c r="AW109" s="284">
        <v>919</v>
      </c>
      <c r="AX109" s="281"/>
      <c r="AY109" s="284">
        <v>737</v>
      </c>
      <c r="AZ109" s="281"/>
      <c r="BA109" s="284">
        <v>589</v>
      </c>
      <c r="BB109" s="281"/>
      <c r="BC109" s="284">
        <v>1417</v>
      </c>
      <c r="BD109" s="281"/>
      <c r="BE109" s="284">
        <v>1597</v>
      </c>
      <c r="BF109" s="281"/>
      <c r="BG109" s="284">
        <v>338</v>
      </c>
      <c r="BH109" s="281"/>
      <c r="BI109" s="284">
        <v>135</v>
      </c>
      <c r="BJ109" s="281"/>
      <c r="BK109" s="284">
        <v>562</v>
      </c>
      <c r="BL109" s="281"/>
      <c r="BM109" s="284">
        <v>636</v>
      </c>
      <c r="BN109" s="281"/>
      <c r="BO109" s="284">
        <v>148</v>
      </c>
      <c r="BP109" s="281"/>
      <c r="BQ109" s="284">
        <v>159</v>
      </c>
      <c r="BR109" s="281"/>
      <c r="BS109" s="284">
        <v>122</v>
      </c>
      <c r="BT109" s="281"/>
      <c r="BU109" s="284">
        <v>92</v>
      </c>
      <c r="BV109" s="281"/>
      <c r="BW109" s="284">
        <v>60</v>
      </c>
      <c r="BX109" s="281"/>
      <c r="BY109" s="284">
        <v>18</v>
      </c>
      <c r="BZ109" s="281"/>
      <c r="CA109" s="284">
        <v>0</v>
      </c>
      <c r="CB109" s="281"/>
      <c r="CC109" s="284">
        <v>0</v>
      </c>
      <c r="CD109" s="281"/>
      <c r="CE109" s="284">
        <v>0</v>
      </c>
      <c r="CF109" s="281"/>
      <c r="CG109" s="284">
        <v>0</v>
      </c>
      <c r="CH109" s="281"/>
      <c r="CI109" s="284">
        <v>0</v>
      </c>
      <c r="CJ109" s="281"/>
      <c r="CK109" s="284">
        <v>0</v>
      </c>
      <c r="CL109" s="281"/>
      <c r="CM109" s="284">
        <v>0</v>
      </c>
      <c r="CN109" s="281"/>
      <c r="CO109" s="284">
        <v>0</v>
      </c>
      <c r="CP109" s="281"/>
      <c r="CQ109" s="284">
        <v>0</v>
      </c>
      <c r="CR109" s="281"/>
      <c r="CS109" s="284">
        <v>0</v>
      </c>
      <c r="CT109" s="281"/>
      <c r="CU109" s="284">
        <v>0</v>
      </c>
      <c r="CV109" s="281"/>
      <c r="CW109" s="284">
        <v>0</v>
      </c>
      <c r="CX109" s="281"/>
      <c r="CY109" s="284">
        <v>0</v>
      </c>
      <c r="CZ109" s="281"/>
      <c r="DA109" s="284">
        <v>0</v>
      </c>
      <c r="DB109" s="281"/>
      <c r="DC109" s="284">
        <v>0</v>
      </c>
      <c r="DD109" s="281"/>
      <c r="DE109" s="284">
        <v>0</v>
      </c>
      <c r="DF109" s="281"/>
      <c r="DG109" s="284">
        <v>0</v>
      </c>
      <c r="DH109" s="281"/>
      <c r="DI109" s="284">
        <v>0</v>
      </c>
      <c r="DJ109" s="281"/>
      <c r="DK109" s="284">
        <v>0</v>
      </c>
      <c r="DL109" s="281"/>
      <c r="DM109" s="284">
        <v>0</v>
      </c>
      <c r="DN109" s="281"/>
      <c r="DO109" s="284">
        <v>0</v>
      </c>
      <c r="DP109" s="281"/>
      <c r="DQ109" s="284">
        <v>0</v>
      </c>
      <c r="DR109" s="281"/>
      <c r="DS109" s="284">
        <v>0</v>
      </c>
      <c r="DT109" s="281"/>
      <c r="DU109" s="302"/>
      <c r="DV109" s="302"/>
      <c r="DW109" s="302"/>
      <c r="DX109" s="302"/>
      <c r="DY109" s="302"/>
      <c r="DZ109" s="302"/>
      <c r="EA109" s="302"/>
      <c r="EB109" s="302"/>
      <c r="EC109" s="302"/>
      <c r="ED109" s="302"/>
      <c r="EE109" s="302"/>
      <c r="EF109" s="302"/>
      <c r="EG109" s="302"/>
      <c r="EH109" s="302"/>
      <c r="EI109" s="302"/>
      <c r="EJ109" s="302"/>
      <c r="EK109" s="302"/>
      <c r="EL109" s="302"/>
      <c r="EM109" s="302"/>
      <c r="EN109" s="284">
        <v>0</v>
      </c>
      <c r="EO109" s="281"/>
      <c r="EP109" s="284">
        <v>0</v>
      </c>
      <c r="EQ109" s="281"/>
      <c r="ER109" s="284">
        <v>0</v>
      </c>
      <c r="ES109" s="281"/>
      <c r="ET109" s="284">
        <v>0</v>
      </c>
      <c r="EU109" s="281"/>
      <c r="EV109" s="284">
        <v>0</v>
      </c>
      <c r="EW109" s="281"/>
      <c r="EX109" s="284">
        <v>0</v>
      </c>
      <c r="EY109" s="281"/>
      <c r="EZ109" s="284">
        <v>0</v>
      </c>
      <c r="FA109" s="281"/>
      <c r="FB109" s="284">
        <v>0</v>
      </c>
      <c r="FC109" s="281"/>
      <c r="FD109" s="284">
        <v>0</v>
      </c>
      <c r="FE109" s="281"/>
      <c r="FF109" s="284">
        <v>0</v>
      </c>
      <c r="FG109" s="281"/>
      <c r="FH109" s="284">
        <v>0</v>
      </c>
      <c r="FI109" s="281"/>
      <c r="FJ109" s="284">
        <v>0</v>
      </c>
      <c r="FK109" s="281"/>
      <c r="FL109" s="284">
        <v>0</v>
      </c>
      <c r="FM109" s="281"/>
      <c r="FN109" s="284">
        <v>0</v>
      </c>
      <c r="FO109" s="281"/>
      <c r="FP109" s="284">
        <v>0</v>
      </c>
      <c r="FQ109" s="281"/>
      <c r="FR109" s="302"/>
      <c r="FS109" s="302"/>
      <c r="FT109" s="302"/>
      <c r="FU109" s="302"/>
      <c r="FV109" s="302"/>
      <c r="FW109" s="302"/>
      <c r="FX109" s="302"/>
      <c r="FY109" s="302"/>
      <c r="FZ109" s="302"/>
      <c r="GA109" s="302"/>
      <c r="GB109" s="302"/>
      <c r="GC109" s="302"/>
      <c r="GD109" s="302"/>
      <c r="GE109" s="302"/>
      <c r="GF109" s="302"/>
      <c r="GG109" s="302"/>
    </row>
    <row r="110" spans="1:189" ht="11.25" hidden="1" customHeight="1" outlineLevel="1" x14ac:dyDescent="0.3">
      <c r="A110" s="1"/>
      <c r="B110" s="301"/>
      <c r="C110" s="301"/>
      <c r="D110" s="301"/>
      <c r="E110" s="301"/>
      <c r="F110" s="301"/>
      <c r="G110" s="67" t="s">
        <v>93</v>
      </c>
      <c r="H110" s="5"/>
      <c r="I110" s="283"/>
      <c r="J110" s="281"/>
      <c r="K110" s="283"/>
      <c r="L110" s="281"/>
      <c r="M110" s="283"/>
      <c r="N110" s="281"/>
      <c r="O110" s="283"/>
      <c r="P110" s="281"/>
      <c r="Q110" s="283"/>
      <c r="R110" s="281"/>
      <c r="S110" s="283"/>
      <c r="T110" s="281"/>
      <c r="U110" s="283"/>
      <c r="V110" s="281"/>
      <c r="W110" s="283"/>
      <c r="X110" s="281"/>
      <c r="Y110" s="283"/>
      <c r="Z110" s="281"/>
      <c r="AA110" s="283"/>
      <c r="AB110" s="281"/>
      <c r="AC110" s="283"/>
      <c r="AD110" s="281"/>
      <c r="AE110" s="283"/>
      <c r="AF110" s="281"/>
      <c r="AG110" s="283"/>
      <c r="AH110" s="281"/>
      <c r="AI110" s="283"/>
      <c r="AJ110" s="281"/>
      <c r="AK110" s="283"/>
      <c r="AL110" s="281"/>
      <c r="AM110" s="467"/>
      <c r="AN110" s="281"/>
      <c r="AO110" s="467"/>
      <c r="AP110" s="281"/>
      <c r="AQ110" s="283"/>
      <c r="AR110" s="281"/>
      <c r="AS110" s="283"/>
      <c r="AT110" s="281"/>
      <c r="AU110" s="283"/>
      <c r="AV110" s="281"/>
      <c r="AW110" s="283"/>
      <c r="AX110" s="281"/>
      <c r="AY110" s="283"/>
      <c r="AZ110" s="281"/>
      <c r="BA110" s="283"/>
      <c r="BB110" s="281"/>
      <c r="BC110" s="283"/>
      <c r="BD110" s="281"/>
      <c r="BE110" s="283"/>
      <c r="BF110" s="281"/>
      <c r="BG110" s="283"/>
      <c r="BH110" s="281"/>
      <c r="BI110" s="283"/>
      <c r="BJ110" s="281"/>
      <c r="BK110" s="283"/>
      <c r="BL110" s="281"/>
      <c r="BM110" s="283"/>
      <c r="BN110" s="281"/>
      <c r="BO110" s="283"/>
      <c r="BP110" s="281"/>
      <c r="BQ110" s="283"/>
      <c r="BR110" s="281"/>
      <c r="BS110" s="283"/>
      <c r="BT110" s="281"/>
      <c r="BU110" s="283"/>
      <c r="BV110" s="281"/>
      <c r="BW110" s="283"/>
      <c r="BX110" s="281"/>
      <c r="BY110" s="283"/>
      <c r="BZ110" s="281"/>
      <c r="CA110" s="283"/>
      <c r="CB110" s="281"/>
      <c r="CC110" s="283"/>
      <c r="CD110" s="281"/>
      <c r="CE110" s="283"/>
      <c r="CF110" s="281"/>
      <c r="CG110" s="283"/>
      <c r="CH110" s="281"/>
      <c r="CI110" s="283"/>
      <c r="CJ110" s="281"/>
      <c r="CK110" s="283"/>
      <c r="CL110" s="281"/>
      <c r="CM110" s="283"/>
      <c r="CN110" s="281"/>
      <c r="CO110" s="283"/>
      <c r="CP110" s="281"/>
      <c r="CQ110" s="283"/>
      <c r="CR110" s="281"/>
      <c r="CS110" s="283"/>
      <c r="CT110" s="281"/>
      <c r="CU110" s="283"/>
      <c r="CV110" s="281"/>
      <c r="CW110" s="283"/>
      <c r="CX110" s="281"/>
      <c r="CY110" s="283"/>
      <c r="CZ110" s="281"/>
      <c r="DA110" s="283"/>
      <c r="DB110" s="281"/>
      <c r="DC110" s="283"/>
      <c r="DD110" s="281"/>
      <c r="DE110" s="283"/>
      <c r="DF110" s="281"/>
      <c r="DG110" s="283"/>
      <c r="DH110" s="281"/>
      <c r="DI110" s="283"/>
      <c r="DJ110" s="281"/>
      <c r="DK110" s="283"/>
      <c r="DL110" s="281"/>
      <c r="DM110" s="283"/>
      <c r="DN110" s="281"/>
      <c r="DO110" s="283"/>
      <c r="DP110" s="281"/>
      <c r="DQ110" s="283"/>
      <c r="DR110" s="281"/>
      <c r="DS110" s="283"/>
      <c r="DT110" s="281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  <c r="EE110" s="68"/>
      <c r="EF110" s="68"/>
      <c r="EG110" s="68"/>
      <c r="EH110" s="68"/>
      <c r="EI110" s="68"/>
      <c r="EJ110" s="68"/>
      <c r="EK110" s="68"/>
      <c r="EL110" s="68"/>
      <c r="EM110" s="68"/>
      <c r="EN110" s="283"/>
      <c r="EO110" s="281"/>
      <c r="EP110" s="283"/>
      <c r="EQ110" s="281"/>
      <c r="ER110" s="283"/>
      <c r="ES110" s="281"/>
      <c r="ET110" s="283"/>
      <c r="EU110" s="281"/>
      <c r="EV110" s="283"/>
      <c r="EW110" s="281"/>
      <c r="EX110" s="283"/>
      <c r="EY110" s="281"/>
      <c r="EZ110" s="283"/>
      <c r="FA110" s="281"/>
      <c r="FB110" s="283"/>
      <c r="FC110" s="281"/>
      <c r="FD110" s="283"/>
      <c r="FE110" s="281"/>
      <c r="FF110" s="283"/>
      <c r="FG110" s="281"/>
      <c r="FH110" s="283"/>
      <c r="FI110" s="281"/>
      <c r="FJ110" s="283"/>
      <c r="FK110" s="281"/>
      <c r="FL110" s="283"/>
      <c r="FM110" s="281"/>
      <c r="FN110" s="283"/>
      <c r="FO110" s="281"/>
      <c r="FP110" s="283"/>
      <c r="FQ110" s="281"/>
      <c r="FR110" s="68"/>
      <c r="FS110" s="68"/>
      <c r="FT110" s="68"/>
      <c r="FU110" s="68"/>
      <c r="FV110" s="68"/>
      <c r="FW110" s="68"/>
      <c r="FX110" s="68"/>
      <c r="FY110" s="68"/>
      <c r="FZ110" s="68"/>
      <c r="GA110" s="68"/>
      <c r="GB110" s="68"/>
      <c r="GC110" s="68"/>
      <c r="GD110" s="68"/>
      <c r="GE110" s="68"/>
      <c r="GF110" s="68"/>
      <c r="GG110" s="68"/>
    </row>
    <row r="111" spans="1:189" ht="11.25" hidden="1" customHeight="1" outlineLevel="1" x14ac:dyDescent="0.3">
      <c r="A111" s="1"/>
      <c r="B111" s="302"/>
      <c r="C111" s="302"/>
      <c r="D111" s="302"/>
      <c r="E111" s="302"/>
      <c r="F111" s="302"/>
      <c r="G111" s="69" t="s">
        <v>94</v>
      </c>
      <c r="H111" s="70"/>
      <c r="I111" s="372"/>
      <c r="J111" s="373"/>
      <c r="K111" s="372"/>
      <c r="L111" s="373"/>
      <c r="M111" s="372"/>
      <c r="N111" s="373"/>
      <c r="O111" s="372"/>
      <c r="P111" s="373"/>
      <c r="Q111" s="372"/>
      <c r="R111" s="373"/>
      <c r="S111" s="372"/>
      <c r="T111" s="373"/>
      <c r="U111" s="372"/>
      <c r="V111" s="373"/>
      <c r="W111" s="372"/>
      <c r="X111" s="373"/>
      <c r="Y111" s="372"/>
      <c r="Z111" s="373"/>
      <c r="AA111" s="372"/>
      <c r="AB111" s="373"/>
      <c r="AC111" s="372"/>
      <c r="AD111" s="373"/>
      <c r="AE111" s="372"/>
      <c r="AF111" s="373"/>
      <c r="AG111" s="372"/>
      <c r="AH111" s="373"/>
      <c r="AI111" s="372"/>
      <c r="AJ111" s="373"/>
      <c r="AK111" s="372"/>
      <c r="AL111" s="373"/>
      <c r="AM111" s="468"/>
      <c r="AN111" s="418"/>
      <c r="AO111" s="468"/>
      <c r="AP111" s="418"/>
      <c r="AQ111" s="372"/>
      <c r="AR111" s="373"/>
      <c r="AS111" s="372"/>
      <c r="AT111" s="373"/>
      <c r="AU111" s="372"/>
      <c r="AV111" s="373"/>
      <c r="AW111" s="372"/>
      <c r="AX111" s="373"/>
      <c r="AY111" s="372"/>
      <c r="AZ111" s="373"/>
      <c r="BA111" s="372"/>
      <c r="BB111" s="373"/>
      <c r="BC111" s="372"/>
      <c r="BD111" s="373"/>
      <c r="BE111" s="372"/>
      <c r="BF111" s="373"/>
      <c r="BG111" s="372"/>
      <c r="BH111" s="373"/>
      <c r="BI111" s="372"/>
      <c r="BJ111" s="373"/>
      <c r="BK111" s="372"/>
      <c r="BL111" s="373"/>
      <c r="BM111" s="372"/>
      <c r="BN111" s="373"/>
      <c r="BO111" s="372"/>
      <c r="BP111" s="373"/>
      <c r="BQ111" s="372"/>
      <c r="BR111" s="373"/>
      <c r="BS111" s="372"/>
      <c r="BT111" s="373"/>
      <c r="BU111" s="372"/>
      <c r="BV111" s="373"/>
      <c r="BW111" s="372"/>
      <c r="BX111" s="373"/>
      <c r="BY111" s="372"/>
      <c r="BZ111" s="373"/>
      <c r="CA111" s="372"/>
      <c r="CB111" s="373"/>
      <c r="CC111" s="372"/>
      <c r="CD111" s="373"/>
      <c r="CE111" s="372"/>
      <c r="CF111" s="373"/>
      <c r="CG111" s="372"/>
      <c r="CH111" s="373"/>
      <c r="CI111" s="372"/>
      <c r="CJ111" s="373"/>
      <c r="CK111" s="372"/>
      <c r="CL111" s="373"/>
      <c r="CM111" s="372"/>
      <c r="CN111" s="373"/>
      <c r="CO111" s="372"/>
      <c r="CP111" s="373"/>
      <c r="CQ111" s="372"/>
      <c r="CR111" s="373"/>
      <c r="CS111" s="372"/>
      <c r="CT111" s="373"/>
      <c r="CU111" s="372"/>
      <c r="CV111" s="373"/>
      <c r="CW111" s="372"/>
      <c r="CX111" s="373"/>
      <c r="CY111" s="372"/>
      <c r="CZ111" s="373"/>
      <c r="DA111" s="372"/>
      <c r="DB111" s="373"/>
      <c r="DC111" s="372"/>
      <c r="DD111" s="373"/>
      <c r="DE111" s="372"/>
      <c r="DF111" s="373"/>
      <c r="DG111" s="372"/>
      <c r="DH111" s="373"/>
      <c r="DI111" s="372"/>
      <c r="DJ111" s="373"/>
      <c r="DK111" s="372"/>
      <c r="DL111" s="373"/>
      <c r="DM111" s="372"/>
      <c r="DN111" s="373"/>
      <c r="DO111" s="372"/>
      <c r="DP111" s="373"/>
      <c r="DQ111" s="372"/>
      <c r="DR111" s="373"/>
      <c r="DS111" s="372"/>
      <c r="DT111" s="373"/>
      <c r="DU111" s="68"/>
      <c r="DV111" s="68"/>
      <c r="DW111" s="68"/>
      <c r="DX111" s="68"/>
      <c r="DY111" s="68"/>
      <c r="DZ111" s="68"/>
      <c r="EA111" s="68"/>
      <c r="EB111" s="68"/>
      <c r="EC111" s="68"/>
      <c r="ED111" s="68"/>
      <c r="EE111" s="68"/>
      <c r="EF111" s="68"/>
      <c r="EG111" s="68"/>
      <c r="EH111" s="68"/>
      <c r="EI111" s="68"/>
      <c r="EJ111" s="68"/>
      <c r="EK111" s="68"/>
      <c r="EL111" s="68"/>
      <c r="EM111" s="68"/>
      <c r="EN111" s="372"/>
      <c r="EO111" s="373"/>
      <c r="EP111" s="372"/>
      <c r="EQ111" s="373"/>
      <c r="ER111" s="372"/>
      <c r="ES111" s="373"/>
      <c r="ET111" s="372"/>
      <c r="EU111" s="373"/>
      <c r="EV111" s="372"/>
      <c r="EW111" s="373"/>
      <c r="EX111" s="372"/>
      <c r="EY111" s="373"/>
      <c r="EZ111" s="372"/>
      <c r="FA111" s="373"/>
      <c r="FB111" s="372"/>
      <c r="FC111" s="373"/>
      <c r="FD111" s="372"/>
      <c r="FE111" s="373"/>
      <c r="FF111" s="372"/>
      <c r="FG111" s="373"/>
      <c r="FH111" s="372"/>
      <c r="FI111" s="373"/>
      <c r="FJ111" s="372"/>
      <c r="FK111" s="373"/>
      <c r="FL111" s="372"/>
      <c r="FM111" s="373"/>
      <c r="FN111" s="372"/>
      <c r="FO111" s="373"/>
      <c r="FP111" s="372"/>
      <c r="FQ111" s="373"/>
      <c r="FR111" s="68"/>
      <c r="FS111" s="68"/>
      <c r="FT111" s="68"/>
      <c r="FU111" s="68"/>
      <c r="FV111" s="68"/>
      <c r="FW111" s="68"/>
      <c r="FX111" s="68"/>
      <c r="FY111" s="68"/>
      <c r="FZ111" s="68"/>
      <c r="GA111" s="68"/>
      <c r="GB111" s="68"/>
      <c r="GC111" s="68"/>
      <c r="GD111" s="68"/>
      <c r="GE111" s="68"/>
      <c r="GF111" s="68"/>
      <c r="GG111" s="68"/>
    </row>
    <row r="112" spans="1:189" ht="8.25" customHeight="1" collapsed="1" x14ac:dyDescent="0.3">
      <c r="A112" s="1"/>
      <c r="B112" s="18"/>
      <c r="C112" s="18"/>
      <c r="D112" s="18"/>
      <c r="E112" s="18"/>
      <c r="F112" s="18"/>
      <c r="G112" s="3"/>
      <c r="H112" s="3"/>
      <c r="I112" s="19"/>
      <c r="J112" s="20"/>
      <c r="K112" s="19"/>
      <c r="L112" s="20"/>
      <c r="M112" s="19"/>
      <c r="N112" s="20"/>
      <c r="O112" s="19"/>
      <c r="P112" s="20"/>
      <c r="Q112" s="19"/>
      <c r="R112" s="20"/>
      <c r="S112" s="19"/>
      <c r="T112" s="20"/>
      <c r="U112" s="19"/>
      <c r="V112" s="20"/>
      <c r="W112" s="19"/>
      <c r="X112" s="20"/>
      <c r="Y112" s="19"/>
      <c r="Z112" s="20"/>
      <c r="AA112" s="19"/>
      <c r="AB112" s="20"/>
      <c r="AC112" s="19"/>
      <c r="AD112" s="20"/>
      <c r="AE112" s="19"/>
      <c r="AF112" s="20"/>
      <c r="AG112" s="19"/>
      <c r="AH112" s="20"/>
      <c r="AI112" s="19"/>
      <c r="AJ112" s="20"/>
      <c r="AK112" s="19"/>
      <c r="AL112" s="20"/>
      <c r="AM112" s="19"/>
      <c r="AN112" s="20"/>
      <c r="AO112" s="19"/>
      <c r="AP112" s="20"/>
      <c r="AQ112" s="19"/>
      <c r="AR112" s="20"/>
      <c r="AS112" s="19"/>
      <c r="AT112" s="20"/>
      <c r="AU112" s="19"/>
      <c r="AV112" s="20"/>
      <c r="AW112" s="19"/>
      <c r="AX112" s="20"/>
      <c r="AY112" s="19"/>
      <c r="AZ112" s="20"/>
      <c r="BA112" s="19"/>
      <c r="BB112" s="20"/>
      <c r="BC112" s="19"/>
      <c r="BD112" s="20"/>
      <c r="BE112" s="19"/>
      <c r="BF112" s="20"/>
      <c r="BG112" s="19"/>
      <c r="BH112" s="20"/>
      <c r="BI112" s="19"/>
      <c r="BJ112" s="20"/>
      <c r="BK112" s="19"/>
      <c r="BL112" s="20"/>
      <c r="BM112" s="19"/>
      <c r="BN112" s="20"/>
      <c r="BO112" s="19"/>
      <c r="BP112" s="20"/>
      <c r="BQ112" s="19"/>
      <c r="BR112" s="20"/>
      <c r="BS112" s="19"/>
      <c r="BT112" s="20"/>
      <c r="BU112" s="19"/>
      <c r="BV112" s="20"/>
      <c r="BW112" s="19"/>
      <c r="BX112" s="20"/>
      <c r="BY112" s="19"/>
      <c r="BZ112" s="20"/>
      <c r="CA112" s="19"/>
      <c r="CB112" s="20"/>
      <c r="CC112" s="19"/>
      <c r="CD112" s="20"/>
      <c r="CE112" s="19"/>
      <c r="CF112" s="20"/>
      <c r="CG112" s="19"/>
      <c r="CH112" s="20"/>
      <c r="CI112" s="19"/>
      <c r="CJ112" s="20"/>
      <c r="CK112" s="19"/>
      <c r="CL112" s="20"/>
      <c r="CM112" s="19"/>
      <c r="CN112" s="20"/>
      <c r="CO112" s="19"/>
      <c r="CP112" s="20"/>
      <c r="CQ112" s="19"/>
      <c r="CR112" s="20"/>
      <c r="CS112" s="19"/>
      <c r="CT112" s="20"/>
      <c r="CU112" s="19"/>
      <c r="CV112" s="20"/>
      <c r="CW112" s="19"/>
      <c r="CX112" s="20"/>
      <c r="CY112" s="19"/>
      <c r="CZ112" s="20"/>
      <c r="DA112" s="19"/>
      <c r="DB112" s="20"/>
      <c r="DC112" s="19"/>
      <c r="DD112" s="20"/>
      <c r="DE112" s="19"/>
      <c r="DF112" s="20"/>
      <c r="DG112" s="19"/>
      <c r="DH112" s="20"/>
      <c r="DI112" s="19"/>
      <c r="DJ112" s="20"/>
      <c r="DK112" s="19"/>
      <c r="DL112" s="20"/>
      <c r="DM112" s="19"/>
      <c r="DN112" s="20"/>
      <c r="DO112" s="19"/>
      <c r="DP112" s="20"/>
      <c r="DQ112" s="19"/>
      <c r="DR112" s="20"/>
      <c r="DS112" s="19"/>
      <c r="DT112" s="20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19"/>
      <c r="EO112" s="20"/>
      <c r="EP112" s="19"/>
      <c r="EQ112" s="20"/>
      <c r="ER112" s="19"/>
      <c r="ES112" s="20"/>
      <c r="ET112" s="19"/>
      <c r="EU112" s="20"/>
      <c r="EV112" s="19"/>
      <c r="EW112" s="20"/>
      <c r="EX112" s="19"/>
      <c r="EY112" s="20"/>
      <c r="EZ112" s="19"/>
      <c r="FA112" s="20"/>
      <c r="FB112" s="19"/>
      <c r="FC112" s="20"/>
      <c r="FD112" s="19"/>
      <c r="FE112" s="20"/>
      <c r="FF112" s="19"/>
      <c r="FG112" s="20"/>
      <c r="FH112" s="19"/>
      <c r="FI112" s="20"/>
      <c r="FJ112" s="19"/>
      <c r="FK112" s="20"/>
      <c r="FL112" s="19"/>
      <c r="FM112" s="20"/>
      <c r="FN112" s="19"/>
      <c r="FO112" s="20"/>
      <c r="FP112" s="19"/>
      <c r="FQ112" s="20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</row>
    <row r="113" spans="1:189" ht="15" customHeight="1" x14ac:dyDescent="0.3">
      <c r="A113" s="63"/>
      <c r="B113" s="313" t="s">
        <v>95</v>
      </c>
      <c r="C113" s="313" t="s">
        <v>85</v>
      </c>
      <c r="D113" s="313" t="s">
        <v>96</v>
      </c>
      <c r="E113" s="313" t="s">
        <v>97</v>
      </c>
      <c r="F113" s="313" t="s">
        <v>27</v>
      </c>
      <c r="G113" s="71" t="s">
        <v>28</v>
      </c>
      <c r="H113" s="5"/>
      <c r="I113" s="283"/>
      <c r="J113" s="281"/>
      <c r="K113" s="283"/>
      <c r="L113" s="281"/>
      <c r="M113" s="283"/>
      <c r="N113" s="281"/>
      <c r="O113" s="283"/>
      <c r="P113" s="281"/>
      <c r="Q113" s="283"/>
      <c r="R113" s="281"/>
      <c r="S113" s="283"/>
      <c r="T113" s="281"/>
      <c r="U113" s="283"/>
      <c r="V113" s="281"/>
      <c r="W113" s="283"/>
      <c r="X113" s="281"/>
      <c r="Y113" s="283"/>
      <c r="Z113" s="281"/>
      <c r="AA113" s="283"/>
      <c r="AB113" s="281"/>
      <c r="AC113" s="283"/>
      <c r="AD113" s="281"/>
      <c r="AE113" s="283"/>
      <c r="AF113" s="281"/>
      <c r="AG113" s="283"/>
      <c r="AH113" s="281"/>
      <c r="AI113" s="283"/>
      <c r="AJ113" s="281"/>
      <c r="AK113" s="283"/>
      <c r="AL113" s="281"/>
      <c r="AM113" s="283"/>
      <c r="AN113" s="281"/>
      <c r="AO113" s="283"/>
      <c r="AP113" s="281"/>
      <c r="AQ113" s="283"/>
      <c r="AR113" s="281"/>
      <c r="AS113" s="283"/>
      <c r="AT113" s="281"/>
      <c r="AU113" s="283"/>
      <c r="AV113" s="281"/>
      <c r="AW113" s="283"/>
      <c r="AX113" s="281"/>
      <c r="AY113" s="283"/>
      <c r="AZ113" s="281"/>
      <c r="BA113" s="283"/>
      <c r="BB113" s="281"/>
      <c r="BC113" s="283"/>
      <c r="BD113" s="281"/>
      <c r="BE113" s="283"/>
      <c r="BF113" s="281"/>
      <c r="BG113" s="283">
        <v>0.35</v>
      </c>
      <c r="BH113" s="281"/>
      <c r="BI113" s="283">
        <v>0.35</v>
      </c>
      <c r="BJ113" s="281"/>
      <c r="BK113" s="283">
        <v>0.35</v>
      </c>
      <c r="BL113" s="281"/>
      <c r="BM113" s="283">
        <v>0.35</v>
      </c>
      <c r="BN113" s="281"/>
      <c r="BO113" s="283">
        <v>0.35</v>
      </c>
      <c r="BP113" s="281"/>
      <c r="BQ113" s="283">
        <v>0.35</v>
      </c>
      <c r="BR113" s="281"/>
      <c r="BS113" s="283">
        <v>0.35</v>
      </c>
      <c r="BT113" s="281"/>
      <c r="BU113" s="283">
        <v>0.35</v>
      </c>
      <c r="BV113" s="281"/>
      <c r="BW113" s="283">
        <v>0.35</v>
      </c>
      <c r="BX113" s="281"/>
      <c r="BY113" s="283">
        <v>0.35</v>
      </c>
      <c r="BZ113" s="281"/>
      <c r="CA113" s="283">
        <v>0.35</v>
      </c>
      <c r="CB113" s="281"/>
      <c r="CC113" s="283">
        <v>0.35</v>
      </c>
      <c r="CD113" s="281"/>
      <c r="CE113" s="283">
        <v>0.35</v>
      </c>
      <c r="CF113" s="281"/>
      <c r="CG113" s="283">
        <v>0.35</v>
      </c>
      <c r="CH113" s="281"/>
      <c r="CI113" s="283">
        <v>0.35</v>
      </c>
      <c r="CJ113" s="281"/>
      <c r="CK113" s="283">
        <v>0.35</v>
      </c>
      <c r="CL113" s="281"/>
      <c r="CM113" s="283">
        <v>0.35</v>
      </c>
      <c r="CN113" s="281"/>
      <c r="CO113" s="283">
        <v>0.35</v>
      </c>
      <c r="CP113" s="281"/>
      <c r="CQ113" s="283">
        <v>0.35</v>
      </c>
      <c r="CR113" s="281"/>
      <c r="CS113" s="283">
        <v>0.35</v>
      </c>
      <c r="CT113" s="281"/>
      <c r="CU113" s="283">
        <v>0.35</v>
      </c>
      <c r="CV113" s="281"/>
      <c r="CW113" s="283">
        <v>0.35</v>
      </c>
      <c r="CX113" s="281"/>
      <c r="CY113" s="283">
        <v>0.35</v>
      </c>
      <c r="CZ113" s="281"/>
      <c r="DA113" s="283">
        <v>0.35</v>
      </c>
      <c r="DB113" s="281"/>
      <c r="DC113" s="283">
        <v>0.35</v>
      </c>
      <c r="DD113" s="281"/>
      <c r="DE113" s="283">
        <v>0.35</v>
      </c>
      <c r="DF113" s="281"/>
      <c r="DG113" s="283">
        <v>0.35</v>
      </c>
      <c r="DH113" s="281"/>
      <c r="DI113" s="283">
        <v>0.35</v>
      </c>
      <c r="DJ113" s="281"/>
      <c r="DK113" s="283">
        <v>0.35</v>
      </c>
      <c r="DL113" s="281"/>
      <c r="DM113" s="283">
        <v>0.35</v>
      </c>
      <c r="DN113" s="281"/>
      <c r="DO113" s="283">
        <v>0.35</v>
      </c>
      <c r="DP113" s="281"/>
      <c r="DQ113" s="283">
        <v>0.35</v>
      </c>
      <c r="DR113" s="281"/>
      <c r="DS113" s="283">
        <v>0.35</v>
      </c>
      <c r="DT113" s="281"/>
      <c r="DU113" s="303" t="s">
        <v>29</v>
      </c>
      <c r="DV113" s="303" t="s">
        <v>29</v>
      </c>
      <c r="DW113" s="303" t="s">
        <v>29</v>
      </c>
      <c r="DX113" s="303" t="s">
        <v>29</v>
      </c>
      <c r="DY113" s="303" t="s">
        <v>29</v>
      </c>
      <c r="DZ113" s="303" t="s">
        <v>29</v>
      </c>
      <c r="EA113" s="303" t="s">
        <v>29</v>
      </c>
      <c r="EB113" s="303" t="s">
        <v>29</v>
      </c>
      <c r="EC113" s="303" t="s">
        <v>29</v>
      </c>
      <c r="ED113" s="303" t="s">
        <v>29</v>
      </c>
      <c r="EE113" s="303" t="s">
        <v>29</v>
      </c>
      <c r="EF113" s="303" t="s">
        <v>29</v>
      </c>
      <c r="EG113" s="303" t="s">
        <v>29</v>
      </c>
      <c r="EH113" s="303" t="s">
        <v>29</v>
      </c>
      <c r="EI113" s="303" t="s">
        <v>29</v>
      </c>
      <c r="EJ113" s="303" t="s">
        <v>29</v>
      </c>
      <c r="EK113" s="303" t="s">
        <v>29</v>
      </c>
      <c r="EL113" s="303" t="s">
        <v>29</v>
      </c>
      <c r="EM113" s="303" t="s">
        <v>29</v>
      </c>
      <c r="EN113" s="283">
        <v>0.35</v>
      </c>
      <c r="EO113" s="281"/>
      <c r="EP113" s="283">
        <v>0.35</v>
      </c>
      <c r="EQ113" s="281"/>
      <c r="ER113" s="283">
        <v>0.35</v>
      </c>
      <c r="ES113" s="281"/>
      <c r="ET113" s="283">
        <v>0.35</v>
      </c>
      <c r="EU113" s="281"/>
      <c r="EV113" s="283">
        <v>0.35</v>
      </c>
      <c r="EW113" s="281"/>
      <c r="EX113" s="283">
        <v>0.35</v>
      </c>
      <c r="EY113" s="281"/>
      <c r="EZ113" s="283">
        <v>0.35</v>
      </c>
      <c r="FA113" s="281"/>
      <c r="FB113" s="283">
        <v>0.35</v>
      </c>
      <c r="FC113" s="281"/>
      <c r="FD113" s="283">
        <v>0.35</v>
      </c>
      <c r="FE113" s="281"/>
      <c r="FF113" s="283">
        <v>0.35</v>
      </c>
      <c r="FG113" s="281"/>
      <c r="FH113" s="283">
        <v>0.35</v>
      </c>
      <c r="FI113" s="281"/>
      <c r="FJ113" s="283">
        <v>0.35</v>
      </c>
      <c r="FK113" s="281"/>
      <c r="FL113" s="283">
        <v>0.35</v>
      </c>
      <c r="FM113" s="281"/>
      <c r="FN113" s="283">
        <v>0.35</v>
      </c>
      <c r="FO113" s="281"/>
      <c r="FP113" s="283">
        <v>0.35</v>
      </c>
      <c r="FQ113" s="281"/>
      <c r="FR113" s="303" t="s">
        <v>29</v>
      </c>
      <c r="FS113" s="303" t="s">
        <v>29</v>
      </c>
      <c r="FT113" s="303" t="s">
        <v>29</v>
      </c>
      <c r="FU113" s="303" t="s">
        <v>29</v>
      </c>
      <c r="FV113" s="303" t="s">
        <v>29</v>
      </c>
      <c r="FW113" s="303" t="s">
        <v>29</v>
      </c>
      <c r="FX113" s="303" t="s">
        <v>29</v>
      </c>
      <c r="FY113" s="303" t="s">
        <v>29</v>
      </c>
      <c r="FZ113" s="303" t="s">
        <v>29</v>
      </c>
      <c r="GA113" s="303" t="s">
        <v>29</v>
      </c>
      <c r="GB113" s="303" t="s">
        <v>29</v>
      </c>
      <c r="GC113" s="303" t="s">
        <v>29</v>
      </c>
      <c r="GD113" s="303" t="s">
        <v>29</v>
      </c>
      <c r="GE113" s="303" t="s">
        <v>29</v>
      </c>
      <c r="GF113" s="303" t="s">
        <v>443</v>
      </c>
      <c r="GG113" s="303" t="s">
        <v>443</v>
      </c>
    </row>
    <row r="114" spans="1:189" ht="4.5" customHeight="1" x14ac:dyDescent="0.3">
      <c r="A114" s="1"/>
      <c r="B114" s="301"/>
      <c r="C114" s="301"/>
      <c r="D114" s="301"/>
      <c r="E114" s="301"/>
      <c r="F114" s="301"/>
      <c r="G114" s="5"/>
      <c r="H114" s="5"/>
      <c r="I114" s="284"/>
      <c r="J114" s="281"/>
      <c r="K114" s="284"/>
      <c r="L114" s="281"/>
      <c r="M114" s="284"/>
      <c r="N114" s="281"/>
      <c r="O114" s="284"/>
      <c r="P114" s="281"/>
      <c r="Q114" s="284"/>
      <c r="R114" s="281"/>
      <c r="S114" s="284"/>
      <c r="T114" s="281"/>
      <c r="U114" s="284"/>
      <c r="V114" s="281"/>
      <c r="W114" s="284"/>
      <c r="X114" s="281"/>
      <c r="Y114" s="284"/>
      <c r="Z114" s="281"/>
      <c r="AA114" s="284"/>
      <c r="AB114" s="281"/>
      <c r="AC114" s="284"/>
      <c r="AD114" s="281"/>
      <c r="AE114" s="284"/>
      <c r="AF114" s="281"/>
      <c r="AG114" s="284"/>
      <c r="AH114" s="281"/>
      <c r="AI114" s="284"/>
      <c r="AJ114" s="281"/>
      <c r="AK114" s="284"/>
      <c r="AL114" s="281"/>
      <c r="AM114" s="284"/>
      <c r="AN114" s="281"/>
      <c r="AO114" s="284"/>
      <c r="AP114" s="281"/>
      <c r="AQ114" s="284"/>
      <c r="AR114" s="281"/>
      <c r="AS114" s="284"/>
      <c r="AT114" s="281"/>
      <c r="AU114" s="284"/>
      <c r="AV114" s="281"/>
      <c r="AW114" s="284"/>
      <c r="AX114" s="281"/>
      <c r="AY114" s="284"/>
      <c r="AZ114" s="281"/>
      <c r="BA114" s="284"/>
      <c r="BB114" s="281"/>
      <c r="BC114" s="284"/>
      <c r="BD114" s="281"/>
      <c r="BE114" s="284"/>
      <c r="BF114" s="281"/>
      <c r="BG114" s="371"/>
      <c r="BH114" s="281"/>
      <c r="BI114" s="328"/>
      <c r="BJ114" s="281"/>
      <c r="BK114" s="371"/>
      <c r="BL114" s="281"/>
      <c r="BM114" s="328"/>
      <c r="BN114" s="281"/>
      <c r="BO114" s="328"/>
      <c r="BP114" s="281"/>
      <c r="BQ114" s="328"/>
      <c r="BR114" s="281"/>
      <c r="BS114" s="328"/>
      <c r="BT114" s="281"/>
      <c r="BU114" s="328"/>
      <c r="BV114" s="281"/>
      <c r="BW114" s="328"/>
      <c r="BX114" s="281"/>
      <c r="BY114" s="328"/>
      <c r="BZ114" s="281"/>
      <c r="CA114" s="328"/>
      <c r="CB114" s="281"/>
      <c r="CC114" s="328"/>
      <c r="CD114" s="281"/>
      <c r="CE114" s="371"/>
      <c r="CF114" s="281"/>
      <c r="CG114" s="371"/>
      <c r="CH114" s="281"/>
      <c r="CI114" s="371"/>
      <c r="CJ114" s="281"/>
      <c r="CK114" s="371"/>
      <c r="CL114" s="281"/>
      <c r="CM114" s="371"/>
      <c r="CN114" s="281"/>
      <c r="CO114" s="371"/>
      <c r="CP114" s="281"/>
      <c r="CQ114" s="371"/>
      <c r="CR114" s="281"/>
      <c r="CS114" s="371"/>
      <c r="CT114" s="281"/>
      <c r="CU114" s="371"/>
      <c r="CV114" s="281"/>
      <c r="CW114" s="371"/>
      <c r="CX114" s="281"/>
      <c r="CY114" s="371"/>
      <c r="CZ114" s="281"/>
      <c r="DA114" s="371"/>
      <c r="DB114" s="281"/>
      <c r="DC114" s="328"/>
      <c r="DD114" s="281"/>
      <c r="DE114" s="328"/>
      <c r="DF114" s="281"/>
      <c r="DG114" s="371"/>
      <c r="DH114" s="281"/>
      <c r="DI114" s="371"/>
      <c r="DJ114" s="281"/>
      <c r="DK114" s="328"/>
      <c r="DL114" s="281"/>
      <c r="DM114" s="371"/>
      <c r="DN114" s="281"/>
      <c r="DO114" s="371"/>
      <c r="DP114" s="281"/>
      <c r="DQ114" s="371"/>
      <c r="DR114" s="281"/>
      <c r="DS114" s="371"/>
      <c r="DT114" s="281"/>
      <c r="DU114" s="301"/>
      <c r="DV114" s="301"/>
      <c r="DW114" s="301"/>
      <c r="DX114" s="301"/>
      <c r="DY114" s="301"/>
      <c r="DZ114" s="301"/>
      <c r="EA114" s="301"/>
      <c r="EB114" s="301"/>
      <c r="EC114" s="301"/>
      <c r="ED114" s="301"/>
      <c r="EE114" s="301"/>
      <c r="EF114" s="301"/>
      <c r="EG114" s="301"/>
      <c r="EH114" s="301"/>
      <c r="EI114" s="301"/>
      <c r="EJ114" s="301"/>
      <c r="EK114" s="301"/>
      <c r="EL114" s="301"/>
      <c r="EM114" s="301"/>
      <c r="EN114" s="328"/>
      <c r="EO114" s="281"/>
      <c r="EP114" s="328"/>
      <c r="EQ114" s="281"/>
      <c r="ER114" s="371"/>
      <c r="ES114" s="281"/>
      <c r="ET114" s="371"/>
      <c r="EU114" s="281"/>
      <c r="EV114" s="371"/>
      <c r="EW114" s="281"/>
      <c r="EX114" s="371"/>
      <c r="EY114" s="281"/>
      <c r="EZ114" s="371"/>
      <c r="FA114" s="281"/>
      <c r="FB114" s="371"/>
      <c r="FC114" s="281"/>
      <c r="FD114" s="371"/>
      <c r="FE114" s="281"/>
      <c r="FF114" s="371"/>
      <c r="FG114" s="281"/>
      <c r="FH114" s="371"/>
      <c r="FI114" s="281"/>
      <c r="FJ114" s="371"/>
      <c r="FK114" s="281"/>
      <c r="FL114" s="371"/>
      <c r="FM114" s="281"/>
      <c r="FN114" s="371"/>
      <c r="FO114" s="281"/>
      <c r="FP114" s="371"/>
      <c r="FQ114" s="281"/>
      <c r="FR114" s="301"/>
      <c r="FS114" s="301"/>
      <c r="FT114" s="301"/>
      <c r="FU114" s="301"/>
      <c r="FV114" s="301"/>
      <c r="FW114" s="301"/>
      <c r="FX114" s="301"/>
      <c r="FY114" s="301"/>
      <c r="FZ114" s="301"/>
      <c r="GA114" s="301"/>
      <c r="GB114" s="301"/>
      <c r="GC114" s="301"/>
      <c r="GD114" s="301"/>
      <c r="GE114" s="301"/>
      <c r="GF114" s="304"/>
      <c r="GG114" s="304"/>
    </row>
    <row r="115" spans="1:189" ht="15" customHeight="1" x14ac:dyDescent="0.3">
      <c r="A115" s="1"/>
      <c r="B115" s="301"/>
      <c r="C115" s="301"/>
      <c r="D115" s="301"/>
      <c r="E115" s="302"/>
      <c r="F115" s="301"/>
      <c r="G115" s="5" t="s">
        <v>98</v>
      </c>
      <c r="H115" s="5"/>
      <c r="I115" s="20">
        <f>SUM(I116:I120)</f>
        <v>107805</v>
      </c>
      <c r="J115" s="72">
        <f>SUM(J116:J119)</f>
        <v>0.88704605537776537</v>
      </c>
      <c r="K115" s="20">
        <f>SUM(K116:K120)</f>
        <v>15244</v>
      </c>
      <c r="L115" s="72">
        <f>SUM(L116:L119)</f>
        <v>0.99730971128608925</v>
      </c>
      <c r="M115" s="20">
        <f>SUM(M116:M120)</f>
        <v>11378</v>
      </c>
      <c r="N115" s="72">
        <f>SUM(N116:N119)</f>
        <v>0.9981551436352456</v>
      </c>
      <c r="O115" s="20">
        <f>SUM(O116:O120)</f>
        <v>11485</v>
      </c>
      <c r="P115" s="72">
        <f>SUM(P116:P119)</f>
        <v>0.99607808959386446</v>
      </c>
      <c r="Q115" s="20">
        <f>SUM(Q116:Q120)</f>
        <v>11212</v>
      </c>
      <c r="R115" s="72">
        <f>SUM(R116:R119)</f>
        <v>0.99589505621988228</v>
      </c>
      <c r="S115" s="20">
        <f>SUM(S116:S120)</f>
        <v>9081</v>
      </c>
      <c r="T115" s="72">
        <f>SUM(T116:T119)</f>
        <v>0.99614537444933915</v>
      </c>
      <c r="U115" s="20">
        <f>SUM(U116:U120)</f>
        <v>7241</v>
      </c>
      <c r="V115" s="72">
        <f>SUM(V116:V119)</f>
        <v>0.99599226091763404</v>
      </c>
      <c r="W115" s="20">
        <f>SUM(W116:W120)</f>
        <v>8923</v>
      </c>
      <c r="X115" s="72">
        <f>SUM(X116:X119)</f>
        <v>0.99485131505316171</v>
      </c>
      <c r="Y115" s="20">
        <f>SUM(Y116:Y120)</f>
        <v>9279</v>
      </c>
      <c r="Z115" s="72">
        <f>SUM(Z116:Z119)</f>
        <v>0.83274059704709558</v>
      </c>
      <c r="AA115" s="20">
        <f>SUM(AA116:AA120)</f>
        <v>9311</v>
      </c>
      <c r="AB115" s="72">
        <f>SUM(AB116:AB119)</f>
        <v>0.87949736870368378</v>
      </c>
      <c r="AC115" s="20">
        <f>SUM(AC116:AC120)</f>
        <v>10527</v>
      </c>
      <c r="AD115" s="72">
        <f>SUM(AD116:AD119)</f>
        <v>0.88971216870903391</v>
      </c>
      <c r="AE115" s="20">
        <f>SUM(AE116:AE120)</f>
        <v>7835</v>
      </c>
      <c r="AF115" s="72">
        <f>SUM(AF116:AF119)</f>
        <v>0.88895979578813022</v>
      </c>
      <c r="AG115" s="20">
        <f>SUM(AG116:AG120)</f>
        <v>7501</v>
      </c>
      <c r="AH115" s="72">
        <f>SUM(AH116:AH119)</f>
        <v>0.90174643380882546</v>
      </c>
      <c r="AI115" s="20">
        <f>SUM(AI116:AI120)</f>
        <v>8360</v>
      </c>
      <c r="AJ115" s="72">
        <f>SUM(AJ116:AJ119)</f>
        <v>0.91244019138755983</v>
      </c>
      <c r="AK115" s="20">
        <f>SUM(AK116:AK120)</f>
        <v>6636</v>
      </c>
      <c r="AL115" s="72">
        <f>SUM(AL116:AL119)</f>
        <v>0.87823990355635928</v>
      </c>
      <c r="AM115" s="20">
        <f>SUM(AM116:AM120)</f>
        <v>7243</v>
      </c>
      <c r="AN115" s="72">
        <f>SUM(AN116:AN119)</f>
        <v>0.91398591743752589</v>
      </c>
      <c r="AO115" s="20">
        <f>SUM(AO116:AO120)</f>
        <v>9136</v>
      </c>
      <c r="AP115" s="73">
        <f>SUM(AP116:AP119)</f>
        <v>0.82005253940455347</v>
      </c>
      <c r="AQ115" s="20">
        <f>SUM(AQ116:AQ120)</f>
        <v>11279</v>
      </c>
      <c r="AR115" s="73">
        <f>SUM(AR116:AR119)</f>
        <v>0.85929603688270229</v>
      </c>
      <c r="AS115" s="20">
        <f>SUM(AS116:AS120)</f>
        <v>9653</v>
      </c>
      <c r="AT115" s="73">
        <f>SUM(AT116:AT119)</f>
        <v>0.81560136745053347</v>
      </c>
      <c r="AU115" s="20">
        <f>SUM(AU116:AU120)</f>
        <v>9888</v>
      </c>
      <c r="AV115" s="73">
        <f>SUM(AV116:AV119)</f>
        <v>0.85972896440129443</v>
      </c>
      <c r="AW115" s="20">
        <f>SUM(AW116:AW120)</f>
        <v>6730</v>
      </c>
      <c r="AX115" s="73">
        <f>SUM(AX116:AX119)</f>
        <v>0.90846953937592867</v>
      </c>
      <c r="AY115" s="20">
        <f>SUM(AY116:AY120)</f>
        <v>5192</v>
      </c>
      <c r="AZ115" s="73">
        <f>SUM(AZ116:AZ119)</f>
        <v>0.88963790446841295</v>
      </c>
      <c r="BA115" s="20">
        <f>SUM(BA116:BA120)</f>
        <v>5219</v>
      </c>
      <c r="BB115" s="73">
        <f>SUM(BB116:BB119)</f>
        <v>0.88273615635179148</v>
      </c>
      <c r="BC115" s="20">
        <f>SUM(BC116:BC120)</f>
        <v>5212</v>
      </c>
      <c r="BD115" s="73">
        <f>SUM(BD116:BD119)</f>
        <v>0.82885648503453557</v>
      </c>
      <c r="BE115" s="20">
        <f>SUM(BE116:BE120)</f>
        <v>6738</v>
      </c>
      <c r="BF115" s="73">
        <f>SUM(BF116:BF119)</f>
        <v>0.86360937963787476</v>
      </c>
      <c r="BG115" s="20">
        <f>SUM(BG116:BG120)</f>
        <v>6447</v>
      </c>
      <c r="BH115" s="73">
        <f>SUM(BH116:BH119)</f>
        <v>0.88894059252365443</v>
      </c>
      <c r="BI115" s="20">
        <f>SUM(BI116:BI120)</f>
        <v>5712</v>
      </c>
      <c r="BJ115" s="73">
        <f>SUM(BJ116:BJ119)</f>
        <v>0.91771708683473385</v>
      </c>
      <c r="BK115" s="20">
        <f>SUM(BK116:BK120)</f>
        <v>7548</v>
      </c>
      <c r="BL115" s="73">
        <f>SUM(BL116:BL119)</f>
        <v>0.89586645468998416</v>
      </c>
      <c r="BM115" s="20">
        <f>SUM(BM116:BM120)</f>
        <v>7300</v>
      </c>
      <c r="BN115" s="73">
        <f>SUM(BN116:BN119)</f>
        <v>0.90287671232876709</v>
      </c>
      <c r="BO115" s="20">
        <f>SUM(BO116:BO120)</f>
        <v>6992</v>
      </c>
      <c r="BP115" s="73">
        <f>SUM(BP116:BP119)</f>
        <v>0.88358123569794045</v>
      </c>
      <c r="BQ115" s="20">
        <f t="shared" ref="BQ115:CZ115" si="233">SUM(BQ116:BQ120)</f>
        <v>7053</v>
      </c>
      <c r="BR115" s="73">
        <f t="shared" si="233"/>
        <v>1</v>
      </c>
      <c r="BS115" s="20">
        <f t="shared" si="233"/>
        <v>6585</v>
      </c>
      <c r="BT115" s="73">
        <f t="shared" si="233"/>
        <v>1</v>
      </c>
      <c r="BU115" s="20">
        <f t="shared" si="233"/>
        <v>6758</v>
      </c>
      <c r="BV115" s="73">
        <f t="shared" si="233"/>
        <v>1</v>
      </c>
      <c r="BW115" s="20">
        <f t="shared" si="233"/>
        <v>7214</v>
      </c>
      <c r="BX115" s="73">
        <f t="shared" si="233"/>
        <v>0.99999999999999989</v>
      </c>
      <c r="BY115" s="20">
        <f t="shared" si="233"/>
        <v>8080</v>
      </c>
      <c r="BZ115" s="73">
        <f t="shared" si="233"/>
        <v>1</v>
      </c>
      <c r="CA115" s="20">
        <f t="shared" si="233"/>
        <v>7544</v>
      </c>
      <c r="CB115" s="73">
        <f t="shared" si="233"/>
        <v>1</v>
      </c>
      <c r="CC115" s="20">
        <f t="shared" si="233"/>
        <v>8195</v>
      </c>
      <c r="CD115" s="73">
        <f t="shared" si="233"/>
        <v>1</v>
      </c>
      <c r="CE115" s="20">
        <f t="shared" si="233"/>
        <v>7011</v>
      </c>
      <c r="CF115" s="73">
        <f t="shared" si="233"/>
        <v>0.99999999999999989</v>
      </c>
      <c r="CG115" s="20">
        <f t="shared" si="233"/>
        <v>7131</v>
      </c>
      <c r="CH115" s="73">
        <f t="shared" si="233"/>
        <v>1</v>
      </c>
      <c r="CI115" s="20">
        <f t="shared" si="233"/>
        <v>6051</v>
      </c>
      <c r="CJ115" s="73">
        <f t="shared" si="233"/>
        <v>1</v>
      </c>
      <c r="CK115" s="20">
        <f t="shared" si="233"/>
        <v>7087</v>
      </c>
      <c r="CL115" s="73">
        <f t="shared" si="233"/>
        <v>1</v>
      </c>
      <c r="CM115" s="20">
        <f t="shared" si="233"/>
        <v>8006</v>
      </c>
      <c r="CN115" s="73">
        <f t="shared" si="233"/>
        <v>0.99999999999999989</v>
      </c>
      <c r="CO115" s="20">
        <f t="shared" si="233"/>
        <v>7289</v>
      </c>
      <c r="CP115" s="73">
        <f t="shared" si="233"/>
        <v>0.99999999999999989</v>
      </c>
      <c r="CQ115" s="20">
        <f t="shared" si="233"/>
        <v>8615</v>
      </c>
      <c r="CR115" s="73">
        <f t="shared" si="233"/>
        <v>1</v>
      </c>
      <c r="CS115" s="20">
        <f t="shared" si="233"/>
        <v>10274</v>
      </c>
      <c r="CT115" s="73">
        <f t="shared" si="233"/>
        <v>1</v>
      </c>
      <c r="CU115" s="20">
        <f t="shared" si="233"/>
        <v>9306</v>
      </c>
      <c r="CV115" s="73">
        <f t="shared" si="233"/>
        <v>1</v>
      </c>
      <c r="CW115" s="20">
        <f t="shared" si="233"/>
        <v>10325</v>
      </c>
      <c r="CX115" s="73">
        <f t="shared" si="233"/>
        <v>1</v>
      </c>
      <c r="CY115" s="20">
        <f t="shared" si="233"/>
        <v>11361</v>
      </c>
      <c r="CZ115" s="73">
        <f t="shared" si="233"/>
        <v>1</v>
      </c>
      <c r="DA115" s="20">
        <f t="shared" ref="DA115:DB115" si="234">SUM(DA116:DA120)</f>
        <v>11936</v>
      </c>
      <c r="DB115" s="73">
        <f t="shared" si="234"/>
        <v>1</v>
      </c>
      <c r="DC115" s="20">
        <f t="shared" ref="DC115:DH115" si="235">SUM(DC116:DC120)</f>
        <v>6942</v>
      </c>
      <c r="DD115" s="73">
        <f t="shared" si="235"/>
        <v>1</v>
      </c>
      <c r="DE115" s="20">
        <f t="shared" si="235"/>
        <v>6450</v>
      </c>
      <c r="DF115" s="73">
        <f t="shared" si="235"/>
        <v>1</v>
      </c>
      <c r="DG115" s="20">
        <f t="shared" si="235"/>
        <v>7747</v>
      </c>
      <c r="DH115" s="73">
        <f t="shared" si="235"/>
        <v>1</v>
      </c>
      <c r="DI115" s="20">
        <f t="shared" ref="DI115:DJ115" si="236">SUM(DI116:DI120)</f>
        <v>5625</v>
      </c>
      <c r="DJ115" s="73">
        <f t="shared" si="236"/>
        <v>1</v>
      </c>
      <c r="DK115" s="20">
        <f t="shared" ref="DK115:DL115" si="237">SUM(DK116:DK120)</f>
        <v>7129</v>
      </c>
      <c r="DL115" s="73">
        <f t="shared" si="237"/>
        <v>1</v>
      </c>
      <c r="DM115" s="20">
        <f t="shared" ref="DM115:DN115" si="238">SUM(DM116:DM120)</f>
        <v>6544</v>
      </c>
      <c r="DN115" s="73">
        <f t="shared" si="238"/>
        <v>1</v>
      </c>
      <c r="DO115" s="20">
        <f t="shared" ref="DO115:DP115" si="239">SUM(DO116:DO120)</f>
        <v>5556</v>
      </c>
      <c r="DP115" s="73">
        <f t="shared" si="239"/>
        <v>0.99999999999999989</v>
      </c>
      <c r="DQ115" s="20">
        <f t="shared" ref="DQ115:DR115" si="240">SUM(DQ116:DQ120)</f>
        <v>6510</v>
      </c>
      <c r="DR115" s="73">
        <f t="shared" si="240"/>
        <v>0.99999999999999989</v>
      </c>
      <c r="DS115" s="20">
        <f>SUM(DS116:DS120)</f>
        <v>6095</v>
      </c>
      <c r="DT115" s="73">
        <f t="shared" ref="DT115" si="241">SUM(DT116:DT120)</f>
        <v>1</v>
      </c>
      <c r="DU115" s="301"/>
      <c r="DV115" s="301"/>
      <c r="DW115" s="301"/>
      <c r="DX115" s="301"/>
      <c r="DY115" s="301"/>
      <c r="DZ115" s="301"/>
      <c r="EA115" s="301"/>
      <c r="EB115" s="301"/>
      <c r="EC115" s="301"/>
      <c r="ED115" s="301"/>
      <c r="EE115" s="301"/>
      <c r="EF115" s="301"/>
      <c r="EG115" s="301"/>
      <c r="EH115" s="301"/>
      <c r="EI115" s="301"/>
      <c r="EJ115" s="301"/>
      <c r="EK115" s="301"/>
      <c r="EL115" s="301"/>
      <c r="EM115" s="301"/>
      <c r="EN115" s="20">
        <f>SUM(EN116:EN120)</f>
        <v>7012</v>
      </c>
      <c r="EO115" s="73">
        <f t="shared" ref="EO115:EQ115" si="242">SUM(EO116:EO120)</f>
        <v>1</v>
      </c>
      <c r="EP115" s="20">
        <f>SUM(EP116:EP120)</f>
        <v>6636</v>
      </c>
      <c r="EQ115" s="73">
        <f t="shared" si="242"/>
        <v>1</v>
      </c>
      <c r="ER115" s="20">
        <f>SUM(ER116:ER120)</f>
        <v>6543</v>
      </c>
      <c r="ES115" s="73">
        <f t="shared" ref="ES115:EU115" si="243">SUM(ES116:ES120)</f>
        <v>1</v>
      </c>
      <c r="ET115" s="20">
        <f>SUM(ET116:ET120)</f>
        <v>7903</v>
      </c>
      <c r="EU115" s="73">
        <f t="shared" si="243"/>
        <v>1</v>
      </c>
      <c r="EV115" s="20">
        <f>SUM(EV116:EV120)</f>
        <v>7903</v>
      </c>
      <c r="EW115" s="73">
        <f t="shared" ref="EW115:EY115" si="244">SUM(EW116:EW120)</f>
        <v>1</v>
      </c>
      <c r="EX115" s="20">
        <f>SUM(EX116:EX120)</f>
        <v>7890</v>
      </c>
      <c r="EY115" s="73">
        <f t="shared" si="244"/>
        <v>1</v>
      </c>
      <c r="EZ115" s="20">
        <f>SUM(EZ116:EZ120)</f>
        <v>8885</v>
      </c>
      <c r="FA115" s="73">
        <f t="shared" ref="FA115:FC115" si="245">SUM(FA116:FA120)</f>
        <v>1</v>
      </c>
      <c r="FB115" s="20">
        <f>SUM(FB116:FB120)</f>
        <v>9170</v>
      </c>
      <c r="FC115" s="73">
        <f t="shared" si="245"/>
        <v>1</v>
      </c>
      <c r="FD115" s="20">
        <f>SUM(FD116:FD120)</f>
        <v>6872</v>
      </c>
      <c r="FE115" s="73">
        <f t="shared" ref="FE115:FG115" si="246">SUM(FE116:FE120)</f>
        <v>1</v>
      </c>
      <c r="FF115" s="20">
        <f>SUM(FF116:FF120)</f>
        <v>8401</v>
      </c>
      <c r="FG115" s="73">
        <f t="shared" si="246"/>
        <v>1</v>
      </c>
      <c r="FH115" s="20">
        <f>SUM(FH116:FH120)</f>
        <v>8011</v>
      </c>
      <c r="FI115" s="73">
        <f t="shared" ref="FI115:FM115" si="247">SUM(FI116:FI120)</f>
        <v>1</v>
      </c>
      <c r="FJ115" s="20">
        <f>SUM(FJ116:FJ120)</f>
        <v>7546</v>
      </c>
      <c r="FK115" s="73">
        <f t="shared" ref="FK115" si="248">SUM(FK116:FK120)</f>
        <v>0.99999999999999989</v>
      </c>
      <c r="FL115" s="20">
        <f>SUM(FL116:FL120)</f>
        <v>6970</v>
      </c>
      <c r="FM115" s="73">
        <f t="shared" si="247"/>
        <v>1</v>
      </c>
      <c r="FN115" s="20">
        <f>SUM(FN116:FN120)</f>
        <v>6489</v>
      </c>
      <c r="FO115" s="73">
        <f t="shared" ref="FO115:FQ115" si="249">SUM(FO116:FO120)</f>
        <v>0.99999999999999989</v>
      </c>
      <c r="FP115" s="20">
        <f>SUM(FP116:FP120)</f>
        <v>6427</v>
      </c>
      <c r="FQ115" s="73">
        <f t="shared" si="249"/>
        <v>1</v>
      </c>
      <c r="FR115" s="301"/>
      <c r="FS115" s="301"/>
      <c r="FT115" s="301"/>
      <c r="FU115" s="301"/>
      <c r="FV115" s="301"/>
      <c r="FW115" s="301"/>
      <c r="FX115" s="301"/>
      <c r="FY115" s="301"/>
      <c r="FZ115" s="301"/>
      <c r="GA115" s="301"/>
      <c r="GB115" s="301"/>
      <c r="GC115" s="301"/>
      <c r="GD115" s="301"/>
      <c r="GE115" s="301"/>
      <c r="GF115" s="304"/>
      <c r="GG115" s="304"/>
    </row>
    <row r="116" spans="1:189" ht="15" customHeight="1" outlineLevel="1" x14ac:dyDescent="0.3">
      <c r="A116" s="1"/>
      <c r="B116" s="301"/>
      <c r="C116" s="301"/>
      <c r="D116" s="301"/>
      <c r="E116" s="313" t="s">
        <v>99</v>
      </c>
      <c r="F116" s="301"/>
      <c r="G116" s="74" t="s">
        <v>100</v>
      </c>
      <c r="H116" s="74"/>
      <c r="I116" s="75">
        <f t="shared" ref="I116:I120" si="250">AG116+AE116+AC116+AA116+Y116+W116+U116+S116+O116+M116+K116</f>
        <v>29147</v>
      </c>
      <c r="J116" s="76">
        <f t="shared" ref="J116:J120" si="251">I116/$I$115</f>
        <v>0.27036779370159081</v>
      </c>
      <c r="K116" s="75">
        <v>3702</v>
      </c>
      <c r="L116" s="76">
        <v>0.41876640419947508</v>
      </c>
      <c r="M116" s="75">
        <v>2711</v>
      </c>
      <c r="N116" s="76">
        <v>0.511025213036985</v>
      </c>
      <c r="O116" s="75">
        <v>1871</v>
      </c>
      <c r="P116" s="76">
        <v>0.40979606065888097</v>
      </c>
      <c r="Q116" s="75">
        <v>2678</v>
      </c>
      <c r="R116" s="76">
        <v>0.51552739603783693</v>
      </c>
      <c r="S116" s="75">
        <v>3271</v>
      </c>
      <c r="T116" s="76">
        <v>0.63733480176211454</v>
      </c>
      <c r="U116" s="75">
        <v>2108</v>
      </c>
      <c r="V116" s="76">
        <v>0.60060807075732447</v>
      </c>
      <c r="W116" s="75">
        <v>2194</v>
      </c>
      <c r="X116" s="76">
        <v>0.49390000000000001</v>
      </c>
      <c r="Y116" s="75">
        <v>2303</v>
      </c>
      <c r="Z116" s="76">
        <f t="shared" ref="Z116:Z120" si="252">Y116/$Y$115</f>
        <v>0.24819484858282143</v>
      </c>
      <c r="AA116" s="75">
        <v>2453</v>
      </c>
      <c r="AB116" s="76">
        <f t="shared" ref="AB116:AB120" si="253">AA116/$AA$115</f>
        <v>0.26345183116743637</v>
      </c>
      <c r="AC116" s="75">
        <v>2679</v>
      </c>
      <c r="AD116" s="76">
        <f t="shared" ref="AD116:AD120" si="254">AC116/$AC$115</f>
        <v>0.25448845825021371</v>
      </c>
      <c r="AE116" s="75">
        <v>2853</v>
      </c>
      <c r="AF116" s="76">
        <f t="shared" ref="AF116:AF120" si="255">AE116/$AE$115</f>
        <v>0.36413529036375242</v>
      </c>
      <c r="AG116" s="75">
        <v>3002</v>
      </c>
      <c r="AH116" s="76">
        <f t="shared" ref="AH116:AH120" si="256">AG116/$AG$115</f>
        <v>0.40021330489268098</v>
      </c>
      <c r="AI116" s="75">
        <v>3887</v>
      </c>
      <c r="AJ116" s="76">
        <f t="shared" ref="AJ116:AJ120" si="257">AI116/$AI$115</f>
        <v>0.46495215311004784</v>
      </c>
      <c r="AK116" s="75">
        <v>2310</v>
      </c>
      <c r="AL116" s="76">
        <f t="shared" ref="AL116:AL120" si="258">AK116/$AK$115</f>
        <v>0.34810126582278483</v>
      </c>
      <c r="AM116" s="75">
        <v>2859</v>
      </c>
      <c r="AN116" s="76">
        <f t="shared" ref="AN116:AN120" si="259">AM116/$AM$115</f>
        <v>0.39472594228910673</v>
      </c>
      <c r="AO116" s="75">
        <v>761</v>
      </c>
      <c r="AP116" s="76">
        <f t="shared" ref="AP116:AP120" si="260">AO116/$AO$115</f>
        <v>8.3296847635726798E-2</v>
      </c>
      <c r="AQ116" s="75">
        <v>1067</v>
      </c>
      <c r="AR116" s="76">
        <f t="shared" ref="AR116:AR120" si="261">AQ116/$AQ$115</f>
        <v>9.4600585158258713E-2</v>
      </c>
      <c r="AS116" s="75">
        <v>732</v>
      </c>
      <c r="AT116" s="76">
        <f t="shared" ref="AT116:AT120" si="262">AS116/$AS$115</f>
        <v>7.5831347767533405E-2</v>
      </c>
      <c r="AU116" s="75">
        <v>1368</v>
      </c>
      <c r="AV116" s="76">
        <f t="shared" ref="AV116:AV120" si="263">AU116/$AU$115</f>
        <v>0.13834951456310679</v>
      </c>
      <c r="AW116" s="75">
        <v>1463</v>
      </c>
      <c r="AX116" s="76">
        <f t="shared" ref="AX116:AX120" si="264">AW116/$AW$115</f>
        <v>0.2173848439821694</v>
      </c>
      <c r="AY116" s="75">
        <v>1508</v>
      </c>
      <c r="AZ116" s="76">
        <f t="shared" ref="AZ116:AZ120" si="265">AY116/$AY$115</f>
        <v>0.29044684129429893</v>
      </c>
      <c r="BA116" s="75">
        <v>972</v>
      </c>
      <c r="BB116" s="76">
        <f t="shared" ref="BB116:BB120" si="266">BA116/$BA$115</f>
        <v>0.18624257520597814</v>
      </c>
      <c r="BC116" s="75">
        <v>898</v>
      </c>
      <c r="BD116" s="76">
        <f t="shared" ref="BD116:BD120" si="267">BC116/$BC$115</f>
        <v>0.17229470452801227</v>
      </c>
      <c r="BE116" s="75">
        <v>1301</v>
      </c>
      <c r="BF116" s="76">
        <f t="shared" ref="BF116:BF120" si="268">BE116/$BE$115</f>
        <v>0.19308400118729593</v>
      </c>
      <c r="BG116" s="75">
        <v>2118</v>
      </c>
      <c r="BH116" s="76">
        <f t="shared" ref="BH116:BH120" si="269">BG116/$BG$115</f>
        <v>0.32852489530013962</v>
      </c>
      <c r="BI116" s="75">
        <v>2558</v>
      </c>
      <c r="BJ116" s="76">
        <f t="shared" ref="BJ116:BJ120" si="270">BI116/$BI$115</f>
        <v>0.44782913165266108</v>
      </c>
      <c r="BK116" s="75">
        <v>2206</v>
      </c>
      <c r="BL116" s="76">
        <f t="shared" ref="BL116:BL120" si="271">BK116/$BK$115</f>
        <v>0.2922628510863805</v>
      </c>
      <c r="BM116" s="75">
        <v>2964</v>
      </c>
      <c r="BN116" s="76">
        <f t="shared" ref="BN116:BN120" si="272">BM116/$BM$115</f>
        <v>0.40602739726027398</v>
      </c>
      <c r="BO116" s="75">
        <v>2803</v>
      </c>
      <c r="BP116" s="76">
        <f t="shared" ref="BP116:BP120" si="273">BO116/$BO$115</f>
        <v>0.40088672768878719</v>
      </c>
      <c r="BQ116" s="77">
        <v>3434</v>
      </c>
      <c r="BR116" s="78">
        <f t="shared" ref="BR116:BR120" si="274">BQ116/$BQ$115</f>
        <v>0.48688501346944563</v>
      </c>
      <c r="BS116" s="77">
        <v>2998</v>
      </c>
      <c r="BT116" s="78">
        <f t="shared" ref="BT116:BT120" si="275">BS116/$BS$115</f>
        <v>0.45527714502657557</v>
      </c>
      <c r="BU116" s="77">
        <v>2998</v>
      </c>
      <c r="BV116" s="78">
        <f t="shared" ref="BV116:BV120" si="276">BU116/$BU$115</f>
        <v>0.4436223734832791</v>
      </c>
      <c r="BW116" s="77">
        <v>3275</v>
      </c>
      <c r="BX116" s="78">
        <f t="shared" ref="BX116:BX120" si="277">BW116/$BW$115</f>
        <v>0.45397837538120323</v>
      </c>
      <c r="BY116" s="77">
        <v>3270</v>
      </c>
      <c r="BZ116" s="78">
        <f t="shared" ref="BZ116:BZ120" si="278">BY116/$BY$115</f>
        <v>0.40470297029702973</v>
      </c>
      <c r="CA116" s="77">
        <v>3061</v>
      </c>
      <c r="CB116" s="78">
        <f t="shared" ref="CB116:CB120" si="279">CA116/$CA$115</f>
        <v>0.40575291622481441</v>
      </c>
      <c r="CC116" s="77">
        <v>3168</v>
      </c>
      <c r="CD116" s="78">
        <f t="shared" ref="CD116:CD120" si="280">CC116/$CC$115</f>
        <v>0.38657718120805368</v>
      </c>
      <c r="CE116" s="77">
        <v>1519</v>
      </c>
      <c r="CF116" s="78">
        <f t="shared" ref="CF116:CF120" si="281">CE116/$CE$115</f>
        <v>0.21665953501640278</v>
      </c>
      <c r="CG116" s="77">
        <v>2050</v>
      </c>
      <c r="CH116" s="78">
        <f t="shared" ref="CH116:CH120" si="282">CG116/$CG$115</f>
        <v>0.28747721217220584</v>
      </c>
      <c r="CI116" s="77">
        <v>1038</v>
      </c>
      <c r="CJ116" s="78">
        <f t="shared" ref="CJ116:CJ120" si="283">CI116/$CI$115</f>
        <v>0.17154189390183441</v>
      </c>
      <c r="CK116" s="77">
        <v>1672</v>
      </c>
      <c r="CL116" s="78">
        <f t="shared" ref="CL116:CL120" si="284">CK116/$CK$115</f>
        <v>0.2359249329758713</v>
      </c>
      <c r="CM116" s="77">
        <v>2060</v>
      </c>
      <c r="CN116" s="78">
        <f t="shared" ref="CN116:CN120" si="285">CM116/$CM$115</f>
        <v>0.25730701973519859</v>
      </c>
      <c r="CO116" s="77">
        <v>2382</v>
      </c>
      <c r="CP116" s="78">
        <f t="shared" ref="CP116:CP120" si="286">CO116/$CO$115</f>
        <v>0.32679379887501714</v>
      </c>
      <c r="CQ116" s="77">
        <v>1903</v>
      </c>
      <c r="CR116" s="78">
        <f t="shared" ref="CR116:CR120" si="287">CQ116/$CQ$115</f>
        <v>0.22089378990133487</v>
      </c>
      <c r="CS116" s="77">
        <v>1918</v>
      </c>
      <c r="CT116" s="78">
        <f t="shared" ref="CT116:CT120" si="288">CS116/$CS$115</f>
        <v>0.18668483550710532</v>
      </c>
      <c r="CU116" s="77">
        <v>2501</v>
      </c>
      <c r="CV116" s="78">
        <f t="shared" ref="CV116:CV120" si="289">CU116/$CU$115</f>
        <v>0.26875134321942834</v>
      </c>
      <c r="CW116" s="77">
        <v>3029</v>
      </c>
      <c r="CX116" s="78">
        <f t="shared" ref="CX116:CX120" si="290">CW116/$CW$115</f>
        <v>0.29336561743341405</v>
      </c>
      <c r="CY116" s="77">
        <v>3608</v>
      </c>
      <c r="CZ116" s="78">
        <f t="shared" ref="CZ116:CZ120" si="291">CY116/$CY$115</f>
        <v>0.31757767802130094</v>
      </c>
      <c r="DA116" s="77">
        <v>3208</v>
      </c>
      <c r="DB116" s="78">
        <f>DA116/$DA$115</f>
        <v>0.26876675603217159</v>
      </c>
      <c r="DC116" s="77">
        <v>3108</v>
      </c>
      <c r="DD116" s="78">
        <f>DC116/DC$115</f>
        <v>0.44770959377700953</v>
      </c>
      <c r="DE116" s="77">
        <v>2592</v>
      </c>
      <c r="DF116" s="78">
        <f>DE116/DE$115</f>
        <v>0.4018604651162791</v>
      </c>
      <c r="DG116" s="77">
        <v>2658</v>
      </c>
      <c r="DH116" s="78">
        <f>DG116/DG$115</f>
        <v>0.34310055505356912</v>
      </c>
      <c r="DI116" s="77">
        <v>1911</v>
      </c>
      <c r="DJ116" s="78">
        <f>DI116/DI$115</f>
        <v>0.33973333333333333</v>
      </c>
      <c r="DK116" s="77">
        <v>2717</v>
      </c>
      <c r="DL116" s="78">
        <f>DK116/DK$115</f>
        <v>0.38111937158086689</v>
      </c>
      <c r="DM116" s="77">
        <v>2074</v>
      </c>
      <c r="DN116" s="78">
        <f>DM116/DM$115</f>
        <v>0.31693154034229831</v>
      </c>
      <c r="DO116" s="77">
        <v>1716</v>
      </c>
      <c r="DP116" s="189">
        <f>DO116/DO$115</f>
        <v>0.30885529157667385</v>
      </c>
      <c r="DQ116" s="77">
        <v>2004</v>
      </c>
      <c r="DR116" s="189">
        <f>DQ116/DQ$115</f>
        <v>0.30783410138248846</v>
      </c>
      <c r="DS116" s="77">
        <v>1998</v>
      </c>
      <c r="DT116" s="189">
        <f>DS116/DS$115</f>
        <v>0.32780968006562755</v>
      </c>
      <c r="DU116" s="301"/>
      <c r="DV116" s="301"/>
      <c r="DW116" s="301"/>
      <c r="DX116" s="301"/>
      <c r="DY116" s="301"/>
      <c r="DZ116" s="301"/>
      <c r="EA116" s="301"/>
      <c r="EB116" s="301"/>
      <c r="EC116" s="301"/>
      <c r="ED116" s="301"/>
      <c r="EE116" s="301"/>
      <c r="EF116" s="301"/>
      <c r="EG116" s="301"/>
      <c r="EH116" s="301"/>
      <c r="EI116" s="301"/>
      <c r="EJ116" s="301"/>
      <c r="EK116" s="301"/>
      <c r="EL116" s="301"/>
      <c r="EM116" s="301"/>
      <c r="EN116" s="77">
        <v>2692</v>
      </c>
      <c r="EO116" s="189">
        <f>EN116/EN$115</f>
        <v>0.38391329150028525</v>
      </c>
      <c r="EP116" s="77">
        <v>2509</v>
      </c>
      <c r="EQ116" s="189">
        <f>EP116/EP$115</f>
        <v>0.37808921036769139</v>
      </c>
      <c r="ER116" s="77">
        <v>2061</v>
      </c>
      <c r="ES116" s="189">
        <f>ER116/ER$115</f>
        <v>0.31499312242090782</v>
      </c>
      <c r="ET116" s="77">
        <v>1842</v>
      </c>
      <c r="EU116" s="189">
        <f>ET116/ET$115</f>
        <v>0.23307604707073262</v>
      </c>
      <c r="EV116" s="77">
        <v>1842</v>
      </c>
      <c r="EW116" s="189">
        <f>EV116/EV$115</f>
        <v>0.23307604707073262</v>
      </c>
      <c r="EX116" s="77">
        <v>881</v>
      </c>
      <c r="EY116" s="189">
        <f>EX116/EX$115</f>
        <v>0.11166032953105197</v>
      </c>
      <c r="EZ116" s="77">
        <v>608</v>
      </c>
      <c r="FA116" s="189">
        <f>EZ116/EZ$115</f>
        <v>6.8429938097917836E-2</v>
      </c>
      <c r="FB116" s="77">
        <v>1909</v>
      </c>
      <c r="FC116" s="189">
        <f>FB116/FB$115</f>
        <v>0.20817884405670664</v>
      </c>
      <c r="FD116" s="77">
        <v>2300</v>
      </c>
      <c r="FE116" s="189">
        <f>FD116/FD$115</f>
        <v>0.33469150174621654</v>
      </c>
      <c r="FF116" s="77">
        <v>2456</v>
      </c>
      <c r="FG116" s="189">
        <f>FF116/FF$115</f>
        <v>0.29234614926794428</v>
      </c>
      <c r="FH116" s="77">
        <v>2949</v>
      </c>
      <c r="FI116" s="189">
        <f>FH116/FH$115</f>
        <v>0.36811883659967543</v>
      </c>
      <c r="FJ116" s="77">
        <v>2184</v>
      </c>
      <c r="FK116" s="189">
        <f>FJ116/FJ$115</f>
        <v>0.28942486085343228</v>
      </c>
      <c r="FL116" s="77">
        <v>1879</v>
      </c>
      <c r="FM116" s="189">
        <f>FL116/FL$115</f>
        <v>0.26958393113342899</v>
      </c>
      <c r="FN116" s="77">
        <v>1729</v>
      </c>
      <c r="FO116" s="189">
        <f>FN116/FN$115</f>
        <v>0.26645091693635381</v>
      </c>
      <c r="FP116" s="77">
        <v>1751</v>
      </c>
      <c r="FQ116" s="189">
        <f>FP116/FP$115</f>
        <v>0.27244437529173798</v>
      </c>
      <c r="FR116" s="301"/>
      <c r="FS116" s="301"/>
      <c r="FT116" s="301"/>
      <c r="FU116" s="301"/>
      <c r="FV116" s="301"/>
      <c r="FW116" s="301"/>
      <c r="FX116" s="301"/>
      <c r="FY116" s="301"/>
      <c r="FZ116" s="301"/>
      <c r="GA116" s="301"/>
      <c r="GB116" s="301"/>
      <c r="GC116" s="301"/>
      <c r="GD116" s="301"/>
      <c r="GE116" s="301"/>
      <c r="GF116" s="304"/>
      <c r="GG116" s="304"/>
    </row>
    <row r="117" spans="1:189" ht="15" customHeight="1" outlineLevel="1" x14ac:dyDescent="0.3">
      <c r="A117" s="1"/>
      <c r="B117" s="301"/>
      <c r="C117" s="301"/>
      <c r="D117" s="301"/>
      <c r="E117" s="301"/>
      <c r="F117" s="301"/>
      <c r="G117" s="5" t="s">
        <v>101</v>
      </c>
      <c r="H117" s="5"/>
      <c r="I117" s="23">
        <f t="shared" si="250"/>
        <v>5524</v>
      </c>
      <c r="J117" s="65">
        <f t="shared" si="251"/>
        <v>5.1240666017346136E-2</v>
      </c>
      <c r="K117" s="23">
        <v>482</v>
      </c>
      <c r="L117" s="65">
        <v>0.16916010498687664</v>
      </c>
      <c r="M117" s="23">
        <v>572</v>
      </c>
      <c r="N117" s="65">
        <v>0.19880523587806379</v>
      </c>
      <c r="O117" s="23">
        <v>455</v>
      </c>
      <c r="P117" s="65">
        <v>0.20193480913369358</v>
      </c>
      <c r="Q117" s="23">
        <v>511</v>
      </c>
      <c r="R117" s="65">
        <v>0.19730501517044441</v>
      </c>
      <c r="S117" s="23">
        <v>448</v>
      </c>
      <c r="T117" s="65">
        <v>0.17599118942731279</v>
      </c>
      <c r="U117" s="23">
        <v>364</v>
      </c>
      <c r="V117" s="65">
        <v>0.17786069651741293</v>
      </c>
      <c r="W117" s="23">
        <v>555</v>
      </c>
      <c r="X117" s="65">
        <v>0.20391717963066591</v>
      </c>
      <c r="Y117" s="23">
        <v>401</v>
      </c>
      <c r="Z117" s="65">
        <f t="shared" si="252"/>
        <v>4.3215863778424402E-2</v>
      </c>
      <c r="AA117" s="23">
        <v>723</v>
      </c>
      <c r="AB117" s="65">
        <f t="shared" si="253"/>
        <v>7.76500912898722E-2</v>
      </c>
      <c r="AC117" s="23">
        <v>655</v>
      </c>
      <c r="AD117" s="65">
        <f t="shared" si="254"/>
        <v>6.2220955637883539E-2</v>
      </c>
      <c r="AE117" s="23">
        <v>527</v>
      </c>
      <c r="AF117" s="65">
        <f t="shared" si="255"/>
        <v>6.7262284620293558E-2</v>
      </c>
      <c r="AG117" s="23">
        <v>342</v>
      </c>
      <c r="AH117" s="65">
        <f t="shared" si="256"/>
        <v>4.5593920810558596E-2</v>
      </c>
      <c r="AI117" s="23">
        <v>393</v>
      </c>
      <c r="AJ117" s="65">
        <f t="shared" si="257"/>
        <v>4.7009569377990432E-2</v>
      </c>
      <c r="AK117" s="23">
        <v>344</v>
      </c>
      <c r="AL117" s="65">
        <f t="shared" si="258"/>
        <v>5.1838456901748042E-2</v>
      </c>
      <c r="AM117" s="28">
        <v>348</v>
      </c>
      <c r="AN117" s="65">
        <f t="shared" si="259"/>
        <v>4.8046389617561781E-2</v>
      </c>
      <c r="AO117" s="23">
        <v>298</v>
      </c>
      <c r="AP117" s="65">
        <f t="shared" si="260"/>
        <v>3.2618213660245185E-2</v>
      </c>
      <c r="AQ117" s="23">
        <v>491</v>
      </c>
      <c r="AR117" s="65">
        <f t="shared" si="261"/>
        <v>4.3532228034400211E-2</v>
      </c>
      <c r="AS117" s="23">
        <v>165</v>
      </c>
      <c r="AT117" s="65">
        <f t="shared" si="262"/>
        <v>1.7093131668911219E-2</v>
      </c>
      <c r="AU117" s="23">
        <v>340</v>
      </c>
      <c r="AV117" s="65">
        <f t="shared" si="263"/>
        <v>3.4385113268608415E-2</v>
      </c>
      <c r="AW117" s="23">
        <v>257</v>
      </c>
      <c r="AX117" s="65">
        <f t="shared" si="264"/>
        <v>3.8187221396731058E-2</v>
      </c>
      <c r="AY117" s="23">
        <v>254</v>
      </c>
      <c r="AZ117" s="65">
        <f t="shared" si="265"/>
        <v>4.8921417565485362E-2</v>
      </c>
      <c r="BA117" s="23">
        <v>262</v>
      </c>
      <c r="BB117" s="65">
        <f t="shared" si="266"/>
        <v>5.0201187967043495E-2</v>
      </c>
      <c r="BC117" s="23">
        <v>196</v>
      </c>
      <c r="BD117" s="65">
        <f t="shared" si="267"/>
        <v>3.760552570990023E-2</v>
      </c>
      <c r="BE117" s="23">
        <v>433</v>
      </c>
      <c r="BF117" s="65">
        <f t="shared" si="268"/>
        <v>6.4262392401306032E-2</v>
      </c>
      <c r="BG117" s="23">
        <v>327</v>
      </c>
      <c r="BH117" s="65">
        <f t="shared" si="269"/>
        <v>5.0721265704979063E-2</v>
      </c>
      <c r="BI117" s="23">
        <v>280</v>
      </c>
      <c r="BJ117" s="65">
        <f t="shared" si="270"/>
        <v>4.9019607843137254E-2</v>
      </c>
      <c r="BK117" s="23">
        <v>591</v>
      </c>
      <c r="BL117" s="65">
        <f t="shared" si="271"/>
        <v>7.8298887122416533E-2</v>
      </c>
      <c r="BM117" s="23">
        <v>421</v>
      </c>
      <c r="BN117" s="79">
        <f t="shared" si="272"/>
        <v>5.7671232876712331E-2</v>
      </c>
      <c r="BO117" s="23">
        <v>316</v>
      </c>
      <c r="BP117" s="79">
        <f t="shared" si="273"/>
        <v>4.5194508009153318E-2</v>
      </c>
      <c r="BQ117" s="23">
        <v>313</v>
      </c>
      <c r="BR117" s="65">
        <f t="shared" si="274"/>
        <v>4.4378278746632638E-2</v>
      </c>
      <c r="BS117" s="23">
        <v>420</v>
      </c>
      <c r="BT117" s="65">
        <f t="shared" si="275"/>
        <v>6.3781321184510256E-2</v>
      </c>
      <c r="BU117" s="23">
        <v>567</v>
      </c>
      <c r="BV117" s="79">
        <f t="shared" si="276"/>
        <v>8.3900562296537431E-2</v>
      </c>
      <c r="BW117" s="23">
        <v>619</v>
      </c>
      <c r="BX117" s="79">
        <f t="shared" si="277"/>
        <v>8.5805378430828944E-2</v>
      </c>
      <c r="BY117" s="23">
        <v>617</v>
      </c>
      <c r="BZ117" s="79">
        <f t="shared" si="278"/>
        <v>7.636138613861386E-2</v>
      </c>
      <c r="CA117" s="23">
        <v>778</v>
      </c>
      <c r="CB117" s="79">
        <f t="shared" si="279"/>
        <v>0.10312831389183456</v>
      </c>
      <c r="CC117" s="23">
        <v>668</v>
      </c>
      <c r="CD117" s="79">
        <f t="shared" si="280"/>
        <v>8.1513117754728498E-2</v>
      </c>
      <c r="CE117" s="23">
        <v>581</v>
      </c>
      <c r="CF117" s="79">
        <f t="shared" si="281"/>
        <v>8.2869776066181719E-2</v>
      </c>
      <c r="CG117" s="23">
        <v>484</v>
      </c>
      <c r="CH117" s="79">
        <f t="shared" si="282"/>
        <v>6.7872668629925678E-2</v>
      </c>
      <c r="CI117" s="23">
        <v>532</v>
      </c>
      <c r="CJ117" s="79">
        <f t="shared" si="283"/>
        <v>8.7919352173194507E-2</v>
      </c>
      <c r="CK117" s="23">
        <v>700</v>
      </c>
      <c r="CL117" s="79">
        <f t="shared" si="284"/>
        <v>9.877240016932412E-2</v>
      </c>
      <c r="CM117" s="23">
        <v>504</v>
      </c>
      <c r="CN117" s="79">
        <f t="shared" si="285"/>
        <v>6.2952785410941792E-2</v>
      </c>
      <c r="CO117" s="23">
        <v>346</v>
      </c>
      <c r="CP117" s="79">
        <f t="shared" si="286"/>
        <v>4.7468788585539858E-2</v>
      </c>
      <c r="CQ117" s="23">
        <v>475</v>
      </c>
      <c r="CR117" s="79">
        <f t="shared" si="287"/>
        <v>5.5136390017411489E-2</v>
      </c>
      <c r="CS117" s="23">
        <v>612</v>
      </c>
      <c r="CT117" s="79">
        <f t="shared" si="288"/>
        <v>5.9567841152423591E-2</v>
      </c>
      <c r="CU117" s="23">
        <v>833</v>
      </c>
      <c r="CV117" s="79">
        <f t="shared" si="289"/>
        <v>8.9512142703632072E-2</v>
      </c>
      <c r="CW117" s="23">
        <v>844</v>
      </c>
      <c r="CX117" s="79">
        <f t="shared" si="290"/>
        <v>8.174334140435835E-2</v>
      </c>
      <c r="CY117" s="23">
        <v>646</v>
      </c>
      <c r="CZ117" s="79">
        <f t="shared" si="291"/>
        <v>5.6861191796496791E-2</v>
      </c>
      <c r="DA117" s="23">
        <v>677</v>
      </c>
      <c r="DB117" s="79">
        <f>DA117/$DA$115</f>
        <v>5.6719168900804293E-2</v>
      </c>
      <c r="DC117" s="23">
        <v>558</v>
      </c>
      <c r="DD117" s="79">
        <f>DC117/DC$115</f>
        <v>8.0380293863439936E-2</v>
      </c>
      <c r="DE117" s="23">
        <v>288</v>
      </c>
      <c r="DF117" s="79">
        <f>DE117/DE$115</f>
        <v>4.4651162790697675E-2</v>
      </c>
      <c r="DG117" s="23">
        <v>463</v>
      </c>
      <c r="DH117" s="79">
        <f>DG117/DG$115</f>
        <v>5.9765070349812828E-2</v>
      </c>
      <c r="DI117" s="23">
        <v>327</v>
      </c>
      <c r="DJ117" s="79">
        <f>DI117/DI$115</f>
        <v>5.8133333333333335E-2</v>
      </c>
      <c r="DK117" s="23">
        <v>586</v>
      </c>
      <c r="DL117" s="79">
        <f>DK117/DK$115</f>
        <v>8.2199466965913875E-2</v>
      </c>
      <c r="DM117" s="23">
        <v>309</v>
      </c>
      <c r="DN117" s="79">
        <f>DM117/DM$115</f>
        <v>4.721882640586797E-2</v>
      </c>
      <c r="DO117" s="23">
        <v>302</v>
      </c>
      <c r="DP117" s="94">
        <f>DO117/DO$115</f>
        <v>5.4355651547876173E-2</v>
      </c>
      <c r="DQ117" s="23">
        <v>361</v>
      </c>
      <c r="DR117" s="94">
        <f>DQ117/DQ$115</f>
        <v>5.5453149001536098E-2</v>
      </c>
      <c r="DS117" s="23">
        <v>381</v>
      </c>
      <c r="DT117" s="94">
        <f>DS117/DS$115</f>
        <v>6.2510254306808857E-2</v>
      </c>
      <c r="DU117" s="301"/>
      <c r="DV117" s="301"/>
      <c r="DW117" s="301"/>
      <c r="DX117" s="301"/>
      <c r="DY117" s="301"/>
      <c r="DZ117" s="301"/>
      <c r="EA117" s="301"/>
      <c r="EB117" s="301"/>
      <c r="EC117" s="301"/>
      <c r="ED117" s="301"/>
      <c r="EE117" s="301"/>
      <c r="EF117" s="301"/>
      <c r="EG117" s="301"/>
      <c r="EH117" s="301"/>
      <c r="EI117" s="301"/>
      <c r="EJ117" s="301"/>
      <c r="EK117" s="301"/>
      <c r="EL117" s="301"/>
      <c r="EM117" s="301"/>
      <c r="EN117" s="23">
        <v>486</v>
      </c>
      <c r="EO117" s="94">
        <f>EN117/EN$115</f>
        <v>6.9309754706217919E-2</v>
      </c>
      <c r="EP117" s="23">
        <v>340</v>
      </c>
      <c r="EQ117" s="94">
        <f>EP117/EP$115</f>
        <v>5.1235684147076549E-2</v>
      </c>
      <c r="ER117" s="23">
        <v>205</v>
      </c>
      <c r="ES117" s="94">
        <f>ER117/ER$115</f>
        <v>3.1331193642060218E-2</v>
      </c>
      <c r="ET117" s="23">
        <v>724</v>
      </c>
      <c r="EU117" s="94">
        <f>ET117/ET$115</f>
        <v>9.1610780716183726E-2</v>
      </c>
      <c r="EV117" s="23">
        <v>724</v>
      </c>
      <c r="EW117" s="94">
        <f>EV117/EV$115</f>
        <v>9.1610780716183726E-2</v>
      </c>
      <c r="EX117" s="23">
        <v>454</v>
      </c>
      <c r="EY117" s="94">
        <f>EX117/EX$115</f>
        <v>5.7541191381495563E-2</v>
      </c>
      <c r="EZ117" s="23">
        <v>221</v>
      </c>
      <c r="FA117" s="94">
        <f>EZ117/EZ$115</f>
        <v>2.4873382104670792E-2</v>
      </c>
      <c r="FB117" s="23">
        <v>658</v>
      </c>
      <c r="FC117" s="94">
        <f>FB117/FB$115</f>
        <v>7.1755725190839698E-2</v>
      </c>
      <c r="FD117" s="23">
        <v>479</v>
      </c>
      <c r="FE117" s="94">
        <f>FD117/FD$115</f>
        <v>6.9703143189755526E-2</v>
      </c>
      <c r="FF117" s="23">
        <v>539</v>
      </c>
      <c r="FG117" s="94">
        <f>FF117/FF$115</f>
        <v>6.4159028687061068E-2</v>
      </c>
      <c r="FH117" s="23">
        <v>576</v>
      </c>
      <c r="FI117" s="94">
        <f>FH117/FH$115</f>
        <v>7.1901135938085128E-2</v>
      </c>
      <c r="FJ117" s="23">
        <v>389</v>
      </c>
      <c r="FK117" s="94">
        <f>FJ117/FJ$115</f>
        <v>5.155049032600053E-2</v>
      </c>
      <c r="FL117" s="23">
        <v>340</v>
      </c>
      <c r="FM117" s="94">
        <f>FL117/FL$115</f>
        <v>4.878048780487805E-2</v>
      </c>
      <c r="FN117" s="23">
        <v>423</v>
      </c>
      <c r="FO117" s="94">
        <f>FN117/FN$115</f>
        <v>6.5187239944521497E-2</v>
      </c>
      <c r="FP117" s="23">
        <v>256</v>
      </c>
      <c r="FQ117" s="94">
        <f>FP117/FP$115</f>
        <v>3.983195892329236E-2</v>
      </c>
      <c r="FR117" s="301"/>
      <c r="FS117" s="301"/>
      <c r="FT117" s="301"/>
      <c r="FU117" s="301"/>
      <c r="FV117" s="301"/>
      <c r="FW117" s="301"/>
      <c r="FX117" s="301"/>
      <c r="FY117" s="301"/>
      <c r="FZ117" s="301"/>
      <c r="GA117" s="301"/>
      <c r="GB117" s="301"/>
      <c r="GC117" s="301"/>
      <c r="GD117" s="301"/>
      <c r="GE117" s="301"/>
      <c r="GF117" s="304"/>
      <c r="GG117" s="304"/>
    </row>
    <row r="118" spans="1:189" ht="15" customHeight="1" outlineLevel="1" x14ac:dyDescent="0.3">
      <c r="A118" s="1"/>
      <c r="B118" s="301"/>
      <c r="C118" s="301"/>
      <c r="D118" s="301"/>
      <c r="E118" s="301"/>
      <c r="F118" s="301"/>
      <c r="G118" s="5" t="s">
        <v>102</v>
      </c>
      <c r="H118" s="5"/>
      <c r="I118" s="23">
        <f t="shared" si="250"/>
        <v>40518</v>
      </c>
      <c r="J118" s="65">
        <f t="shared" si="251"/>
        <v>0.37584527619312647</v>
      </c>
      <c r="K118" s="23">
        <v>4550</v>
      </c>
      <c r="L118" s="65">
        <v>0.38976377952755903</v>
      </c>
      <c r="M118" s="23">
        <v>4842</v>
      </c>
      <c r="N118" s="65">
        <v>0.26803127470789773</v>
      </c>
      <c r="O118" s="23">
        <v>4839</v>
      </c>
      <c r="P118" s="65">
        <v>0.3599442217186683</v>
      </c>
      <c r="Q118" s="23">
        <v>4902</v>
      </c>
      <c r="R118" s="65">
        <v>0.25896840978047475</v>
      </c>
      <c r="S118" s="23">
        <v>3652</v>
      </c>
      <c r="T118" s="65">
        <v>0.15892070484581497</v>
      </c>
      <c r="U118" s="23">
        <v>2871</v>
      </c>
      <c r="V118" s="65">
        <v>0.19679380873410723</v>
      </c>
      <c r="W118" s="23">
        <v>3519</v>
      </c>
      <c r="X118" s="65">
        <v>0.27811975377728038</v>
      </c>
      <c r="Y118" s="23">
        <v>3373</v>
      </c>
      <c r="Z118" s="65">
        <f t="shared" si="252"/>
        <v>0.36350899881452742</v>
      </c>
      <c r="AA118" s="23">
        <v>3507</v>
      </c>
      <c r="AB118" s="65">
        <f t="shared" si="253"/>
        <v>0.37665127268821824</v>
      </c>
      <c r="AC118" s="23">
        <v>4071</v>
      </c>
      <c r="AD118" s="65">
        <f t="shared" si="254"/>
        <v>0.3867198632088914</v>
      </c>
      <c r="AE118" s="23">
        <v>2638</v>
      </c>
      <c r="AF118" s="65">
        <f t="shared" si="255"/>
        <v>0.33669432035737079</v>
      </c>
      <c r="AG118" s="23">
        <v>2656</v>
      </c>
      <c r="AH118" s="65">
        <f t="shared" si="256"/>
        <v>0.35408612185041993</v>
      </c>
      <c r="AI118" s="23">
        <v>2714</v>
      </c>
      <c r="AJ118" s="65">
        <f t="shared" si="257"/>
        <v>0.32464114832535884</v>
      </c>
      <c r="AK118" s="23">
        <v>2416</v>
      </c>
      <c r="AL118" s="65">
        <f t="shared" si="258"/>
        <v>0.36407474382157928</v>
      </c>
      <c r="AM118" s="28">
        <v>2655</v>
      </c>
      <c r="AN118" s="65">
        <f t="shared" si="259"/>
        <v>0.36656081734088086</v>
      </c>
      <c r="AO118" s="23">
        <v>2982</v>
      </c>
      <c r="AP118" s="65">
        <f t="shared" si="260"/>
        <v>0.32640105078809106</v>
      </c>
      <c r="AQ118" s="23">
        <v>4182</v>
      </c>
      <c r="AR118" s="65">
        <f t="shared" si="261"/>
        <v>0.37077755120134764</v>
      </c>
      <c r="AS118" s="23">
        <v>2598</v>
      </c>
      <c r="AT118" s="65">
        <f t="shared" si="262"/>
        <v>0.26913912773231119</v>
      </c>
      <c r="AU118" s="23">
        <v>3720</v>
      </c>
      <c r="AV118" s="65">
        <f t="shared" si="263"/>
        <v>0.37621359223300971</v>
      </c>
      <c r="AW118" s="23">
        <v>3181</v>
      </c>
      <c r="AX118" s="65">
        <f t="shared" si="264"/>
        <v>0.4726597325408618</v>
      </c>
      <c r="AY118" s="23">
        <v>1967</v>
      </c>
      <c r="AZ118" s="65">
        <f t="shared" si="265"/>
        <v>0.37885208012326654</v>
      </c>
      <c r="BA118" s="23">
        <v>2285</v>
      </c>
      <c r="BB118" s="65">
        <f t="shared" si="266"/>
        <v>0.43782333780417704</v>
      </c>
      <c r="BC118" s="23">
        <v>1945</v>
      </c>
      <c r="BD118" s="65">
        <f t="shared" si="267"/>
        <v>0.37317728319263238</v>
      </c>
      <c r="BE118" s="23">
        <v>2734</v>
      </c>
      <c r="BF118" s="65">
        <f t="shared" si="268"/>
        <v>0.40575838527753044</v>
      </c>
      <c r="BG118" s="23">
        <v>2397</v>
      </c>
      <c r="BH118" s="65">
        <f t="shared" si="269"/>
        <v>0.37180083759888322</v>
      </c>
      <c r="BI118" s="23">
        <v>1866</v>
      </c>
      <c r="BJ118" s="65">
        <f t="shared" si="270"/>
        <v>0.32668067226890757</v>
      </c>
      <c r="BK118" s="23">
        <v>2759</v>
      </c>
      <c r="BL118" s="65">
        <f t="shared" si="271"/>
        <v>0.36552729199788025</v>
      </c>
      <c r="BM118" s="23">
        <v>2363</v>
      </c>
      <c r="BN118" s="79">
        <f t="shared" si="272"/>
        <v>0.3236986301369863</v>
      </c>
      <c r="BO118" s="23">
        <v>2241</v>
      </c>
      <c r="BP118" s="79">
        <f t="shared" si="273"/>
        <v>0.32050915331807778</v>
      </c>
      <c r="BQ118" s="23">
        <v>2083</v>
      </c>
      <c r="BR118" s="65">
        <f t="shared" si="274"/>
        <v>0.29533531830426768</v>
      </c>
      <c r="BS118" s="23">
        <v>2027</v>
      </c>
      <c r="BT118" s="65">
        <f t="shared" si="275"/>
        <v>0.30782080485952923</v>
      </c>
      <c r="BU118" s="23">
        <v>1824</v>
      </c>
      <c r="BV118" s="79">
        <f t="shared" si="276"/>
        <v>0.26990233796981355</v>
      </c>
      <c r="BW118" s="23">
        <v>2037</v>
      </c>
      <c r="BX118" s="79">
        <f t="shared" si="277"/>
        <v>0.28236761851954534</v>
      </c>
      <c r="BY118" s="23">
        <v>2284</v>
      </c>
      <c r="BZ118" s="79">
        <f t="shared" si="278"/>
        <v>0.28267326732673265</v>
      </c>
      <c r="CA118" s="23">
        <v>1777</v>
      </c>
      <c r="CB118" s="79">
        <f t="shared" si="279"/>
        <v>0.23555143160127254</v>
      </c>
      <c r="CC118" s="23">
        <v>2364</v>
      </c>
      <c r="CD118" s="79">
        <f t="shared" si="280"/>
        <v>0.28846857840146428</v>
      </c>
      <c r="CE118" s="23">
        <v>2141</v>
      </c>
      <c r="CF118" s="79">
        <f t="shared" si="281"/>
        <v>0.30537726429895878</v>
      </c>
      <c r="CG118" s="23">
        <v>2126</v>
      </c>
      <c r="CH118" s="79">
        <f t="shared" si="282"/>
        <v>0.29813490394054132</v>
      </c>
      <c r="CI118" s="23">
        <v>2128</v>
      </c>
      <c r="CJ118" s="79">
        <f t="shared" si="283"/>
        <v>0.35167740869277803</v>
      </c>
      <c r="CK118" s="23">
        <v>2358</v>
      </c>
      <c r="CL118" s="79">
        <f t="shared" si="284"/>
        <v>0.33272188514180895</v>
      </c>
      <c r="CM118" s="23">
        <v>2284</v>
      </c>
      <c r="CN118" s="79">
        <f t="shared" si="285"/>
        <v>0.28528603547339493</v>
      </c>
      <c r="CO118" s="23">
        <v>1985</v>
      </c>
      <c r="CP118" s="79">
        <f t="shared" si="286"/>
        <v>0.27232816572918095</v>
      </c>
      <c r="CQ118" s="23">
        <v>2887</v>
      </c>
      <c r="CR118" s="79">
        <f t="shared" si="287"/>
        <v>0.33511317469529889</v>
      </c>
      <c r="CS118" s="23">
        <v>3055</v>
      </c>
      <c r="CT118" s="79">
        <f t="shared" si="288"/>
        <v>0.29735254039322562</v>
      </c>
      <c r="CU118" s="23">
        <v>2167</v>
      </c>
      <c r="CV118" s="79">
        <f t="shared" si="289"/>
        <v>0.23286052009456265</v>
      </c>
      <c r="CW118" s="23">
        <v>2376</v>
      </c>
      <c r="CX118" s="79">
        <f t="shared" si="290"/>
        <v>0.23012106537530266</v>
      </c>
      <c r="CY118" s="23">
        <v>2786</v>
      </c>
      <c r="CZ118" s="79">
        <f t="shared" si="291"/>
        <v>0.24522489217498461</v>
      </c>
      <c r="DA118" s="23">
        <v>3573</v>
      </c>
      <c r="DB118" s="79">
        <f>DA118/$DA$115</f>
        <v>0.29934651474530832</v>
      </c>
      <c r="DC118" s="23">
        <v>2414</v>
      </c>
      <c r="DD118" s="79">
        <f>DC118/DC$115</f>
        <v>0.34773840391817917</v>
      </c>
      <c r="DE118" s="23">
        <v>2097</v>
      </c>
      <c r="DF118" s="79">
        <f>DE118/DE$115</f>
        <v>0.32511627906976742</v>
      </c>
      <c r="DG118" s="23">
        <v>2080</v>
      </c>
      <c r="DH118" s="79">
        <f>DG118/DG$115</f>
        <v>0.26849102878533626</v>
      </c>
      <c r="DI118" s="23">
        <v>1519</v>
      </c>
      <c r="DJ118" s="79">
        <f>DI118/DI$115</f>
        <v>0.27004444444444442</v>
      </c>
      <c r="DK118" s="23">
        <v>2485</v>
      </c>
      <c r="DL118" s="79">
        <f>DK118/DK$115</f>
        <v>0.34857623790152897</v>
      </c>
      <c r="DM118" s="23">
        <v>2151</v>
      </c>
      <c r="DN118" s="79">
        <f>DM118/DM$115</f>
        <v>0.32869804400977998</v>
      </c>
      <c r="DO118" s="23">
        <v>1862</v>
      </c>
      <c r="DP118" s="94">
        <f>DO118/DO$115</f>
        <v>0.33513318934485242</v>
      </c>
      <c r="DQ118" s="23">
        <v>2407</v>
      </c>
      <c r="DR118" s="94">
        <f>DQ118/DQ$115</f>
        <v>0.36973886328725036</v>
      </c>
      <c r="DS118" s="23">
        <v>2230</v>
      </c>
      <c r="DT118" s="94">
        <f>DS118/DS$115</f>
        <v>0.36587366694011486</v>
      </c>
      <c r="DU118" s="301"/>
      <c r="DV118" s="301"/>
      <c r="DW118" s="301"/>
      <c r="DX118" s="301"/>
      <c r="DY118" s="301"/>
      <c r="DZ118" s="301"/>
      <c r="EA118" s="301"/>
      <c r="EB118" s="301"/>
      <c r="EC118" s="301"/>
      <c r="ED118" s="301"/>
      <c r="EE118" s="301"/>
      <c r="EF118" s="301"/>
      <c r="EG118" s="301"/>
      <c r="EH118" s="301"/>
      <c r="EI118" s="301"/>
      <c r="EJ118" s="301"/>
      <c r="EK118" s="301"/>
      <c r="EL118" s="301"/>
      <c r="EM118" s="301"/>
      <c r="EN118" s="23">
        <v>2739</v>
      </c>
      <c r="EO118" s="94">
        <f>EN118/EN$115</f>
        <v>0.39061608670849973</v>
      </c>
      <c r="EP118" s="23">
        <v>2555</v>
      </c>
      <c r="EQ118" s="94">
        <f>EP118/EP$115</f>
        <v>0.38502109704641352</v>
      </c>
      <c r="ER118" s="23">
        <v>2396</v>
      </c>
      <c r="ES118" s="94">
        <f>ER118/ER$115</f>
        <v>0.36619287788476235</v>
      </c>
      <c r="ET118" s="23">
        <v>2522</v>
      </c>
      <c r="EU118" s="94">
        <f>ET118/ET$115</f>
        <v>0.31911932177654057</v>
      </c>
      <c r="EV118" s="23">
        <v>2522</v>
      </c>
      <c r="EW118" s="94">
        <f>EV118/EV$115</f>
        <v>0.31911932177654057</v>
      </c>
      <c r="EX118" s="23">
        <v>2815</v>
      </c>
      <c r="EY118" s="94">
        <f>EX118/EX$115</f>
        <v>0.35678073510773128</v>
      </c>
      <c r="EZ118" s="23">
        <v>2967</v>
      </c>
      <c r="FA118" s="94">
        <f>EZ118/EZ$115</f>
        <v>0.33393359594822736</v>
      </c>
      <c r="FB118" s="23">
        <v>2504</v>
      </c>
      <c r="FC118" s="94">
        <f>FB118/FB$115</f>
        <v>0.27306434023991277</v>
      </c>
      <c r="FD118" s="23">
        <v>2702</v>
      </c>
      <c r="FE118" s="94">
        <f>FD118/FD$115</f>
        <v>0.39318975552968566</v>
      </c>
      <c r="FF118" s="23">
        <v>3186</v>
      </c>
      <c r="FG118" s="94">
        <f>FF118/FF$115</f>
        <v>0.3792405665992144</v>
      </c>
      <c r="FH118" s="23">
        <v>3132</v>
      </c>
      <c r="FI118" s="94">
        <f>FH118/FH$115</f>
        <v>0.39096242666333791</v>
      </c>
      <c r="FJ118" s="23">
        <v>2678</v>
      </c>
      <c r="FK118" s="94">
        <f>FJ118/FJ$115</f>
        <v>0.35489000795123243</v>
      </c>
      <c r="FL118" s="23">
        <v>2322</v>
      </c>
      <c r="FM118" s="94">
        <f>FL118/FL$115</f>
        <v>0.33314203730272596</v>
      </c>
      <c r="FN118" s="23">
        <v>2640</v>
      </c>
      <c r="FO118" s="94">
        <f>FN118/FN$115</f>
        <v>0.40684234858992141</v>
      </c>
      <c r="FP118" s="23">
        <v>2309</v>
      </c>
      <c r="FQ118" s="94">
        <f>FP118/FP$115</f>
        <v>0.35926559825735177</v>
      </c>
      <c r="FR118" s="301"/>
      <c r="FS118" s="301"/>
      <c r="FT118" s="301"/>
      <c r="FU118" s="301"/>
      <c r="FV118" s="301"/>
      <c r="FW118" s="301"/>
      <c r="FX118" s="301"/>
      <c r="FY118" s="301"/>
      <c r="FZ118" s="301"/>
      <c r="GA118" s="301"/>
      <c r="GB118" s="301"/>
      <c r="GC118" s="301"/>
      <c r="GD118" s="301"/>
      <c r="GE118" s="301"/>
      <c r="GF118" s="304"/>
      <c r="GG118" s="304"/>
    </row>
    <row r="119" spans="1:189" ht="15" customHeight="1" outlineLevel="1" x14ac:dyDescent="0.3">
      <c r="A119" s="1"/>
      <c r="B119" s="301"/>
      <c r="C119" s="301"/>
      <c r="D119" s="301"/>
      <c r="E119" s="301"/>
      <c r="F119" s="301"/>
      <c r="G119" s="5" t="s">
        <v>103</v>
      </c>
      <c r="H119" s="5"/>
      <c r="I119" s="23">
        <f t="shared" si="250"/>
        <v>20439</v>
      </c>
      <c r="J119" s="65">
        <f t="shared" si="251"/>
        <v>0.18959231946570196</v>
      </c>
      <c r="K119" s="23">
        <v>4198</v>
      </c>
      <c r="L119" s="65">
        <v>1.9619422572178479E-2</v>
      </c>
      <c r="M119" s="23">
        <v>2170</v>
      </c>
      <c r="N119" s="65">
        <v>2.0293420012299043E-2</v>
      </c>
      <c r="O119" s="23">
        <v>3039</v>
      </c>
      <c r="P119" s="65">
        <v>2.4402998082621578E-2</v>
      </c>
      <c r="Q119" s="23">
        <v>1960</v>
      </c>
      <c r="R119" s="65">
        <v>2.4094235231126183E-2</v>
      </c>
      <c r="S119" s="23">
        <v>1095</v>
      </c>
      <c r="T119" s="65">
        <v>2.3898678414096916E-2</v>
      </c>
      <c r="U119" s="23">
        <v>1213</v>
      </c>
      <c r="V119" s="65">
        <v>2.0729684908789386E-2</v>
      </c>
      <c r="W119" s="23">
        <v>1896</v>
      </c>
      <c r="X119" s="65">
        <v>1.8914381645215445E-2</v>
      </c>
      <c r="Y119" s="23">
        <v>1650</v>
      </c>
      <c r="Z119" s="65">
        <f t="shared" si="252"/>
        <v>0.17782088587132233</v>
      </c>
      <c r="AA119" s="23">
        <v>1506</v>
      </c>
      <c r="AB119" s="65">
        <f t="shared" si="253"/>
        <v>0.16174417355815701</v>
      </c>
      <c r="AC119" s="23">
        <v>1961</v>
      </c>
      <c r="AD119" s="65">
        <f t="shared" si="254"/>
        <v>0.18628289161204523</v>
      </c>
      <c r="AE119" s="23">
        <v>947</v>
      </c>
      <c r="AF119" s="65">
        <f t="shared" si="255"/>
        <v>0.12086790044671347</v>
      </c>
      <c r="AG119" s="23">
        <v>764</v>
      </c>
      <c r="AH119" s="65">
        <f t="shared" si="256"/>
        <v>0.10185308625516598</v>
      </c>
      <c r="AI119" s="23">
        <v>634</v>
      </c>
      <c r="AJ119" s="65">
        <f t="shared" si="257"/>
        <v>7.5837320574162675E-2</v>
      </c>
      <c r="AK119" s="23">
        <v>758</v>
      </c>
      <c r="AL119" s="65">
        <f t="shared" si="258"/>
        <v>0.11422543701024714</v>
      </c>
      <c r="AM119" s="28">
        <v>758</v>
      </c>
      <c r="AN119" s="65">
        <f t="shared" si="259"/>
        <v>0.10465276818997653</v>
      </c>
      <c r="AO119" s="23">
        <v>3451</v>
      </c>
      <c r="AP119" s="65">
        <f t="shared" si="260"/>
        <v>0.37773642732049034</v>
      </c>
      <c r="AQ119" s="23">
        <v>3952</v>
      </c>
      <c r="AR119" s="65">
        <f t="shared" si="261"/>
        <v>0.35038567248869579</v>
      </c>
      <c r="AS119" s="23">
        <v>4378</v>
      </c>
      <c r="AT119" s="65">
        <f t="shared" si="262"/>
        <v>0.45353776028177767</v>
      </c>
      <c r="AU119" s="23">
        <v>3073</v>
      </c>
      <c r="AV119" s="65">
        <f t="shared" si="263"/>
        <v>0.3107807443365696</v>
      </c>
      <c r="AW119" s="23">
        <v>1213</v>
      </c>
      <c r="AX119" s="65">
        <f t="shared" si="264"/>
        <v>0.18023774145616642</v>
      </c>
      <c r="AY119" s="23">
        <v>890</v>
      </c>
      <c r="AZ119" s="65">
        <f t="shared" si="265"/>
        <v>0.17141756548536211</v>
      </c>
      <c r="BA119" s="23">
        <v>1088</v>
      </c>
      <c r="BB119" s="65">
        <f t="shared" si="266"/>
        <v>0.20846905537459284</v>
      </c>
      <c r="BC119" s="23">
        <v>1281</v>
      </c>
      <c r="BD119" s="65">
        <f t="shared" si="267"/>
        <v>0.24577897160399079</v>
      </c>
      <c r="BE119" s="23">
        <v>1351</v>
      </c>
      <c r="BF119" s="65">
        <f t="shared" si="268"/>
        <v>0.20050460077174237</v>
      </c>
      <c r="BG119" s="23">
        <v>889</v>
      </c>
      <c r="BH119" s="65">
        <f t="shared" si="269"/>
        <v>0.13789359391965256</v>
      </c>
      <c r="BI119" s="23">
        <v>538</v>
      </c>
      <c r="BJ119" s="65">
        <f t="shared" si="270"/>
        <v>9.418767507002801E-2</v>
      </c>
      <c r="BK119" s="23">
        <v>1206</v>
      </c>
      <c r="BL119" s="65">
        <f t="shared" si="271"/>
        <v>0.15977742448330684</v>
      </c>
      <c r="BM119" s="23">
        <v>843</v>
      </c>
      <c r="BN119" s="79">
        <f t="shared" si="272"/>
        <v>0.11547945205479453</v>
      </c>
      <c r="BO119" s="23">
        <v>818</v>
      </c>
      <c r="BP119" s="79">
        <f t="shared" si="273"/>
        <v>0.11699084668192219</v>
      </c>
      <c r="BQ119" s="23">
        <v>646</v>
      </c>
      <c r="BR119" s="65">
        <f t="shared" si="274"/>
        <v>9.1592230256628382E-2</v>
      </c>
      <c r="BS119" s="23">
        <v>668</v>
      </c>
      <c r="BT119" s="65">
        <f t="shared" si="275"/>
        <v>0.10144267274107821</v>
      </c>
      <c r="BU119" s="23">
        <v>718</v>
      </c>
      <c r="BV119" s="79">
        <f t="shared" si="276"/>
        <v>0.10624445102101214</v>
      </c>
      <c r="BW119" s="23">
        <v>759</v>
      </c>
      <c r="BX119" s="79">
        <f t="shared" si="277"/>
        <v>0.10521208760742999</v>
      </c>
      <c r="BY119" s="23">
        <v>1008</v>
      </c>
      <c r="BZ119" s="79">
        <f t="shared" si="278"/>
        <v>0.12475247524752475</v>
      </c>
      <c r="CA119" s="23">
        <v>879</v>
      </c>
      <c r="CB119" s="79">
        <f t="shared" si="279"/>
        <v>0.11651643690349947</v>
      </c>
      <c r="CC119" s="23">
        <v>945</v>
      </c>
      <c r="CD119" s="79">
        <f t="shared" si="280"/>
        <v>0.11531421598535692</v>
      </c>
      <c r="CE119" s="23">
        <v>1090</v>
      </c>
      <c r="CF119" s="79">
        <f t="shared" si="281"/>
        <v>0.15546997575238911</v>
      </c>
      <c r="CG119" s="23">
        <v>1148</v>
      </c>
      <c r="CH119" s="79">
        <f t="shared" si="282"/>
        <v>0.16098723881643529</v>
      </c>
      <c r="CI119" s="23">
        <v>899</v>
      </c>
      <c r="CJ119" s="79">
        <f t="shared" si="283"/>
        <v>0.1485704842174847</v>
      </c>
      <c r="CK119" s="23">
        <v>1006</v>
      </c>
      <c r="CL119" s="79">
        <f t="shared" si="284"/>
        <v>0.14195004938620009</v>
      </c>
      <c r="CM119" s="23">
        <v>1460</v>
      </c>
      <c r="CN119" s="79">
        <f t="shared" si="285"/>
        <v>0.1823632275793155</v>
      </c>
      <c r="CO119" s="23">
        <v>1227</v>
      </c>
      <c r="CP119" s="79">
        <f t="shared" si="286"/>
        <v>0.16833584853889422</v>
      </c>
      <c r="CQ119" s="23">
        <v>1094</v>
      </c>
      <c r="CR119" s="79">
        <f t="shared" si="287"/>
        <v>0.1269878119558909</v>
      </c>
      <c r="CS119" s="23">
        <v>1447</v>
      </c>
      <c r="CT119" s="79">
        <f t="shared" si="288"/>
        <v>0.14084095775744598</v>
      </c>
      <c r="CU119" s="23">
        <v>1306</v>
      </c>
      <c r="CV119" s="79">
        <f t="shared" si="289"/>
        <v>0.14033956587148078</v>
      </c>
      <c r="CW119" s="23">
        <v>1800</v>
      </c>
      <c r="CX119" s="79">
        <f t="shared" si="290"/>
        <v>0.17433414043583534</v>
      </c>
      <c r="CY119" s="23">
        <v>1998</v>
      </c>
      <c r="CZ119" s="79">
        <f t="shared" si="291"/>
        <v>0.17586480063374704</v>
      </c>
      <c r="DA119" s="23">
        <v>2071</v>
      </c>
      <c r="DB119" s="79">
        <f>DA119/$DA$115</f>
        <v>0.17350871313672922</v>
      </c>
      <c r="DC119" s="23">
        <v>528</v>
      </c>
      <c r="DD119" s="79">
        <f>DC119/DC$115</f>
        <v>7.6058772687986165E-2</v>
      </c>
      <c r="DE119" s="23">
        <v>980</v>
      </c>
      <c r="DF119" s="79">
        <f>DE119/DE$115</f>
        <v>0.15193798449612403</v>
      </c>
      <c r="DG119" s="23">
        <v>1631</v>
      </c>
      <c r="DH119" s="79">
        <f>DG119/DG$115</f>
        <v>0.21053310959080934</v>
      </c>
      <c r="DI119" s="23">
        <v>1334</v>
      </c>
      <c r="DJ119" s="79">
        <f>DI119/DI$115</f>
        <v>0.23715555555555556</v>
      </c>
      <c r="DK119" s="23">
        <v>932</v>
      </c>
      <c r="DL119" s="79">
        <f>DK119/DK$115</f>
        <v>0.13073362322906437</v>
      </c>
      <c r="DM119" s="23">
        <v>1459</v>
      </c>
      <c r="DN119" s="79">
        <f>DM119/DM$115</f>
        <v>0.2229523227383863</v>
      </c>
      <c r="DO119" s="23">
        <v>1125</v>
      </c>
      <c r="DP119" s="94">
        <f>DO119/DO$115</f>
        <v>0.20248380129589633</v>
      </c>
      <c r="DQ119" s="23">
        <v>1304</v>
      </c>
      <c r="DR119" s="94">
        <f>DQ119/DQ$115</f>
        <v>0.20030721966205836</v>
      </c>
      <c r="DS119" s="23">
        <v>1091</v>
      </c>
      <c r="DT119" s="94">
        <f>DS119/DS$115</f>
        <v>0.17899917965545528</v>
      </c>
      <c r="DU119" s="301"/>
      <c r="DV119" s="301"/>
      <c r="DW119" s="301"/>
      <c r="DX119" s="301"/>
      <c r="DY119" s="301"/>
      <c r="DZ119" s="301"/>
      <c r="EA119" s="301"/>
      <c r="EB119" s="301"/>
      <c r="EC119" s="301"/>
      <c r="ED119" s="301"/>
      <c r="EE119" s="301"/>
      <c r="EF119" s="301"/>
      <c r="EG119" s="301"/>
      <c r="EH119" s="301"/>
      <c r="EI119" s="301"/>
      <c r="EJ119" s="301"/>
      <c r="EK119" s="301"/>
      <c r="EL119" s="301"/>
      <c r="EM119" s="301"/>
      <c r="EN119" s="23">
        <v>804</v>
      </c>
      <c r="EO119" s="94">
        <f>EN119/EN$115</f>
        <v>0.11466058185966914</v>
      </c>
      <c r="EP119" s="23">
        <v>943</v>
      </c>
      <c r="EQ119" s="94">
        <f>EP119/EP$115</f>
        <v>0.14210367691380349</v>
      </c>
      <c r="ER119" s="23">
        <v>1228</v>
      </c>
      <c r="ES119" s="94">
        <f>ER119/ER$115</f>
        <v>0.18768149167048753</v>
      </c>
      <c r="ET119" s="23">
        <v>1146</v>
      </c>
      <c r="EU119" s="94">
        <f>ET119/ET$115</f>
        <v>0.14500822472478805</v>
      </c>
      <c r="EV119" s="23">
        <v>1146</v>
      </c>
      <c r="EW119" s="94">
        <f>EV119/EV$115</f>
        <v>0.14500822472478805</v>
      </c>
      <c r="EX119" s="23">
        <v>1457</v>
      </c>
      <c r="EY119" s="94">
        <f>EX119/EX$115</f>
        <v>0.18466413181242078</v>
      </c>
      <c r="EZ119" s="23">
        <v>2377</v>
      </c>
      <c r="FA119" s="94">
        <f>EZ119/EZ$115</f>
        <v>0.26752954417557684</v>
      </c>
      <c r="FB119" s="23">
        <v>1880</v>
      </c>
      <c r="FC119" s="94">
        <f>FB119/FB$115</f>
        <v>0.20501635768811341</v>
      </c>
      <c r="FD119" s="23">
        <v>935</v>
      </c>
      <c r="FE119" s="94">
        <f>FD119/FD$115</f>
        <v>0.1360593713620489</v>
      </c>
      <c r="FF119" s="23">
        <v>1502</v>
      </c>
      <c r="FG119" s="94">
        <f>FF119/FF$115</f>
        <v>0.17878823949529818</v>
      </c>
      <c r="FH119" s="23">
        <v>873</v>
      </c>
      <c r="FI119" s="94">
        <f>FH119/FH$115</f>
        <v>0.10897515915616028</v>
      </c>
      <c r="FJ119" s="23">
        <v>1418</v>
      </c>
      <c r="FK119" s="94">
        <f>FJ119/FJ$115</f>
        <v>0.18791412668963689</v>
      </c>
      <c r="FL119" s="23">
        <v>1530</v>
      </c>
      <c r="FM119" s="94">
        <f>FL119/FL$115</f>
        <v>0.21951219512195122</v>
      </c>
      <c r="FN119" s="23">
        <v>1094</v>
      </c>
      <c r="FO119" s="94">
        <f>FN119/FN$115</f>
        <v>0.16859300354445986</v>
      </c>
      <c r="FP119" s="23">
        <v>1144</v>
      </c>
      <c r="FQ119" s="94">
        <f>FP119/FP$115</f>
        <v>0.17799906643846272</v>
      </c>
      <c r="FR119" s="301"/>
      <c r="FS119" s="301"/>
      <c r="FT119" s="301"/>
      <c r="FU119" s="301"/>
      <c r="FV119" s="301"/>
      <c r="FW119" s="301"/>
      <c r="FX119" s="301"/>
      <c r="FY119" s="301"/>
      <c r="FZ119" s="301"/>
      <c r="GA119" s="301"/>
      <c r="GB119" s="301"/>
      <c r="GC119" s="301"/>
      <c r="GD119" s="301"/>
      <c r="GE119" s="301"/>
      <c r="GF119" s="304"/>
      <c r="GG119" s="304"/>
    </row>
    <row r="120" spans="1:189" ht="15" customHeight="1" outlineLevel="1" x14ac:dyDescent="0.3">
      <c r="A120" s="1"/>
      <c r="B120" s="301"/>
      <c r="C120" s="301"/>
      <c r="D120" s="301"/>
      <c r="E120" s="301"/>
      <c r="F120" s="301"/>
      <c r="G120" s="5" t="s">
        <v>104</v>
      </c>
      <c r="H120" s="5"/>
      <c r="I120" s="23">
        <f t="shared" si="250"/>
        <v>12177</v>
      </c>
      <c r="J120" s="65">
        <f t="shared" si="251"/>
        <v>0.11295394462223458</v>
      </c>
      <c r="K120" s="23">
        <v>2312</v>
      </c>
      <c r="L120" s="65">
        <v>2.6902887139107611E-3</v>
      </c>
      <c r="M120" s="23">
        <v>1083</v>
      </c>
      <c r="N120" s="65">
        <v>1.8448563647544584E-3</v>
      </c>
      <c r="O120" s="23">
        <v>1281</v>
      </c>
      <c r="P120" s="65">
        <v>3.9219104061356111E-3</v>
      </c>
      <c r="Q120" s="23">
        <v>1161</v>
      </c>
      <c r="R120" s="65">
        <v>4.1049437801177939E-3</v>
      </c>
      <c r="S120" s="23">
        <v>615</v>
      </c>
      <c r="T120" s="65">
        <v>3.854625550660793E-3</v>
      </c>
      <c r="U120" s="23">
        <v>685</v>
      </c>
      <c r="V120" s="65">
        <v>4.007739082365948E-3</v>
      </c>
      <c r="W120" s="23">
        <v>759</v>
      </c>
      <c r="X120" s="65">
        <v>5.1482932288752095E-3</v>
      </c>
      <c r="Y120" s="23">
        <v>1552</v>
      </c>
      <c r="Z120" s="65">
        <f t="shared" si="252"/>
        <v>0.1672594029529044</v>
      </c>
      <c r="AA120" s="23">
        <v>1122</v>
      </c>
      <c r="AB120" s="65">
        <f t="shared" si="253"/>
        <v>0.12050263129631618</v>
      </c>
      <c r="AC120" s="23">
        <v>1161</v>
      </c>
      <c r="AD120" s="65">
        <f t="shared" si="254"/>
        <v>0.11028783129096609</v>
      </c>
      <c r="AE120" s="23">
        <v>870</v>
      </c>
      <c r="AF120" s="65">
        <f t="shared" si="255"/>
        <v>0.11104020421186982</v>
      </c>
      <c r="AG120" s="23">
        <v>737</v>
      </c>
      <c r="AH120" s="65">
        <f t="shared" si="256"/>
        <v>9.8253566191174507E-2</v>
      </c>
      <c r="AI120" s="23">
        <v>732</v>
      </c>
      <c r="AJ120" s="65">
        <f t="shared" si="257"/>
        <v>8.7559808612440185E-2</v>
      </c>
      <c r="AK120" s="23">
        <v>808</v>
      </c>
      <c r="AL120" s="65">
        <f t="shared" si="258"/>
        <v>0.12176009644364075</v>
      </c>
      <c r="AM120" s="28">
        <v>623</v>
      </c>
      <c r="AN120" s="65">
        <f t="shared" si="259"/>
        <v>8.6014082562474115E-2</v>
      </c>
      <c r="AO120" s="23">
        <v>1644</v>
      </c>
      <c r="AP120" s="65">
        <f t="shared" si="260"/>
        <v>0.17994746059544658</v>
      </c>
      <c r="AQ120" s="23">
        <v>1587</v>
      </c>
      <c r="AR120" s="65">
        <f t="shared" si="261"/>
        <v>0.14070396311729763</v>
      </c>
      <c r="AS120" s="23">
        <v>1780</v>
      </c>
      <c r="AT120" s="65">
        <f t="shared" si="262"/>
        <v>0.18439863254946648</v>
      </c>
      <c r="AU120" s="23">
        <v>1387</v>
      </c>
      <c r="AV120" s="65">
        <f t="shared" si="263"/>
        <v>0.14027103559870549</v>
      </c>
      <c r="AW120" s="23">
        <v>616</v>
      </c>
      <c r="AX120" s="65">
        <f t="shared" si="264"/>
        <v>9.1530460624071316E-2</v>
      </c>
      <c r="AY120" s="23">
        <v>573</v>
      </c>
      <c r="AZ120" s="65">
        <f t="shared" si="265"/>
        <v>0.11036209553158706</v>
      </c>
      <c r="BA120" s="23">
        <v>612</v>
      </c>
      <c r="BB120" s="65">
        <f t="shared" si="266"/>
        <v>0.11726384364820847</v>
      </c>
      <c r="BC120" s="23">
        <v>892</v>
      </c>
      <c r="BD120" s="65">
        <f t="shared" si="267"/>
        <v>0.17114351496546432</v>
      </c>
      <c r="BE120" s="23">
        <v>919</v>
      </c>
      <c r="BF120" s="65">
        <f t="shared" si="268"/>
        <v>0.13639062036212526</v>
      </c>
      <c r="BG120" s="23">
        <v>716</v>
      </c>
      <c r="BH120" s="65">
        <f t="shared" si="269"/>
        <v>0.11105940747634559</v>
      </c>
      <c r="BI120" s="23">
        <v>470</v>
      </c>
      <c r="BJ120" s="65">
        <f t="shared" si="270"/>
        <v>8.2282913165266106E-2</v>
      </c>
      <c r="BK120" s="23">
        <v>786</v>
      </c>
      <c r="BL120" s="65">
        <f t="shared" si="271"/>
        <v>0.1041335453100159</v>
      </c>
      <c r="BM120" s="23">
        <v>709</v>
      </c>
      <c r="BN120" s="79">
        <f t="shared" si="272"/>
        <v>9.7123287671232877E-2</v>
      </c>
      <c r="BO120" s="23">
        <v>814</v>
      </c>
      <c r="BP120" s="79">
        <f t="shared" si="273"/>
        <v>0.1164187643020595</v>
      </c>
      <c r="BQ120" s="23">
        <v>577</v>
      </c>
      <c r="BR120" s="65">
        <f t="shared" si="274"/>
        <v>8.180915922302566E-2</v>
      </c>
      <c r="BS120" s="23">
        <v>472</v>
      </c>
      <c r="BT120" s="65">
        <f t="shared" si="275"/>
        <v>7.1678056188306763E-2</v>
      </c>
      <c r="BU120" s="23">
        <v>651</v>
      </c>
      <c r="BV120" s="79">
        <f t="shared" si="276"/>
        <v>9.6330275229357804E-2</v>
      </c>
      <c r="BW120" s="23">
        <v>524</v>
      </c>
      <c r="BX120" s="79">
        <f t="shared" si="277"/>
        <v>7.2636540060992516E-2</v>
      </c>
      <c r="BY120" s="23">
        <v>901</v>
      </c>
      <c r="BZ120" s="79">
        <f t="shared" si="278"/>
        <v>0.11150990099009901</v>
      </c>
      <c r="CA120" s="23">
        <v>1049</v>
      </c>
      <c r="CB120" s="79">
        <f t="shared" si="279"/>
        <v>0.13905090137857901</v>
      </c>
      <c r="CC120" s="23">
        <v>1050</v>
      </c>
      <c r="CD120" s="79">
        <f t="shared" si="280"/>
        <v>0.12812690665039658</v>
      </c>
      <c r="CE120" s="23">
        <v>1680</v>
      </c>
      <c r="CF120" s="79">
        <f t="shared" si="281"/>
        <v>0.2396234488660676</v>
      </c>
      <c r="CG120" s="23">
        <v>1323</v>
      </c>
      <c r="CH120" s="79">
        <f t="shared" si="282"/>
        <v>0.18552797644089189</v>
      </c>
      <c r="CI120" s="23">
        <v>1454</v>
      </c>
      <c r="CJ120" s="79">
        <f t="shared" si="283"/>
        <v>0.24029086101470831</v>
      </c>
      <c r="CK120" s="23">
        <v>1351</v>
      </c>
      <c r="CL120" s="79">
        <f t="shared" si="284"/>
        <v>0.19063073232679553</v>
      </c>
      <c r="CM120" s="23">
        <v>1698</v>
      </c>
      <c r="CN120" s="79">
        <f t="shared" si="285"/>
        <v>0.21209093180114913</v>
      </c>
      <c r="CO120" s="23">
        <v>1349</v>
      </c>
      <c r="CP120" s="79">
        <f t="shared" si="286"/>
        <v>0.18507339827136782</v>
      </c>
      <c r="CQ120" s="23">
        <v>2256</v>
      </c>
      <c r="CR120" s="79">
        <f t="shared" si="287"/>
        <v>0.26186883343006384</v>
      </c>
      <c r="CS120" s="23">
        <v>3242</v>
      </c>
      <c r="CT120" s="79">
        <f t="shared" si="288"/>
        <v>0.31555382518979952</v>
      </c>
      <c r="CU120" s="23">
        <v>2499</v>
      </c>
      <c r="CV120" s="79">
        <f t="shared" si="289"/>
        <v>0.26853642811089617</v>
      </c>
      <c r="CW120" s="23">
        <v>2276</v>
      </c>
      <c r="CX120" s="79">
        <f t="shared" si="290"/>
        <v>0.2204358353510896</v>
      </c>
      <c r="CY120" s="23">
        <v>2323</v>
      </c>
      <c r="CZ120" s="79">
        <f t="shared" si="291"/>
        <v>0.20447143737347065</v>
      </c>
      <c r="DA120" s="23">
        <v>2407</v>
      </c>
      <c r="DB120" s="79">
        <f>DA120/$DA$115</f>
        <v>0.20165884718498658</v>
      </c>
      <c r="DC120" s="23">
        <v>334</v>
      </c>
      <c r="DD120" s="79">
        <f>DC120/DC$115</f>
        <v>4.811293575338519E-2</v>
      </c>
      <c r="DE120" s="23">
        <v>493</v>
      </c>
      <c r="DF120" s="79">
        <f>DE120/DE$115</f>
        <v>7.6434108527131783E-2</v>
      </c>
      <c r="DG120" s="23">
        <v>915</v>
      </c>
      <c r="DH120" s="79">
        <f>DG120/DG$115</f>
        <v>0.11811023622047244</v>
      </c>
      <c r="DI120" s="23">
        <v>534</v>
      </c>
      <c r="DJ120" s="79">
        <f>DI120/DI$115</f>
        <v>9.4933333333333328E-2</v>
      </c>
      <c r="DK120" s="23">
        <v>409</v>
      </c>
      <c r="DL120" s="79">
        <f>DK120/DK$115</f>
        <v>5.7371300322625891E-2</v>
      </c>
      <c r="DM120" s="23">
        <v>551</v>
      </c>
      <c r="DN120" s="79">
        <f>DM120/DM$115</f>
        <v>8.4199266503667478E-2</v>
      </c>
      <c r="DO120" s="23">
        <v>551</v>
      </c>
      <c r="DP120" s="94">
        <f>DO120/DO$115</f>
        <v>9.917206623470122E-2</v>
      </c>
      <c r="DQ120" s="23">
        <v>434</v>
      </c>
      <c r="DR120" s="94">
        <f>DQ120/DQ$115</f>
        <v>6.6666666666666666E-2</v>
      </c>
      <c r="DS120" s="23">
        <v>395</v>
      </c>
      <c r="DT120" s="94">
        <f>DS120/DS$115</f>
        <v>6.4807219031993435E-2</v>
      </c>
      <c r="DU120" s="302"/>
      <c r="DV120" s="302"/>
      <c r="DW120" s="302"/>
      <c r="DX120" s="302"/>
      <c r="DY120" s="302"/>
      <c r="DZ120" s="302"/>
      <c r="EA120" s="302"/>
      <c r="EB120" s="302"/>
      <c r="EC120" s="302"/>
      <c r="ED120" s="302"/>
      <c r="EE120" s="302"/>
      <c r="EF120" s="302"/>
      <c r="EG120" s="302"/>
      <c r="EH120" s="302"/>
      <c r="EI120" s="302"/>
      <c r="EJ120" s="302"/>
      <c r="EK120" s="302"/>
      <c r="EL120" s="302"/>
      <c r="EM120" s="302"/>
      <c r="EN120" s="23">
        <v>291</v>
      </c>
      <c r="EO120" s="94">
        <f>EN120/EN$115</f>
        <v>4.1500285225328011E-2</v>
      </c>
      <c r="EP120" s="23">
        <v>289</v>
      </c>
      <c r="EQ120" s="94">
        <f>EP120/EP$115</f>
        <v>4.3550331525015071E-2</v>
      </c>
      <c r="ER120" s="23">
        <v>653</v>
      </c>
      <c r="ES120" s="94">
        <f>ER120/ER$115</f>
        <v>9.9801314381782052E-2</v>
      </c>
      <c r="ET120" s="23">
        <v>1669</v>
      </c>
      <c r="EU120" s="94">
        <f>ET120/ET$115</f>
        <v>0.21118562571175503</v>
      </c>
      <c r="EV120" s="23">
        <v>1669</v>
      </c>
      <c r="EW120" s="94">
        <f>EV120/EV$115</f>
        <v>0.21118562571175503</v>
      </c>
      <c r="EX120" s="23">
        <v>2283</v>
      </c>
      <c r="EY120" s="94">
        <f>EX120/EX$115</f>
        <v>0.28935361216730038</v>
      </c>
      <c r="EZ120" s="23">
        <v>2712</v>
      </c>
      <c r="FA120" s="94">
        <f>EZ120/EZ$115</f>
        <v>0.30523353967360722</v>
      </c>
      <c r="FB120" s="23">
        <v>2219</v>
      </c>
      <c r="FC120" s="94">
        <f>FB120/FB$115</f>
        <v>0.24198473282442748</v>
      </c>
      <c r="FD120" s="23">
        <v>456</v>
      </c>
      <c r="FE120" s="94">
        <f>FD120/FD$115</f>
        <v>6.6356228172293363E-2</v>
      </c>
      <c r="FF120" s="23">
        <v>718</v>
      </c>
      <c r="FG120" s="94">
        <f>FF120/FF$115</f>
        <v>8.5466015950482088E-2</v>
      </c>
      <c r="FH120" s="23">
        <v>481</v>
      </c>
      <c r="FI120" s="94">
        <f>FH120/FH$115</f>
        <v>6.004244164274123E-2</v>
      </c>
      <c r="FJ120" s="23">
        <v>877</v>
      </c>
      <c r="FK120" s="94">
        <f>FJ120/FJ$115</f>
        <v>0.11622051417969785</v>
      </c>
      <c r="FL120" s="23">
        <v>899</v>
      </c>
      <c r="FM120" s="94">
        <f>FL120/FL$115</f>
        <v>0.12898134863701577</v>
      </c>
      <c r="FN120" s="23">
        <v>603</v>
      </c>
      <c r="FO120" s="94">
        <f>FN120/FN$115</f>
        <v>9.2926490984743412E-2</v>
      </c>
      <c r="FP120" s="23">
        <v>967</v>
      </c>
      <c r="FQ120" s="94">
        <f>FP120/FP$115</f>
        <v>0.15045900108915514</v>
      </c>
      <c r="FR120" s="302"/>
      <c r="FS120" s="302"/>
      <c r="FT120" s="302"/>
      <c r="FU120" s="302"/>
      <c r="FV120" s="302"/>
      <c r="FW120" s="302"/>
      <c r="FX120" s="302"/>
      <c r="FY120" s="302"/>
      <c r="FZ120" s="302"/>
      <c r="GA120" s="302"/>
      <c r="GB120" s="302"/>
      <c r="GC120" s="302"/>
      <c r="GD120" s="302"/>
      <c r="GE120" s="302"/>
      <c r="GF120" s="305"/>
      <c r="GG120" s="305"/>
    </row>
    <row r="121" spans="1:189" ht="15" customHeight="1" outlineLevel="1" x14ac:dyDescent="0.3">
      <c r="A121" s="80"/>
      <c r="B121" s="301"/>
      <c r="C121" s="301"/>
      <c r="D121" s="301"/>
      <c r="E121" s="301"/>
      <c r="F121" s="301"/>
      <c r="G121" s="71" t="s">
        <v>105</v>
      </c>
      <c r="H121" s="71"/>
      <c r="I121" s="81"/>
      <c r="J121" s="82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2"/>
      <c r="W121" s="81"/>
      <c r="X121" s="82"/>
      <c r="Y121" s="81"/>
      <c r="Z121" s="82"/>
      <c r="AA121" s="81"/>
      <c r="AB121" s="82"/>
      <c r="AC121" s="81"/>
      <c r="AD121" s="82"/>
      <c r="AE121" s="81"/>
      <c r="AF121" s="82"/>
      <c r="AG121" s="81"/>
      <c r="AH121" s="82"/>
      <c r="AI121" s="81"/>
      <c r="AJ121" s="82"/>
      <c r="AK121" s="81"/>
      <c r="AL121" s="82"/>
      <c r="AM121" s="81"/>
      <c r="AN121" s="82"/>
      <c r="AO121" s="81"/>
      <c r="AP121" s="82"/>
      <c r="AQ121" s="81"/>
      <c r="AR121" s="82"/>
      <c r="AS121" s="81"/>
      <c r="AT121" s="82"/>
      <c r="AU121" s="81"/>
      <c r="AV121" s="82"/>
      <c r="AW121" s="81"/>
      <c r="AX121" s="82"/>
      <c r="AY121" s="81"/>
      <c r="AZ121" s="82"/>
      <c r="BA121" s="81"/>
      <c r="BB121" s="82"/>
      <c r="BC121" s="81"/>
      <c r="BD121" s="82"/>
      <c r="BE121" s="81"/>
      <c r="BF121" s="82"/>
      <c r="BG121" s="81"/>
      <c r="BH121" s="82"/>
      <c r="BI121" s="81"/>
      <c r="BJ121" s="82"/>
      <c r="BK121" s="81"/>
      <c r="BL121" s="82"/>
      <c r="BM121" s="81"/>
      <c r="BN121" s="82"/>
      <c r="BO121" s="81"/>
      <c r="BP121" s="82"/>
      <c r="BQ121" s="81"/>
      <c r="BR121" s="82"/>
      <c r="BS121" s="81"/>
      <c r="BT121" s="82"/>
      <c r="BU121" s="81"/>
      <c r="BV121" s="82"/>
      <c r="BW121" s="81"/>
      <c r="BX121" s="82"/>
      <c r="BY121" s="81"/>
      <c r="BZ121" s="82"/>
      <c r="CA121" s="81"/>
      <c r="CB121" s="82"/>
      <c r="CC121" s="81"/>
      <c r="CD121" s="82"/>
      <c r="CE121" s="81"/>
      <c r="CF121" s="82"/>
      <c r="CG121" s="81"/>
      <c r="CH121" s="82"/>
      <c r="CI121" s="81"/>
      <c r="CJ121" s="82"/>
      <c r="CK121" s="81"/>
      <c r="CL121" s="82"/>
      <c r="CM121" s="81"/>
      <c r="CN121" s="82"/>
      <c r="CO121" s="81"/>
      <c r="CP121" s="82"/>
      <c r="CQ121" s="81"/>
      <c r="CR121" s="82"/>
      <c r="CS121" s="81"/>
      <c r="CT121" s="82"/>
      <c r="CU121" s="81"/>
      <c r="CV121" s="82"/>
      <c r="CW121" s="81"/>
      <c r="CX121" s="82"/>
      <c r="CY121" s="81"/>
      <c r="CZ121" s="82"/>
      <c r="DA121" s="81"/>
      <c r="DB121" s="82"/>
      <c r="DC121" s="81"/>
      <c r="DD121" s="82"/>
      <c r="DE121" s="81"/>
      <c r="DF121" s="82"/>
      <c r="DG121" s="81"/>
      <c r="DH121" s="82"/>
      <c r="DI121" s="81"/>
      <c r="DJ121" s="82"/>
      <c r="DK121" s="81"/>
      <c r="DL121" s="82"/>
      <c r="DM121" s="81"/>
      <c r="DN121" s="82"/>
      <c r="DO121" s="81"/>
      <c r="DP121" s="82"/>
      <c r="DQ121" s="81"/>
      <c r="DR121" s="82"/>
      <c r="DS121" s="81"/>
      <c r="DT121" s="82"/>
      <c r="DU121" s="83"/>
      <c r="DV121" s="83"/>
      <c r="DW121" s="83"/>
      <c r="DX121" s="83"/>
      <c r="DY121" s="83"/>
      <c r="DZ121" s="83"/>
      <c r="EA121" s="83"/>
      <c r="EB121" s="83"/>
      <c r="EC121" s="83"/>
      <c r="ED121" s="83"/>
      <c r="EE121" s="83"/>
      <c r="EF121" s="83"/>
      <c r="EG121" s="83"/>
      <c r="EH121" s="83"/>
      <c r="EI121" s="83"/>
      <c r="EJ121" s="83"/>
      <c r="EK121" s="83"/>
      <c r="EL121" s="83"/>
      <c r="EM121" s="83"/>
      <c r="EN121" s="81"/>
      <c r="EO121" s="82"/>
      <c r="EP121" s="81"/>
      <c r="EQ121" s="82"/>
      <c r="ER121" s="81"/>
      <c r="ES121" s="82"/>
      <c r="ET121" s="81"/>
      <c r="EU121" s="82"/>
      <c r="EV121" s="81"/>
      <c r="EW121" s="82"/>
      <c r="EX121" s="81"/>
      <c r="EY121" s="82"/>
      <c r="EZ121" s="81"/>
      <c r="FA121" s="82"/>
      <c r="FB121" s="81"/>
      <c r="FC121" s="82"/>
      <c r="FD121" s="81"/>
      <c r="FE121" s="82"/>
      <c r="FF121" s="81"/>
      <c r="FG121" s="82"/>
      <c r="FH121" s="81"/>
      <c r="FI121" s="82"/>
      <c r="FJ121" s="81"/>
      <c r="FK121" s="82"/>
      <c r="FL121" s="81"/>
      <c r="FM121" s="82"/>
      <c r="FN121" s="81"/>
      <c r="FO121" s="82"/>
      <c r="FP121" s="81"/>
      <c r="FQ121" s="82"/>
      <c r="FR121" s="83"/>
      <c r="FS121" s="83"/>
      <c r="FT121" s="83"/>
      <c r="FU121" s="83"/>
      <c r="FV121" s="83"/>
      <c r="FW121" s="83"/>
      <c r="FX121" s="83"/>
      <c r="FY121" s="83"/>
      <c r="FZ121" s="83"/>
      <c r="GA121" s="83"/>
      <c r="GB121" s="83"/>
      <c r="GC121" s="83"/>
      <c r="GD121" s="83"/>
      <c r="GE121" s="83"/>
      <c r="GF121" s="83"/>
      <c r="GG121" s="83"/>
    </row>
    <row r="122" spans="1:189" ht="11.25" customHeight="1" outlineLevel="1" x14ac:dyDescent="0.3">
      <c r="A122" s="80"/>
      <c r="B122" s="302"/>
      <c r="C122" s="302"/>
      <c r="D122" s="302"/>
      <c r="E122" s="302"/>
      <c r="F122" s="302"/>
      <c r="G122" s="71" t="s">
        <v>106</v>
      </c>
      <c r="H122" s="71"/>
      <c r="I122" s="374"/>
      <c r="J122" s="281"/>
      <c r="K122" s="374"/>
      <c r="L122" s="281"/>
      <c r="M122" s="374"/>
      <c r="N122" s="281"/>
      <c r="O122" s="374"/>
      <c r="P122" s="281"/>
      <c r="Q122" s="374"/>
      <c r="R122" s="281"/>
      <c r="S122" s="374"/>
      <c r="T122" s="281"/>
      <c r="U122" s="374"/>
      <c r="V122" s="281"/>
      <c r="W122" s="374"/>
      <c r="X122" s="281"/>
      <c r="Y122" s="374"/>
      <c r="Z122" s="281"/>
      <c r="AA122" s="374"/>
      <c r="AB122" s="281"/>
      <c r="AC122" s="374"/>
      <c r="AD122" s="281"/>
      <c r="AE122" s="374"/>
      <c r="AF122" s="281"/>
      <c r="AG122" s="374"/>
      <c r="AH122" s="281"/>
      <c r="AI122" s="374"/>
      <c r="AJ122" s="281"/>
      <c r="AK122" s="374"/>
      <c r="AL122" s="281"/>
      <c r="AM122" s="374"/>
      <c r="AN122" s="281"/>
      <c r="AO122" s="374"/>
      <c r="AP122" s="281"/>
      <c r="AQ122" s="374"/>
      <c r="AR122" s="281"/>
      <c r="AS122" s="374"/>
      <c r="AT122" s="281"/>
      <c r="AU122" s="374"/>
      <c r="AV122" s="281"/>
      <c r="AW122" s="374"/>
      <c r="AX122" s="281"/>
      <c r="AY122" s="374"/>
      <c r="AZ122" s="281"/>
      <c r="BA122" s="374"/>
      <c r="BB122" s="281"/>
      <c r="BC122" s="374"/>
      <c r="BD122" s="281"/>
      <c r="BE122" s="374"/>
      <c r="BF122" s="281"/>
      <c r="BG122" s="374"/>
      <c r="BH122" s="281"/>
      <c r="BI122" s="374"/>
      <c r="BJ122" s="281"/>
      <c r="BK122" s="374"/>
      <c r="BL122" s="281"/>
      <c r="BM122" s="374"/>
      <c r="BN122" s="281"/>
      <c r="BO122" s="374"/>
      <c r="BP122" s="281"/>
      <c r="BQ122" s="374"/>
      <c r="BR122" s="281"/>
      <c r="BS122" s="374"/>
      <c r="BT122" s="281"/>
      <c r="BU122" s="374"/>
      <c r="BV122" s="281"/>
      <c r="BW122" s="374"/>
      <c r="BX122" s="281"/>
      <c r="BY122" s="374"/>
      <c r="BZ122" s="281"/>
      <c r="CA122" s="374"/>
      <c r="CB122" s="281"/>
      <c r="CC122" s="374"/>
      <c r="CD122" s="281"/>
      <c r="CE122" s="374"/>
      <c r="CF122" s="281"/>
      <c r="CG122" s="374"/>
      <c r="CH122" s="281"/>
      <c r="CI122" s="374"/>
      <c r="CJ122" s="281"/>
      <c r="CK122" s="374"/>
      <c r="CL122" s="281"/>
      <c r="CM122" s="374"/>
      <c r="CN122" s="281"/>
      <c r="CO122" s="374"/>
      <c r="CP122" s="281"/>
      <c r="CQ122" s="374"/>
      <c r="CR122" s="281"/>
      <c r="CS122" s="374"/>
      <c r="CT122" s="281"/>
      <c r="CU122" s="374"/>
      <c r="CV122" s="281"/>
      <c r="CW122" s="374"/>
      <c r="CX122" s="281"/>
      <c r="CY122" s="374"/>
      <c r="CZ122" s="281"/>
      <c r="DA122" s="374"/>
      <c r="DB122" s="281"/>
      <c r="DC122" s="374"/>
      <c r="DD122" s="281"/>
      <c r="DE122" s="374"/>
      <c r="DF122" s="281"/>
      <c r="DG122" s="374"/>
      <c r="DH122" s="281"/>
      <c r="DI122" s="374"/>
      <c r="DJ122" s="281"/>
      <c r="DK122" s="374"/>
      <c r="DL122" s="281"/>
      <c r="DM122" s="374"/>
      <c r="DN122" s="281"/>
      <c r="DO122" s="374"/>
      <c r="DP122" s="281"/>
      <c r="DQ122" s="374"/>
      <c r="DR122" s="281"/>
      <c r="DS122" s="374"/>
      <c r="DT122" s="281"/>
      <c r="DU122" s="83"/>
      <c r="DV122" s="8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  <c r="EL122" s="83"/>
      <c r="EM122" s="83"/>
      <c r="EN122" s="374"/>
      <c r="EO122" s="281"/>
      <c r="EP122" s="374"/>
      <c r="EQ122" s="281"/>
      <c r="ER122" s="374"/>
      <c r="ES122" s="281"/>
      <c r="ET122" s="374"/>
      <c r="EU122" s="281"/>
      <c r="EV122" s="374"/>
      <c r="EW122" s="281"/>
      <c r="EX122" s="374"/>
      <c r="EY122" s="281"/>
      <c r="EZ122" s="374"/>
      <c r="FA122" s="281"/>
      <c r="FB122" s="374"/>
      <c r="FC122" s="281"/>
      <c r="FD122" s="374"/>
      <c r="FE122" s="281"/>
      <c r="FF122" s="374"/>
      <c r="FG122" s="281"/>
      <c r="FH122" s="374"/>
      <c r="FI122" s="281"/>
      <c r="FJ122" s="374"/>
      <c r="FK122" s="281"/>
      <c r="FL122" s="374"/>
      <c r="FM122" s="281"/>
      <c r="FN122" s="374"/>
      <c r="FO122" s="281"/>
      <c r="FP122" s="374"/>
      <c r="FQ122" s="281"/>
      <c r="FR122" s="83"/>
      <c r="FS122" s="83"/>
      <c r="FT122" s="83"/>
      <c r="FU122" s="83"/>
      <c r="FV122" s="83"/>
      <c r="FW122" s="83"/>
      <c r="FX122" s="83"/>
      <c r="FY122" s="83"/>
      <c r="FZ122" s="83"/>
      <c r="GA122" s="83"/>
      <c r="GB122" s="83"/>
      <c r="GC122" s="83"/>
      <c r="GD122" s="83"/>
      <c r="GE122" s="83"/>
      <c r="GF122" s="83"/>
      <c r="GG122" s="83"/>
    </row>
    <row r="123" spans="1:189" ht="8.25" customHeight="1" x14ac:dyDescent="0.3">
      <c r="A123" s="1"/>
      <c r="B123" s="18"/>
      <c r="C123" s="18"/>
      <c r="D123" s="18"/>
      <c r="E123" s="18"/>
      <c r="F123" s="18"/>
      <c r="G123" s="3"/>
      <c r="H123" s="3"/>
      <c r="I123" s="19"/>
      <c r="J123" s="20"/>
      <c r="K123" s="19"/>
      <c r="L123" s="20"/>
      <c r="M123" s="19"/>
      <c r="N123" s="20"/>
      <c r="O123" s="19"/>
      <c r="P123" s="20"/>
      <c r="Q123" s="19"/>
      <c r="R123" s="20"/>
      <c r="S123" s="19"/>
      <c r="T123" s="20"/>
      <c r="U123" s="19"/>
      <c r="V123" s="20"/>
      <c r="W123" s="19"/>
      <c r="X123" s="20"/>
      <c r="Y123" s="19"/>
      <c r="Z123" s="20"/>
      <c r="AA123" s="19"/>
      <c r="AB123" s="20"/>
      <c r="AC123" s="19"/>
      <c r="AD123" s="20"/>
      <c r="AE123" s="19"/>
      <c r="AF123" s="20"/>
      <c r="AG123" s="19"/>
      <c r="AH123" s="20"/>
      <c r="AI123" s="19"/>
      <c r="AJ123" s="20"/>
      <c r="AK123" s="19"/>
      <c r="AL123" s="20"/>
      <c r="AM123" s="19"/>
      <c r="AN123" s="20"/>
      <c r="AO123" s="19"/>
      <c r="AP123" s="20"/>
      <c r="AQ123" s="19"/>
      <c r="AR123" s="20"/>
      <c r="AS123" s="19"/>
      <c r="AT123" s="20"/>
      <c r="AU123" s="19"/>
      <c r="AV123" s="20"/>
      <c r="AW123" s="19"/>
      <c r="AX123" s="20"/>
      <c r="AY123" s="19"/>
      <c r="AZ123" s="20"/>
      <c r="BA123" s="19"/>
      <c r="BB123" s="20"/>
      <c r="BC123" s="19"/>
      <c r="BD123" s="20"/>
      <c r="BE123" s="19"/>
      <c r="BF123" s="20"/>
      <c r="BG123" s="19"/>
      <c r="BH123" s="20"/>
      <c r="BI123" s="19"/>
      <c r="BJ123" s="20"/>
      <c r="BK123" s="19"/>
      <c r="BL123" s="20"/>
      <c r="BM123" s="19"/>
      <c r="BN123" s="20"/>
      <c r="BO123" s="19"/>
      <c r="BP123" s="20"/>
      <c r="BQ123" s="19"/>
      <c r="BR123" s="20"/>
      <c r="BS123" s="19"/>
      <c r="BT123" s="20"/>
      <c r="BU123" s="19"/>
      <c r="BV123" s="20"/>
      <c r="BW123" s="19"/>
      <c r="BX123" s="20"/>
      <c r="BY123" s="19"/>
      <c r="BZ123" s="20"/>
      <c r="CA123" s="19"/>
      <c r="CB123" s="20"/>
      <c r="CC123" s="19"/>
      <c r="CD123" s="20"/>
      <c r="CE123" s="19"/>
      <c r="CF123" s="20"/>
      <c r="CG123" s="19"/>
      <c r="CH123" s="20"/>
      <c r="CI123" s="19"/>
      <c r="CJ123" s="20"/>
      <c r="CK123" s="19"/>
      <c r="CL123" s="20"/>
      <c r="CM123" s="19"/>
      <c r="CN123" s="20"/>
      <c r="CO123" s="19"/>
      <c r="CP123" s="20"/>
      <c r="CQ123" s="19"/>
      <c r="CR123" s="20"/>
      <c r="CS123" s="19"/>
      <c r="CT123" s="20"/>
      <c r="CU123" s="19"/>
      <c r="CV123" s="20"/>
      <c r="CW123" s="19"/>
      <c r="CX123" s="20"/>
      <c r="CY123" s="19"/>
      <c r="CZ123" s="20"/>
      <c r="DA123" s="19"/>
      <c r="DB123" s="20"/>
      <c r="DC123" s="19"/>
      <c r="DD123" s="20"/>
      <c r="DE123" s="19"/>
      <c r="DF123" s="20"/>
      <c r="DG123" s="19"/>
      <c r="DH123" s="20"/>
      <c r="DI123" s="19"/>
      <c r="DJ123" s="20"/>
      <c r="DK123" s="19"/>
      <c r="DL123" s="20"/>
      <c r="DM123" s="19"/>
      <c r="DN123" s="20"/>
      <c r="DO123" s="19"/>
      <c r="DP123" s="20"/>
      <c r="DQ123" s="19"/>
      <c r="DR123" s="20"/>
      <c r="DS123" s="19"/>
      <c r="DT123" s="20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19"/>
      <c r="EO123" s="20"/>
      <c r="EP123" s="19"/>
      <c r="EQ123" s="20"/>
      <c r="ER123" s="19"/>
      <c r="ES123" s="20"/>
      <c r="ET123" s="19"/>
      <c r="EU123" s="20"/>
      <c r="EV123" s="19"/>
      <c r="EW123" s="20"/>
      <c r="EX123" s="19"/>
      <c r="EY123" s="20"/>
      <c r="EZ123" s="19"/>
      <c r="FA123" s="20"/>
      <c r="FB123" s="19"/>
      <c r="FC123" s="20"/>
      <c r="FD123" s="19"/>
      <c r="FE123" s="20"/>
      <c r="FF123" s="19"/>
      <c r="FG123" s="20"/>
      <c r="FH123" s="19"/>
      <c r="FI123" s="20"/>
      <c r="FJ123" s="19"/>
      <c r="FK123" s="20"/>
      <c r="FL123" s="19"/>
      <c r="FM123" s="20"/>
      <c r="FN123" s="19"/>
      <c r="FO123" s="20"/>
      <c r="FP123" s="19"/>
      <c r="FQ123" s="20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</row>
    <row r="124" spans="1:189" ht="15" customHeight="1" x14ac:dyDescent="0.3">
      <c r="A124" s="63"/>
      <c r="B124" s="313" t="s">
        <v>107</v>
      </c>
      <c r="C124" s="313" t="s">
        <v>85</v>
      </c>
      <c r="D124" s="313" t="s">
        <v>96</v>
      </c>
      <c r="E124" s="313" t="s">
        <v>97</v>
      </c>
      <c r="F124" s="313" t="s">
        <v>27</v>
      </c>
      <c r="G124" s="71" t="s">
        <v>28</v>
      </c>
      <c r="H124" s="5"/>
      <c r="I124" s="283"/>
      <c r="J124" s="281"/>
      <c r="K124" s="283"/>
      <c r="L124" s="281"/>
      <c r="M124" s="283"/>
      <c r="N124" s="281"/>
      <c r="O124" s="283"/>
      <c r="P124" s="281"/>
      <c r="Q124" s="283"/>
      <c r="R124" s="281"/>
      <c r="S124" s="283"/>
      <c r="T124" s="281"/>
      <c r="U124" s="283"/>
      <c r="V124" s="281"/>
      <c r="W124" s="283"/>
      <c r="X124" s="281"/>
      <c r="Y124" s="283"/>
      <c r="Z124" s="281"/>
      <c r="AA124" s="283"/>
      <c r="AB124" s="281"/>
      <c r="AC124" s="283"/>
      <c r="AD124" s="281"/>
      <c r="AE124" s="283"/>
      <c r="AF124" s="281"/>
      <c r="AG124" s="283"/>
      <c r="AH124" s="281"/>
      <c r="AI124" s="283"/>
      <c r="AJ124" s="281"/>
      <c r="AK124" s="283"/>
      <c r="AL124" s="281"/>
      <c r="AM124" s="283"/>
      <c r="AN124" s="281"/>
      <c r="AO124" s="283"/>
      <c r="AP124" s="281"/>
      <c r="AQ124" s="283"/>
      <c r="AR124" s="281"/>
      <c r="AS124" s="283"/>
      <c r="AT124" s="281"/>
      <c r="AU124" s="283"/>
      <c r="AV124" s="281"/>
      <c r="AW124" s="283"/>
      <c r="AX124" s="281"/>
      <c r="AY124" s="283"/>
      <c r="AZ124" s="281"/>
      <c r="BA124" s="283"/>
      <c r="BB124" s="281"/>
      <c r="BC124" s="283"/>
      <c r="BD124" s="281"/>
      <c r="BE124" s="283"/>
      <c r="BF124" s="281"/>
      <c r="BG124" s="283"/>
      <c r="BH124" s="281"/>
      <c r="BI124" s="283"/>
      <c r="BJ124" s="281"/>
      <c r="BK124" s="283"/>
      <c r="BL124" s="281"/>
      <c r="BM124" s="283"/>
      <c r="BN124" s="281"/>
      <c r="BO124" s="283"/>
      <c r="BP124" s="281"/>
      <c r="BQ124" s="283"/>
      <c r="BR124" s="281"/>
      <c r="BS124" s="283"/>
      <c r="BT124" s="281"/>
      <c r="BU124" s="283"/>
      <c r="BV124" s="281"/>
      <c r="BW124" s="283"/>
      <c r="BX124" s="281"/>
      <c r="BY124" s="283"/>
      <c r="BZ124" s="281"/>
      <c r="CA124" s="283"/>
      <c r="CB124" s="281"/>
      <c r="CC124" s="283"/>
      <c r="CD124" s="281"/>
      <c r="CE124" s="283"/>
      <c r="CF124" s="281"/>
      <c r="CG124" s="283"/>
      <c r="CH124" s="281"/>
      <c r="CI124" s="283"/>
      <c r="CJ124" s="281"/>
      <c r="CK124" s="283"/>
      <c r="CL124" s="281"/>
      <c r="CM124" s="283"/>
      <c r="CN124" s="281"/>
      <c r="CO124" s="283"/>
      <c r="CP124" s="281"/>
      <c r="CQ124" s="283"/>
      <c r="CR124" s="281"/>
      <c r="CS124" s="283"/>
      <c r="CT124" s="281"/>
      <c r="CU124" s="283"/>
      <c r="CV124" s="281"/>
      <c r="CW124" s="283"/>
      <c r="CX124" s="281"/>
      <c r="CY124" s="283"/>
      <c r="CZ124" s="281"/>
      <c r="DA124" s="283"/>
      <c r="DB124" s="281"/>
      <c r="DC124" s="283" t="s">
        <v>403</v>
      </c>
      <c r="DD124" s="281"/>
      <c r="DE124" s="283" t="s">
        <v>403</v>
      </c>
      <c r="DF124" s="281"/>
      <c r="DG124" s="283" t="s">
        <v>403</v>
      </c>
      <c r="DH124" s="281"/>
      <c r="DI124" s="283">
        <v>0.75</v>
      </c>
      <c r="DJ124" s="281"/>
      <c r="DK124" s="283">
        <v>0.75</v>
      </c>
      <c r="DL124" s="281"/>
      <c r="DM124" s="283">
        <v>0.75</v>
      </c>
      <c r="DN124" s="281"/>
      <c r="DO124" s="283">
        <v>0.75</v>
      </c>
      <c r="DP124" s="281"/>
      <c r="DQ124" s="283">
        <v>0.75</v>
      </c>
      <c r="DR124" s="281"/>
      <c r="DS124" s="283">
        <v>0.75</v>
      </c>
      <c r="DT124" s="281"/>
      <c r="DU124" s="469" t="s">
        <v>29</v>
      </c>
      <c r="DV124" s="469" t="s">
        <v>29</v>
      </c>
      <c r="DW124" s="469" t="s">
        <v>29</v>
      </c>
      <c r="DX124" s="469" t="s">
        <v>29</v>
      </c>
      <c r="DY124" s="469" t="s">
        <v>29</v>
      </c>
      <c r="DZ124" s="469" t="s">
        <v>29</v>
      </c>
      <c r="EA124" s="469" t="s">
        <v>29</v>
      </c>
      <c r="EB124" s="469" t="s">
        <v>29</v>
      </c>
      <c r="EC124" s="469" t="s">
        <v>29</v>
      </c>
      <c r="ED124" s="469" t="s">
        <v>29</v>
      </c>
      <c r="EE124" s="469" t="s">
        <v>29</v>
      </c>
      <c r="EF124" s="469" t="s">
        <v>29</v>
      </c>
      <c r="EG124" s="469" t="s">
        <v>393</v>
      </c>
      <c r="EH124" s="469" t="s">
        <v>393</v>
      </c>
      <c r="EI124" s="469" t="s">
        <v>393</v>
      </c>
      <c r="EJ124" s="303" t="s">
        <v>29</v>
      </c>
      <c r="EK124" s="303" t="s">
        <v>29</v>
      </c>
      <c r="EL124" s="303" t="s">
        <v>29</v>
      </c>
      <c r="EM124" s="303" t="s">
        <v>29</v>
      </c>
      <c r="EN124" s="283">
        <v>0.75</v>
      </c>
      <c r="EO124" s="281"/>
      <c r="EP124" s="283">
        <v>0.75</v>
      </c>
      <c r="EQ124" s="281"/>
      <c r="ER124" s="283">
        <v>0.75</v>
      </c>
      <c r="ES124" s="281"/>
      <c r="ET124" s="283">
        <v>0.75</v>
      </c>
      <c r="EU124" s="281"/>
      <c r="EV124" s="283">
        <v>0.75</v>
      </c>
      <c r="EW124" s="281"/>
      <c r="EX124" s="283">
        <v>0.75</v>
      </c>
      <c r="EY124" s="281"/>
      <c r="EZ124" s="283">
        <v>0.75</v>
      </c>
      <c r="FA124" s="281"/>
      <c r="FB124" s="283">
        <v>0.75</v>
      </c>
      <c r="FC124" s="281"/>
      <c r="FD124" s="283">
        <v>0.75</v>
      </c>
      <c r="FE124" s="281"/>
      <c r="FF124" s="283">
        <v>0.75</v>
      </c>
      <c r="FG124" s="281"/>
      <c r="FH124" s="283">
        <v>0.75</v>
      </c>
      <c r="FI124" s="281"/>
      <c r="FJ124" s="283">
        <v>0.75</v>
      </c>
      <c r="FK124" s="281"/>
      <c r="FL124" s="283">
        <v>0.75</v>
      </c>
      <c r="FM124" s="281"/>
      <c r="FN124" s="283">
        <v>0.75</v>
      </c>
      <c r="FO124" s="281"/>
      <c r="FP124" s="283">
        <v>0.75</v>
      </c>
      <c r="FQ124" s="281"/>
      <c r="FR124" s="303" t="s">
        <v>29</v>
      </c>
      <c r="FS124" s="303" t="s">
        <v>29</v>
      </c>
      <c r="FT124" s="303" t="s">
        <v>29</v>
      </c>
      <c r="FU124" s="303" t="s">
        <v>29</v>
      </c>
      <c r="FV124" s="303" t="s">
        <v>29</v>
      </c>
      <c r="FW124" s="303" t="s">
        <v>29</v>
      </c>
      <c r="FX124" s="303" t="s">
        <v>29</v>
      </c>
      <c r="FY124" s="303" t="s">
        <v>29</v>
      </c>
      <c r="FZ124" s="303" t="s">
        <v>29</v>
      </c>
      <c r="GA124" s="303" t="s">
        <v>29</v>
      </c>
      <c r="GB124" s="303" t="s">
        <v>29</v>
      </c>
      <c r="GC124" s="303" t="s">
        <v>29</v>
      </c>
      <c r="GD124" s="303" t="s">
        <v>29</v>
      </c>
      <c r="GE124" s="303" t="s">
        <v>29</v>
      </c>
      <c r="GF124" s="303" t="s">
        <v>443</v>
      </c>
      <c r="GG124" s="303" t="s">
        <v>443</v>
      </c>
    </row>
    <row r="125" spans="1:189" ht="4.5" customHeight="1" x14ac:dyDescent="0.3">
      <c r="A125" s="1"/>
      <c r="B125" s="475"/>
      <c r="C125" s="301"/>
      <c r="D125" s="301"/>
      <c r="E125" s="301"/>
      <c r="F125" s="301"/>
      <c r="G125" s="71"/>
      <c r="H125" s="5"/>
      <c r="I125" s="284"/>
      <c r="J125" s="281"/>
      <c r="K125" s="284"/>
      <c r="L125" s="281"/>
      <c r="M125" s="284"/>
      <c r="N125" s="281"/>
      <c r="O125" s="284"/>
      <c r="P125" s="281"/>
      <c r="Q125" s="284"/>
      <c r="R125" s="281"/>
      <c r="S125" s="284"/>
      <c r="T125" s="281"/>
      <c r="U125" s="284"/>
      <c r="V125" s="281"/>
      <c r="W125" s="284"/>
      <c r="X125" s="281"/>
      <c r="Y125" s="284"/>
      <c r="Z125" s="281"/>
      <c r="AA125" s="284"/>
      <c r="AB125" s="281"/>
      <c r="AC125" s="284"/>
      <c r="AD125" s="281"/>
      <c r="AE125" s="284"/>
      <c r="AF125" s="281"/>
      <c r="AG125" s="284"/>
      <c r="AH125" s="281"/>
      <c r="AI125" s="284"/>
      <c r="AJ125" s="281"/>
      <c r="AK125" s="284"/>
      <c r="AL125" s="281"/>
      <c r="AM125" s="284"/>
      <c r="AN125" s="281"/>
      <c r="AO125" s="284"/>
      <c r="AP125" s="281"/>
      <c r="AQ125" s="284"/>
      <c r="AR125" s="281"/>
      <c r="AS125" s="284"/>
      <c r="AT125" s="281"/>
      <c r="AU125" s="284"/>
      <c r="AV125" s="281"/>
      <c r="AW125" s="284"/>
      <c r="AX125" s="281"/>
      <c r="AY125" s="284"/>
      <c r="AZ125" s="281"/>
      <c r="BA125" s="284"/>
      <c r="BB125" s="281"/>
      <c r="BC125" s="284"/>
      <c r="BD125" s="281"/>
      <c r="BE125" s="284"/>
      <c r="BF125" s="281"/>
      <c r="BG125" s="284"/>
      <c r="BH125" s="281"/>
      <c r="BI125" s="284"/>
      <c r="BJ125" s="281"/>
      <c r="BK125" s="284"/>
      <c r="BL125" s="281"/>
      <c r="BM125" s="284"/>
      <c r="BN125" s="281"/>
      <c r="BO125" s="284"/>
      <c r="BP125" s="281"/>
      <c r="BQ125" s="284"/>
      <c r="BR125" s="281"/>
      <c r="BS125" s="284"/>
      <c r="BT125" s="281"/>
      <c r="BU125" s="284"/>
      <c r="BV125" s="281"/>
      <c r="BW125" s="284"/>
      <c r="BX125" s="281"/>
      <c r="BY125" s="284"/>
      <c r="BZ125" s="281"/>
      <c r="CA125" s="284"/>
      <c r="CB125" s="281"/>
      <c r="CC125" s="284"/>
      <c r="CD125" s="281"/>
      <c r="CE125" s="284"/>
      <c r="CF125" s="281"/>
      <c r="CG125" s="284"/>
      <c r="CH125" s="281"/>
      <c r="CI125" s="284"/>
      <c r="CJ125" s="281"/>
      <c r="CK125" s="284"/>
      <c r="CL125" s="281"/>
      <c r="CM125" s="284"/>
      <c r="CN125" s="281"/>
      <c r="CO125" s="284"/>
      <c r="CP125" s="281"/>
      <c r="CQ125" s="284"/>
      <c r="CR125" s="281"/>
      <c r="CS125" s="284"/>
      <c r="CT125" s="281"/>
      <c r="CU125" s="284"/>
      <c r="CV125" s="281"/>
      <c r="CW125" s="284"/>
      <c r="CX125" s="281"/>
      <c r="CY125" s="284"/>
      <c r="CZ125" s="281"/>
      <c r="DA125" s="284"/>
      <c r="DB125" s="281"/>
      <c r="DC125" s="284"/>
      <c r="DD125" s="281"/>
      <c r="DE125" s="284"/>
      <c r="DF125" s="281"/>
      <c r="DG125" s="284"/>
      <c r="DH125" s="281"/>
      <c r="DI125" s="375"/>
      <c r="DJ125" s="376"/>
      <c r="DK125" s="375"/>
      <c r="DL125" s="376"/>
      <c r="DM125" s="375"/>
      <c r="DN125" s="376"/>
      <c r="DO125" s="375"/>
      <c r="DP125" s="376"/>
      <c r="DQ125" s="375"/>
      <c r="DR125" s="376"/>
      <c r="DS125" s="375"/>
      <c r="DT125" s="376"/>
      <c r="DU125" s="301"/>
      <c r="DV125" s="301"/>
      <c r="DW125" s="301"/>
      <c r="DX125" s="301"/>
      <c r="DY125" s="301"/>
      <c r="DZ125" s="301"/>
      <c r="EA125" s="301"/>
      <c r="EB125" s="301"/>
      <c r="EC125" s="301"/>
      <c r="ED125" s="301"/>
      <c r="EE125" s="301"/>
      <c r="EF125" s="301"/>
      <c r="EG125" s="301"/>
      <c r="EH125" s="301"/>
      <c r="EI125" s="301"/>
      <c r="EJ125" s="301"/>
      <c r="EK125" s="301"/>
      <c r="EL125" s="301"/>
      <c r="EM125" s="301"/>
      <c r="EN125" s="375"/>
      <c r="EO125" s="376"/>
      <c r="EP125" s="375"/>
      <c r="EQ125" s="376"/>
      <c r="ER125" s="375"/>
      <c r="ES125" s="376"/>
      <c r="ET125" s="375"/>
      <c r="EU125" s="376"/>
      <c r="EV125" s="375"/>
      <c r="EW125" s="376"/>
      <c r="EX125" s="375"/>
      <c r="EY125" s="376"/>
      <c r="EZ125" s="375"/>
      <c r="FA125" s="376"/>
      <c r="FB125" s="375"/>
      <c r="FC125" s="376"/>
      <c r="FD125" s="375"/>
      <c r="FE125" s="376"/>
      <c r="FF125" s="375"/>
      <c r="FG125" s="376"/>
      <c r="FH125" s="375"/>
      <c r="FI125" s="376"/>
      <c r="FJ125" s="375"/>
      <c r="FK125" s="376"/>
      <c r="FL125" s="375"/>
      <c r="FM125" s="376"/>
      <c r="FN125" s="375"/>
      <c r="FO125" s="376"/>
      <c r="FP125" s="375"/>
      <c r="FQ125" s="376"/>
      <c r="FR125" s="301"/>
      <c r="FS125" s="301"/>
      <c r="FT125" s="301"/>
      <c r="FU125" s="301"/>
      <c r="FV125" s="301"/>
      <c r="FW125" s="301"/>
      <c r="FX125" s="301"/>
      <c r="FY125" s="301"/>
      <c r="FZ125" s="301"/>
      <c r="GA125" s="301"/>
      <c r="GB125" s="301"/>
      <c r="GC125" s="301"/>
      <c r="GD125" s="301"/>
      <c r="GE125" s="301"/>
      <c r="GF125" s="304"/>
      <c r="GG125" s="304"/>
    </row>
    <row r="126" spans="1:189" ht="15" customHeight="1" x14ac:dyDescent="0.3">
      <c r="A126" s="1"/>
      <c r="B126" s="475"/>
      <c r="C126" s="301"/>
      <c r="D126" s="301"/>
      <c r="E126" s="302"/>
      <c r="F126" s="301"/>
      <c r="G126" s="5" t="s">
        <v>98</v>
      </c>
      <c r="H126" s="5"/>
      <c r="I126" s="20">
        <f>SUM(I127:I131)</f>
        <v>108337</v>
      </c>
      <c r="J126" s="72">
        <f>SUM(J127:J130)</f>
        <v>1.0001020360836697</v>
      </c>
      <c r="K126" s="20">
        <f>SUM(K127:K131)</f>
        <v>15240</v>
      </c>
      <c r="L126" s="72">
        <f>SUM(L127:L130)</f>
        <v>0.99730971128608925</v>
      </c>
      <c r="M126" s="20">
        <f>SUM(M127:M131)</f>
        <v>11383</v>
      </c>
      <c r="N126" s="72">
        <f>SUM(N127:N130)</f>
        <v>0.9981551436352456</v>
      </c>
      <c r="O126" s="20">
        <f>SUM(O127:O131)</f>
        <v>11474</v>
      </c>
      <c r="P126" s="72">
        <f>SUM(P127:P130)</f>
        <v>0.99607808959386446</v>
      </c>
      <c r="Q126" s="20">
        <f>SUM(Q127:Q131)</f>
        <v>11206</v>
      </c>
      <c r="R126" s="72">
        <f>SUM(R127:R130)</f>
        <v>0.99589505621988228</v>
      </c>
      <c r="S126" s="20">
        <f>SUM(S127:S131)</f>
        <v>9080</v>
      </c>
      <c r="T126" s="72">
        <f>SUM(T127:T130)</f>
        <v>0.99614537444933915</v>
      </c>
      <c r="U126" s="20">
        <f>SUM(U127:U131)</f>
        <v>7236</v>
      </c>
      <c r="V126" s="72">
        <f>SUM(V127:V130)</f>
        <v>0.99599226091763404</v>
      </c>
      <c r="W126" s="20">
        <f>SUM(W127:W131)</f>
        <v>8935</v>
      </c>
      <c r="X126" s="72">
        <f>SUM(X127:X130)</f>
        <v>0.99485131505316171</v>
      </c>
      <c r="Y126" s="20">
        <f>SUM(Y127:Y131)</f>
        <v>9678</v>
      </c>
      <c r="Z126" s="72">
        <f>SUM(Z127:Z130)</f>
        <v>1.0353486367065416</v>
      </c>
      <c r="AA126" s="20">
        <f>SUM(AA127:AA131)</f>
        <v>9324</v>
      </c>
      <c r="AB126" s="72">
        <f>SUM(AB127:AB130)</f>
        <v>0.99495220706691001</v>
      </c>
      <c r="AC126" s="20">
        <f>SUM(AC127:AC131)</f>
        <v>10570</v>
      </c>
      <c r="AD126" s="72">
        <f>SUM(AD127:AD130)</f>
        <v>0.9985750926189797</v>
      </c>
      <c r="AE126" s="20">
        <f>SUM(AE127:AE131)</f>
        <v>7918</v>
      </c>
      <c r="AF126" s="72">
        <f>SUM(AF127:AF130)</f>
        <v>0.9959157626037014</v>
      </c>
      <c r="AG126" s="20">
        <f>SUM(AG127:AG131)</f>
        <v>7499</v>
      </c>
      <c r="AH126" s="72">
        <f>SUM(AH127:AH130)</f>
        <v>0.99973336888414877</v>
      </c>
      <c r="AI126" s="20">
        <f>SUM(AI127:AI131)</f>
        <v>8373</v>
      </c>
      <c r="AJ126" s="72">
        <f>SUM(AJ127:AJ130)</f>
        <v>1</v>
      </c>
      <c r="AK126" s="20">
        <f>SUM(AK127:AK131)</f>
        <v>6682</v>
      </c>
      <c r="AL126" s="72">
        <f>SUM(AL127:AL130)</f>
        <v>0.9964082609997007</v>
      </c>
      <c r="AM126" s="20">
        <f>SUM(AM127:AM131)</f>
        <v>7227</v>
      </c>
      <c r="AN126" s="72">
        <f>SUM(AN127:AN130)</f>
        <v>1</v>
      </c>
      <c r="AO126" s="20">
        <f>SUM(AO127:AO131)</f>
        <v>9253</v>
      </c>
      <c r="AP126" s="72">
        <f>SUM(AP127:AP130)</f>
        <v>0.99556900464714138</v>
      </c>
      <c r="AQ126" s="20">
        <f>SUM(AQ127:AQ131)</f>
        <v>11201</v>
      </c>
      <c r="AR126" s="73">
        <f>SUM(AR127:AR130)</f>
        <v>1</v>
      </c>
      <c r="AS126" s="20">
        <f>SUM(AS127:AS131)</f>
        <v>9647</v>
      </c>
      <c r="AT126" s="73">
        <f>SUM(AT127:AT130)</f>
        <v>1</v>
      </c>
      <c r="AU126" s="20">
        <f>SUM(AU127:AU131)</f>
        <v>9892</v>
      </c>
      <c r="AV126" s="73">
        <f>SUM(AV127:AV130)</f>
        <v>1</v>
      </c>
      <c r="AW126" s="20">
        <f>SUM(AW127:AW131)</f>
        <v>6729</v>
      </c>
      <c r="AX126" s="73">
        <f>SUM(AX127:AX130)</f>
        <v>1</v>
      </c>
      <c r="AY126" s="20">
        <f>SUM(AY127:AY131)</f>
        <v>5192</v>
      </c>
      <c r="AZ126" s="73">
        <f>SUM(AZ127:AZ130)</f>
        <v>1</v>
      </c>
      <c r="BA126" s="20">
        <f>SUM(BA127:BA131)</f>
        <v>5219</v>
      </c>
      <c r="BB126" s="73">
        <f>SUM(BB127:BB130)</f>
        <v>1</v>
      </c>
      <c r="BC126" s="20">
        <f>SUM(BC127:BC131)</f>
        <v>5212</v>
      </c>
      <c r="BD126" s="73">
        <f>SUM(BD127:BD130)</f>
        <v>1</v>
      </c>
      <c r="BE126" s="20">
        <f>SUM(BE127:BE131)</f>
        <v>6738</v>
      </c>
      <c r="BF126" s="73">
        <f>SUM(BF127:BF130)</f>
        <v>1</v>
      </c>
      <c r="BG126" s="20">
        <f>SUM(BG127:BG131)</f>
        <v>6447</v>
      </c>
      <c r="BH126" s="73">
        <f>SUM(BH127:BH130)</f>
        <v>1</v>
      </c>
      <c r="BI126" s="20">
        <f>SUM(BI127:BI131)</f>
        <v>5712</v>
      </c>
      <c r="BJ126" s="73">
        <f>SUM(BJ127:BJ130)</f>
        <v>1</v>
      </c>
      <c r="BK126" s="20">
        <f>SUM(BK127:BK131)</f>
        <v>7548</v>
      </c>
      <c r="BL126" s="73">
        <f>SUM(BL127:BL130)</f>
        <v>1</v>
      </c>
      <c r="BM126" s="20">
        <f>SUM(BM127:BM131)</f>
        <v>7300</v>
      </c>
      <c r="BN126" s="73">
        <f>SUM(BN127:BN130)</f>
        <v>1</v>
      </c>
      <c r="BO126" s="20">
        <f>SUM(BO127:BO131)</f>
        <v>6992</v>
      </c>
      <c r="BP126" s="73">
        <f>SUM(BP127:BP130)</f>
        <v>1</v>
      </c>
      <c r="BQ126" s="20">
        <f>SUM(BQ127:BQ131)</f>
        <v>7053</v>
      </c>
      <c r="BR126" s="73">
        <f>SUM(BR127:BR130)</f>
        <v>1</v>
      </c>
      <c r="BS126" s="20">
        <f>SUM(BS127:BS131)</f>
        <v>6585</v>
      </c>
      <c r="BT126" s="73">
        <f>SUM(BT127:BT130)</f>
        <v>1</v>
      </c>
      <c r="BU126" s="20">
        <f>SUM(BU127:BU131)</f>
        <v>11944</v>
      </c>
      <c r="BV126" s="73">
        <f>SUM(BV127:BV130)</f>
        <v>1</v>
      </c>
      <c r="BW126" s="20">
        <f>SUM(BW127:BW131)</f>
        <v>15167</v>
      </c>
      <c r="BX126" s="73">
        <f>SUM(BX127:BX130)</f>
        <v>1</v>
      </c>
      <c r="BY126" s="20">
        <f>SUM(BY127:BY131)</f>
        <v>8080</v>
      </c>
      <c r="BZ126" s="73">
        <f>SUM(BZ127:BZ130)</f>
        <v>1</v>
      </c>
      <c r="CA126" s="20">
        <f>SUM(CA127:CA131)</f>
        <v>7472</v>
      </c>
      <c r="CB126" s="73">
        <f>SUM(CB127:CB130)</f>
        <v>1</v>
      </c>
      <c r="CC126" s="20">
        <f>SUM(CC127:CC131)</f>
        <v>8195</v>
      </c>
      <c r="CD126" s="73">
        <f>SUM(CD127:CD130)</f>
        <v>1</v>
      </c>
      <c r="CE126" s="20">
        <f t="shared" ref="CE126:CZ126" si="292">SUM(CE127:CE131)</f>
        <v>7011</v>
      </c>
      <c r="CF126" s="73">
        <f t="shared" si="292"/>
        <v>1</v>
      </c>
      <c r="CG126" s="20">
        <f t="shared" si="292"/>
        <v>7131</v>
      </c>
      <c r="CH126" s="73">
        <f t="shared" si="292"/>
        <v>1</v>
      </c>
      <c r="CI126" s="20">
        <f t="shared" si="292"/>
        <v>6051</v>
      </c>
      <c r="CJ126" s="73">
        <f t="shared" si="292"/>
        <v>1</v>
      </c>
      <c r="CK126" s="20">
        <f t="shared" si="292"/>
        <v>7087</v>
      </c>
      <c r="CL126" s="73">
        <f t="shared" si="292"/>
        <v>1</v>
      </c>
      <c r="CM126" s="20">
        <f t="shared" si="292"/>
        <v>8000</v>
      </c>
      <c r="CN126" s="73">
        <f t="shared" si="292"/>
        <v>1</v>
      </c>
      <c r="CO126" s="20">
        <f t="shared" si="292"/>
        <v>7289</v>
      </c>
      <c r="CP126" s="73">
        <f t="shared" si="292"/>
        <v>1</v>
      </c>
      <c r="CQ126" s="20">
        <f t="shared" si="292"/>
        <v>8291</v>
      </c>
      <c r="CR126" s="73">
        <f t="shared" si="292"/>
        <v>1</v>
      </c>
      <c r="CS126" s="20">
        <f t="shared" si="292"/>
        <v>10274</v>
      </c>
      <c r="CT126" s="73">
        <f t="shared" si="292"/>
        <v>1</v>
      </c>
      <c r="CU126" s="20">
        <f t="shared" si="292"/>
        <v>9306</v>
      </c>
      <c r="CV126" s="73">
        <f t="shared" si="292"/>
        <v>1</v>
      </c>
      <c r="CW126" s="20">
        <f t="shared" si="292"/>
        <v>10324</v>
      </c>
      <c r="CX126" s="73">
        <f t="shared" si="292"/>
        <v>1</v>
      </c>
      <c r="CY126" s="20">
        <f t="shared" si="292"/>
        <v>11362</v>
      </c>
      <c r="CZ126" s="73">
        <f t="shared" si="292"/>
        <v>1</v>
      </c>
      <c r="DA126" s="20">
        <f t="shared" ref="DA126:DD126" si="293">SUM(DA127:DA131)</f>
        <v>11926</v>
      </c>
      <c r="DB126" s="73">
        <f t="shared" si="293"/>
        <v>1</v>
      </c>
      <c r="DC126" s="20">
        <f t="shared" si="293"/>
        <v>0</v>
      </c>
      <c r="DD126" s="73">
        <f t="shared" si="293"/>
        <v>0</v>
      </c>
      <c r="DE126" s="20">
        <f t="shared" ref="DE126:DF126" si="294">SUM(DE127:DE131)</f>
        <v>0</v>
      </c>
      <c r="DF126" s="73">
        <f t="shared" si="294"/>
        <v>0</v>
      </c>
      <c r="DG126" s="20">
        <f t="shared" ref="DG126:DH126" si="295">SUM(DG127:DG131)</f>
        <v>0</v>
      </c>
      <c r="DH126" s="73">
        <f t="shared" si="295"/>
        <v>0</v>
      </c>
      <c r="DI126" s="20">
        <f t="shared" ref="DI126:DJ126" si="296">SUM(DI127:DI131)</f>
        <v>5621</v>
      </c>
      <c r="DJ126" s="73">
        <f t="shared" si="296"/>
        <v>1</v>
      </c>
      <c r="DK126" s="20">
        <f t="shared" ref="DK126:DL126" si="297">SUM(DK127:DK131)</f>
        <v>7901</v>
      </c>
      <c r="DL126" s="73">
        <f t="shared" si="297"/>
        <v>1</v>
      </c>
      <c r="DM126" s="20">
        <f t="shared" ref="DM126:DN126" si="298">SUM(DM127:DM131)</f>
        <v>6544</v>
      </c>
      <c r="DN126" s="73">
        <f t="shared" si="298"/>
        <v>1</v>
      </c>
      <c r="DO126" s="20">
        <f>SUM(DO127:DO131)</f>
        <v>6471</v>
      </c>
      <c r="DP126" s="94">
        <f t="shared" ref="DP126:DR126" si="299">SUM(DP127:DP131)</f>
        <v>1</v>
      </c>
      <c r="DQ126" s="20">
        <f>SUM(DQ127:DQ131)</f>
        <v>7324</v>
      </c>
      <c r="DR126" s="94">
        <f t="shared" si="299"/>
        <v>1</v>
      </c>
      <c r="DS126" s="20">
        <f>SUM(DS127:DS131)</f>
        <v>7046</v>
      </c>
      <c r="DT126" s="94">
        <f t="shared" ref="DT126" si="300">SUM(DT127:DT131)</f>
        <v>1</v>
      </c>
      <c r="DU126" s="301"/>
      <c r="DV126" s="301"/>
      <c r="DW126" s="301"/>
      <c r="DX126" s="301"/>
      <c r="DY126" s="301"/>
      <c r="DZ126" s="301"/>
      <c r="EA126" s="301"/>
      <c r="EB126" s="301"/>
      <c r="EC126" s="301"/>
      <c r="ED126" s="301"/>
      <c r="EE126" s="301"/>
      <c r="EF126" s="301"/>
      <c r="EG126" s="301"/>
      <c r="EH126" s="301"/>
      <c r="EI126" s="301"/>
      <c r="EJ126" s="301"/>
      <c r="EK126" s="301"/>
      <c r="EL126" s="301"/>
      <c r="EM126" s="301"/>
      <c r="EN126" s="20">
        <f>SUM(EN127:EN131)</f>
        <v>7012</v>
      </c>
      <c r="EO126" s="94">
        <f t="shared" ref="EO126:EQ126" si="301">SUM(EO127:EO131)</f>
        <v>1</v>
      </c>
      <c r="EP126" s="20">
        <f>SUM(EP127:EP131)</f>
        <v>6626</v>
      </c>
      <c r="EQ126" s="94">
        <f t="shared" si="301"/>
        <v>1</v>
      </c>
      <c r="ER126" s="20">
        <f>SUM(ER127:ER131)</f>
        <v>6682</v>
      </c>
      <c r="ES126" s="94">
        <f>SUM(ES127:ES131)</f>
        <v>1.0000000000000002</v>
      </c>
      <c r="ET126" s="20">
        <f>SUM(ET127:ET131)</f>
        <v>7903</v>
      </c>
      <c r="EU126" s="94">
        <f t="shared" ref="EU126" si="302">SUM(EU127:EU131)</f>
        <v>1</v>
      </c>
      <c r="EV126" s="20">
        <f>SUM(EV127:EV131)</f>
        <v>7903</v>
      </c>
      <c r="EW126" s="94">
        <f t="shared" ref="EW126:EY126" si="303">SUM(EW127:EW131)</f>
        <v>1</v>
      </c>
      <c r="EX126" s="20">
        <f>SUM(EX127:EX131)</f>
        <v>7889</v>
      </c>
      <c r="EY126" s="94">
        <f t="shared" si="303"/>
        <v>1</v>
      </c>
      <c r="EZ126" s="20">
        <f>SUM(EZ127:EZ131)</f>
        <v>8883</v>
      </c>
      <c r="FA126" s="94">
        <f t="shared" ref="FA126:FC126" si="304">SUM(FA127:FA131)</f>
        <v>1</v>
      </c>
      <c r="FB126" s="20">
        <f>SUM(FB127:FB131)</f>
        <v>9170</v>
      </c>
      <c r="FC126" s="94">
        <f t="shared" si="304"/>
        <v>1</v>
      </c>
      <c r="FD126" s="20">
        <f>SUM(FD127:FD131)</f>
        <v>7046</v>
      </c>
      <c r="FE126" s="94">
        <f t="shared" ref="FE126:FG126" si="305">SUM(FE127:FE131)</f>
        <v>0.99999999999999989</v>
      </c>
      <c r="FF126" s="20">
        <f>SUM(FF127:FF131)</f>
        <v>8401</v>
      </c>
      <c r="FG126" s="94">
        <f t="shared" si="305"/>
        <v>1</v>
      </c>
      <c r="FH126" s="20">
        <f>SUM(FH127:FH131)</f>
        <v>8012</v>
      </c>
      <c r="FI126" s="94">
        <f t="shared" ref="FI126:FM126" si="306">SUM(FI127:FI131)</f>
        <v>1</v>
      </c>
      <c r="FJ126" s="20">
        <f>SUM(FJ127:FJ131)</f>
        <v>7546</v>
      </c>
      <c r="FK126" s="94">
        <f t="shared" ref="FK126" si="307">SUM(FK127:FK131)</f>
        <v>1</v>
      </c>
      <c r="FL126" s="20">
        <f>SUM(FL127:FL131)</f>
        <v>6973</v>
      </c>
      <c r="FM126" s="94">
        <f t="shared" si="306"/>
        <v>1</v>
      </c>
      <c r="FN126" s="20">
        <f>SUM(FN127:FN131)</f>
        <v>6499</v>
      </c>
      <c r="FO126" s="94">
        <f t="shared" ref="FO126:FQ126" si="308">SUM(FO127:FO131)</f>
        <v>0.99999999999999989</v>
      </c>
      <c r="FP126" s="20">
        <f>SUM(FP127:FP131)</f>
        <v>6427</v>
      </c>
      <c r="FQ126" s="94">
        <f t="shared" si="308"/>
        <v>1</v>
      </c>
      <c r="FR126" s="301"/>
      <c r="FS126" s="301"/>
      <c r="FT126" s="301"/>
      <c r="FU126" s="301"/>
      <c r="FV126" s="301"/>
      <c r="FW126" s="301"/>
      <c r="FX126" s="301"/>
      <c r="FY126" s="301"/>
      <c r="FZ126" s="301"/>
      <c r="GA126" s="301"/>
      <c r="GB126" s="301"/>
      <c r="GC126" s="301"/>
      <c r="GD126" s="301"/>
      <c r="GE126" s="301"/>
      <c r="GF126" s="304"/>
      <c r="GG126" s="304"/>
    </row>
    <row r="127" spans="1:189" ht="15" customHeight="1" outlineLevel="1" x14ac:dyDescent="0.3">
      <c r="A127" s="1"/>
      <c r="B127" s="475"/>
      <c r="C127" s="301"/>
      <c r="D127" s="301"/>
      <c r="E127" s="313" t="s">
        <v>99</v>
      </c>
      <c r="F127" s="301"/>
      <c r="G127" s="5" t="s">
        <v>100</v>
      </c>
      <c r="H127" s="5"/>
      <c r="I127" s="23">
        <f t="shared" ref="I127:I131" si="309">AG127+AE127+AC127+AA127+Y127+W127+U127+S127+O127+M127+K127</f>
        <v>55277</v>
      </c>
      <c r="J127" s="65">
        <f t="shared" ref="J127:J131" si="310">I127/$I$115</f>
        <v>0.51274987245489545</v>
      </c>
      <c r="K127" s="23">
        <v>6382</v>
      </c>
      <c r="L127" s="65">
        <v>0.41876640419947508</v>
      </c>
      <c r="M127" s="23">
        <v>5817</v>
      </c>
      <c r="N127" s="65">
        <v>0.511025213036985</v>
      </c>
      <c r="O127" s="23">
        <v>4702</v>
      </c>
      <c r="P127" s="65">
        <v>0.40979606065888097</v>
      </c>
      <c r="Q127" s="23">
        <v>5777</v>
      </c>
      <c r="R127" s="65">
        <v>0.51552739603783693</v>
      </c>
      <c r="S127" s="23">
        <v>5787</v>
      </c>
      <c r="T127" s="65">
        <v>0.63733480176211454</v>
      </c>
      <c r="U127" s="23">
        <v>4346</v>
      </c>
      <c r="V127" s="65">
        <v>0.60060807075732447</v>
      </c>
      <c r="W127" s="23">
        <v>4413</v>
      </c>
      <c r="X127" s="65">
        <v>0.49390000000000001</v>
      </c>
      <c r="Y127" s="23">
        <v>4582</v>
      </c>
      <c r="Z127" s="65">
        <f t="shared" ref="Z127:Z131" si="311">Y127/$Y$115</f>
        <v>0.49380321155296908</v>
      </c>
      <c r="AA127" s="23">
        <v>4582</v>
      </c>
      <c r="AB127" s="65">
        <f t="shared" ref="AB127:AB131" si="312">AA127/$AA$115</f>
        <v>0.49210611105144453</v>
      </c>
      <c r="AC127" s="23">
        <v>4705</v>
      </c>
      <c r="AD127" s="65">
        <f t="shared" ref="AD127:AD131" si="313">AC127/$AC$115</f>
        <v>0.44694594851334662</v>
      </c>
      <c r="AE127" s="23">
        <v>4825</v>
      </c>
      <c r="AF127" s="65">
        <f t="shared" ref="AF127:AF131" si="314">AE127/$AE$115</f>
        <v>0.61582641991065734</v>
      </c>
      <c r="AG127" s="23">
        <v>5136</v>
      </c>
      <c r="AH127" s="65">
        <f t="shared" ref="AH127:AH131" si="315">AG127/$AG$115</f>
        <v>0.68470870550593255</v>
      </c>
      <c r="AI127" s="23">
        <v>5831</v>
      </c>
      <c r="AJ127" s="65">
        <f t="shared" ref="AJ127:AJ131" si="316">AI127/$AI$126</f>
        <v>0.69640511166845809</v>
      </c>
      <c r="AK127" s="23">
        <v>3945</v>
      </c>
      <c r="AL127" s="65">
        <f t="shared" ref="AL127:AL131" si="317">AK127/$AK$126</f>
        <v>0.59039209817419935</v>
      </c>
      <c r="AM127" s="28">
        <v>5251</v>
      </c>
      <c r="AN127" s="65">
        <f t="shared" ref="AN127:AN131" si="318">AM127/$AM$126</f>
        <v>0.72658087726580878</v>
      </c>
      <c r="AO127" s="23">
        <v>2495</v>
      </c>
      <c r="AP127" s="65">
        <f t="shared" ref="AP127:AP131" si="319">AO127/$AO$126</f>
        <v>0.26964227818004971</v>
      </c>
      <c r="AQ127" s="23">
        <v>3801</v>
      </c>
      <c r="AR127" s="65">
        <f t="shared" ref="AR127:AR131" si="320">AQ127/$AQ$126</f>
        <v>0.33934470136594946</v>
      </c>
      <c r="AS127" s="23">
        <v>2956</v>
      </c>
      <c r="AT127" s="65">
        <f t="shared" ref="AT127:AT131" si="321">AS127/$AS$126</f>
        <v>0.30641650253964964</v>
      </c>
      <c r="AU127" s="23">
        <v>3623</v>
      </c>
      <c r="AV127" s="65">
        <f t="shared" ref="AV127:AV131" si="322">AU127/$AU$126</f>
        <v>0.36625556004852405</v>
      </c>
      <c r="AW127" s="23">
        <v>3504</v>
      </c>
      <c r="AX127" s="65">
        <f t="shared" ref="AX127:AX131" si="323">AW127/$AW$126</f>
        <v>0.52073116362015159</v>
      </c>
      <c r="AY127" s="23">
        <v>2778</v>
      </c>
      <c r="AZ127" s="65">
        <f t="shared" ref="AZ127:AZ131" si="324">AY127/$AY$126</f>
        <v>0.53505392912172578</v>
      </c>
      <c r="BA127" s="23">
        <v>2394</v>
      </c>
      <c r="BB127" s="65">
        <f t="shared" ref="BB127:BB131" si="325">BA127/$BA$126</f>
        <v>0.45870856485916844</v>
      </c>
      <c r="BC127" s="23">
        <v>2459</v>
      </c>
      <c r="BD127" s="65">
        <f t="shared" ref="BD127:BD131" si="326">BC127/$BC$126</f>
        <v>0.47179585571757482</v>
      </c>
      <c r="BE127" s="23">
        <v>6316</v>
      </c>
      <c r="BF127" s="65">
        <f t="shared" ref="BF127:BF131" si="327">BE127/$BE$126</f>
        <v>0.93737013950727222</v>
      </c>
      <c r="BG127" s="23">
        <v>6447</v>
      </c>
      <c r="BH127" s="65">
        <f t="shared" ref="BH127:BH131" si="328">BG127/$BG$126</f>
        <v>1</v>
      </c>
      <c r="BI127" s="23">
        <v>5712</v>
      </c>
      <c r="BJ127" s="65">
        <f>BI127/$BI$126</f>
        <v>1</v>
      </c>
      <c r="BK127" s="23">
        <v>7548</v>
      </c>
      <c r="BL127" s="65">
        <f>BK127/$BK$126</f>
        <v>1</v>
      </c>
      <c r="BM127" s="23">
        <v>7300</v>
      </c>
      <c r="BN127" s="65">
        <f>BM127/$BM$126</f>
        <v>1</v>
      </c>
      <c r="BO127" s="23">
        <v>6992</v>
      </c>
      <c r="BP127" s="65">
        <f>BO127/$BO$126</f>
        <v>1</v>
      </c>
      <c r="BQ127" s="23">
        <v>7053</v>
      </c>
      <c r="BR127" s="65">
        <f>BQ127/$BQ$126</f>
        <v>1</v>
      </c>
      <c r="BS127" s="23">
        <v>6585</v>
      </c>
      <c r="BT127" s="65">
        <f>BS127/$BS$126</f>
        <v>1</v>
      </c>
      <c r="BU127" s="23">
        <v>11944</v>
      </c>
      <c r="BV127" s="65">
        <f>BU127/$BU$126</f>
        <v>1</v>
      </c>
      <c r="BW127" s="23">
        <v>15167</v>
      </c>
      <c r="BX127" s="65">
        <f t="shared" ref="BX127:BX131" si="329">BW127/$BW$126</f>
        <v>1</v>
      </c>
      <c r="BY127" s="23">
        <v>8080</v>
      </c>
      <c r="BZ127" s="65">
        <f>BY127/$BY$126</f>
        <v>1</v>
      </c>
      <c r="CA127" s="23">
        <v>7472</v>
      </c>
      <c r="CB127" s="65">
        <f t="shared" ref="CB127:CB131" si="330">CA127/$CA$126</f>
        <v>1</v>
      </c>
      <c r="CC127" s="23">
        <v>8195</v>
      </c>
      <c r="CD127" s="65">
        <f t="shared" ref="CD127:CD131" si="331">CC127/$CC$126</f>
        <v>1</v>
      </c>
      <c r="CE127" s="23">
        <v>7011</v>
      </c>
      <c r="CF127" s="65">
        <f t="shared" ref="CF127:CF131" si="332">CE127/$CE$126</f>
        <v>1</v>
      </c>
      <c r="CG127" s="23">
        <v>7131</v>
      </c>
      <c r="CH127" s="65">
        <f t="shared" ref="CH127:CH131" si="333">CG127/$CG$126</f>
        <v>1</v>
      </c>
      <c r="CI127" s="23">
        <v>6051</v>
      </c>
      <c r="CJ127" s="65">
        <f t="shared" ref="CJ127:CJ131" si="334">CI127/$CI$126</f>
        <v>1</v>
      </c>
      <c r="CK127" s="23">
        <v>7087</v>
      </c>
      <c r="CL127" s="65">
        <f t="shared" ref="CL127:CL131" si="335">CK127/$CK$126</f>
        <v>1</v>
      </c>
      <c r="CM127" s="23">
        <v>8000</v>
      </c>
      <c r="CN127" s="65">
        <f t="shared" ref="CN127:CN131" si="336">CM127/$CM$126</f>
        <v>1</v>
      </c>
      <c r="CO127" s="23">
        <v>7289</v>
      </c>
      <c r="CP127" s="65">
        <f t="shared" ref="CP127:CP131" si="337">CO127/$CO$126</f>
        <v>1</v>
      </c>
      <c r="CQ127" s="23">
        <v>8291</v>
      </c>
      <c r="CR127" s="65">
        <f t="shared" ref="CR127:CR131" si="338">CQ127/$CQ$126</f>
        <v>1</v>
      </c>
      <c r="CS127" s="23">
        <v>10274</v>
      </c>
      <c r="CT127" s="65">
        <f t="shared" ref="CT127:CT131" si="339">CS127/$CS$126</f>
        <v>1</v>
      </c>
      <c r="CU127" s="23">
        <v>9306</v>
      </c>
      <c r="CV127" s="65">
        <f>CU127/$CU$126</f>
        <v>1</v>
      </c>
      <c r="CW127" s="23">
        <v>10324</v>
      </c>
      <c r="CX127" s="65">
        <f t="shared" ref="CX127:CX131" si="340">CW127/$CW$126</f>
        <v>1</v>
      </c>
      <c r="CY127" s="23">
        <v>11362</v>
      </c>
      <c r="CZ127" s="65">
        <f t="shared" ref="CZ127:CZ131" si="341">CY127/$CY$126</f>
        <v>1</v>
      </c>
      <c r="DA127" s="23">
        <v>11926</v>
      </c>
      <c r="DB127" s="65">
        <f>DA127/$DA$126</f>
        <v>1</v>
      </c>
      <c r="DC127" s="23">
        <v>0</v>
      </c>
      <c r="DD127" s="65">
        <f>DC127/$DA$126</f>
        <v>0</v>
      </c>
      <c r="DE127" s="23">
        <v>0</v>
      </c>
      <c r="DF127" s="65">
        <f>DE127/$DA$126</f>
        <v>0</v>
      </c>
      <c r="DG127" s="23">
        <v>0</v>
      </c>
      <c r="DH127" s="65">
        <f>DG127/$DA$126</f>
        <v>0</v>
      </c>
      <c r="DI127" s="23">
        <v>3441</v>
      </c>
      <c r="DJ127" s="65">
        <f>DI127/DI$126</f>
        <v>0.61216865326454373</v>
      </c>
      <c r="DK127" s="23">
        <v>4894</v>
      </c>
      <c r="DL127" s="65">
        <f>DK127/DK$126</f>
        <v>0.61941526389064672</v>
      </c>
      <c r="DM127" s="23">
        <v>3680</v>
      </c>
      <c r="DN127" s="65">
        <f>DM127/DM$126</f>
        <v>0.56234718826405872</v>
      </c>
      <c r="DO127" s="23">
        <v>4238</v>
      </c>
      <c r="DP127" s="94">
        <f>DO127/DO$126</f>
        <v>0.65492195951166743</v>
      </c>
      <c r="DQ127" s="23">
        <v>4913</v>
      </c>
      <c r="DR127" s="94">
        <f>DQ127/DQ$126</f>
        <v>0.67080830147460402</v>
      </c>
      <c r="DS127" s="23">
        <v>4358</v>
      </c>
      <c r="DT127" s="94">
        <f>DS127/DS$126</f>
        <v>0.61850695430031222</v>
      </c>
      <c r="DU127" s="301"/>
      <c r="DV127" s="301"/>
      <c r="DW127" s="301"/>
      <c r="DX127" s="301"/>
      <c r="DY127" s="301"/>
      <c r="DZ127" s="301"/>
      <c r="EA127" s="301"/>
      <c r="EB127" s="301"/>
      <c r="EC127" s="301"/>
      <c r="ED127" s="301"/>
      <c r="EE127" s="301"/>
      <c r="EF127" s="301"/>
      <c r="EG127" s="301"/>
      <c r="EH127" s="301"/>
      <c r="EI127" s="301"/>
      <c r="EJ127" s="301"/>
      <c r="EK127" s="301"/>
      <c r="EL127" s="301"/>
      <c r="EM127" s="301"/>
      <c r="EN127" s="23">
        <v>4730</v>
      </c>
      <c r="EO127" s="94">
        <f>EN127/EN$126</f>
        <v>0.67455790074158584</v>
      </c>
      <c r="EP127" s="23">
        <v>4346</v>
      </c>
      <c r="EQ127" s="94">
        <f>EP127/EP$126</f>
        <v>0.655900996076064</v>
      </c>
      <c r="ER127" s="23">
        <v>3659</v>
      </c>
      <c r="ES127" s="94">
        <f>ER127/ER$126</f>
        <v>0.54759054175396593</v>
      </c>
      <c r="ET127" s="23">
        <v>3697</v>
      </c>
      <c r="EU127" s="94">
        <f>ET127/ET$126</f>
        <v>0.46779703909907627</v>
      </c>
      <c r="EV127" s="214">
        <v>3697</v>
      </c>
      <c r="EW127" s="94">
        <f>EV127/EV$126</f>
        <v>0.46779703909907627</v>
      </c>
      <c r="EX127" s="214">
        <v>2678</v>
      </c>
      <c r="EY127" s="94">
        <f>EX127/EX$126</f>
        <v>0.33946000760552669</v>
      </c>
      <c r="EZ127" s="214">
        <v>2260</v>
      </c>
      <c r="FA127" s="94">
        <f>EZ127/EZ$126</f>
        <v>0.25441855229089272</v>
      </c>
      <c r="FB127" s="214">
        <v>3769</v>
      </c>
      <c r="FC127" s="94">
        <f>FB127/FB$126</f>
        <v>0.41101417666303164</v>
      </c>
      <c r="FD127" s="214">
        <v>4026</v>
      </c>
      <c r="FE127" s="94">
        <f>FD127/FD$126</f>
        <v>0.57138802157252344</v>
      </c>
      <c r="FF127" s="214">
        <v>4788</v>
      </c>
      <c r="FG127" s="94">
        <f>FF127/FF$126</f>
        <v>0.56993215093441252</v>
      </c>
      <c r="FH127" s="214">
        <v>5117</v>
      </c>
      <c r="FI127" s="94">
        <f>FH127/FH$126</f>
        <v>0.6386669995007489</v>
      </c>
      <c r="FJ127" s="214">
        <v>4022</v>
      </c>
      <c r="FK127" s="94">
        <f>FJ127/FJ$126</f>
        <v>0.53299761463026774</v>
      </c>
      <c r="FL127" s="214">
        <v>3569</v>
      </c>
      <c r="FM127" s="94">
        <f>FL127/FL$126</f>
        <v>0.51183134949089348</v>
      </c>
      <c r="FN127" s="214">
        <v>3636</v>
      </c>
      <c r="FO127" s="94">
        <f>FN127/FN$126</f>
        <v>0.55947068779812281</v>
      </c>
      <c r="FP127" s="214">
        <v>3713</v>
      </c>
      <c r="FQ127" s="94">
        <f>FP127/FP$126</f>
        <v>0.57771899797728332</v>
      </c>
      <c r="FR127" s="301"/>
      <c r="FS127" s="301"/>
      <c r="FT127" s="301"/>
      <c r="FU127" s="301"/>
      <c r="FV127" s="301"/>
      <c r="FW127" s="301"/>
      <c r="FX127" s="301"/>
      <c r="FY127" s="301"/>
      <c r="FZ127" s="301"/>
      <c r="GA127" s="301"/>
      <c r="GB127" s="301"/>
      <c r="GC127" s="301"/>
      <c r="GD127" s="301"/>
      <c r="GE127" s="301"/>
      <c r="GF127" s="304"/>
      <c r="GG127" s="304"/>
    </row>
    <row r="128" spans="1:189" ht="15" customHeight="1" outlineLevel="1" x14ac:dyDescent="0.3">
      <c r="A128" s="1"/>
      <c r="B128" s="475"/>
      <c r="C128" s="301"/>
      <c r="D128" s="301"/>
      <c r="E128" s="301"/>
      <c r="F128" s="301"/>
      <c r="G128" s="5" t="s">
        <v>101</v>
      </c>
      <c r="H128" s="5"/>
      <c r="I128" s="23">
        <f t="shared" si="309"/>
        <v>20670</v>
      </c>
      <c r="J128" s="65">
        <f t="shared" si="310"/>
        <v>0.19173507722276331</v>
      </c>
      <c r="K128" s="23">
        <v>2578</v>
      </c>
      <c r="L128" s="65">
        <v>0.16916010498687664</v>
      </c>
      <c r="M128" s="23">
        <v>2263</v>
      </c>
      <c r="N128" s="65">
        <v>0.19880523587806379</v>
      </c>
      <c r="O128" s="23">
        <v>2317</v>
      </c>
      <c r="P128" s="65">
        <v>0.20193480913369358</v>
      </c>
      <c r="Q128" s="23">
        <v>2211</v>
      </c>
      <c r="R128" s="65">
        <v>0.19730501517044441</v>
      </c>
      <c r="S128" s="23">
        <v>1598</v>
      </c>
      <c r="T128" s="65">
        <v>0.17599118942731279</v>
      </c>
      <c r="U128" s="23">
        <v>1287</v>
      </c>
      <c r="V128" s="65">
        <v>0.17786069651741293</v>
      </c>
      <c r="W128" s="23">
        <v>1822</v>
      </c>
      <c r="X128" s="65">
        <v>0.20391717963066591</v>
      </c>
      <c r="Y128" s="23">
        <v>1644</v>
      </c>
      <c r="Z128" s="65">
        <f t="shared" si="311"/>
        <v>0.1771742644681539</v>
      </c>
      <c r="AA128" s="23">
        <v>2083</v>
      </c>
      <c r="AB128" s="65">
        <f t="shared" si="312"/>
        <v>0.22371388680055848</v>
      </c>
      <c r="AC128" s="23">
        <v>2258</v>
      </c>
      <c r="AD128" s="65">
        <f t="shared" si="313"/>
        <v>0.21449605775624583</v>
      </c>
      <c r="AE128" s="23">
        <v>1455</v>
      </c>
      <c r="AF128" s="65">
        <f t="shared" si="314"/>
        <v>0.18570516911295468</v>
      </c>
      <c r="AG128" s="23">
        <v>1365</v>
      </c>
      <c r="AH128" s="65">
        <f t="shared" si="315"/>
        <v>0.18197573656845753</v>
      </c>
      <c r="AI128" s="23">
        <v>1473</v>
      </c>
      <c r="AJ128" s="65">
        <f t="shared" si="316"/>
        <v>0.17592260838409171</v>
      </c>
      <c r="AK128" s="23">
        <v>1242</v>
      </c>
      <c r="AL128" s="65">
        <f t="shared" si="317"/>
        <v>0.18587249326548938</v>
      </c>
      <c r="AM128" s="28">
        <v>1083</v>
      </c>
      <c r="AN128" s="65">
        <f t="shared" si="318"/>
        <v>0.14985471149854712</v>
      </c>
      <c r="AO128" s="23">
        <v>2642</v>
      </c>
      <c r="AP128" s="65">
        <f t="shared" si="319"/>
        <v>0.28552901761590838</v>
      </c>
      <c r="AQ128" s="23">
        <v>4057</v>
      </c>
      <c r="AR128" s="65">
        <f t="shared" si="320"/>
        <v>0.36219980358896525</v>
      </c>
      <c r="AS128" s="23">
        <v>3178</v>
      </c>
      <c r="AT128" s="65">
        <f t="shared" si="321"/>
        <v>0.32942883798071937</v>
      </c>
      <c r="AU128" s="23">
        <v>3265</v>
      </c>
      <c r="AV128" s="65">
        <f t="shared" si="322"/>
        <v>0.33006469874646177</v>
      </c>
      <c r="AW128" s="23">
        <v>1919</v>
      </c>
      <c r="AX128" s="65">
        <f t="shared" si="323"/>
        <v>0.2851835339574974</v>
      </c>
      <c r="AY128" s="23">
        <v>1455</v>
      </c>
      <c r="AZ128" s="65">
        <f t="shared" si="324"/>
        <v>0.28023882896764252</v>
      </c>
      <c r="BA128" s="23">
        <v>1686</v>
      </c>
      <c r="BB128" s="65">
        <f t="shared" si="325"/>
        <v>0.3230503927955547</v>
      </c>
      <c r="BC128" s="23">
        <v>1477</v>
      </c>
      <c r="BD128" s="65">
        <f t="shared" si="326"/>
        <v>0.28338449731389104</v>
      </c>
      <c r="BE128" s="23">
        <v>229</v>
      </c>
      <c r="BF128" s="65">
        <f t="shared" si="327"/>
        <v>3.3986346096764618E-2</v>
      </c>
      <c r="BG128" s="23">
        <v>0</v>
      </c>
      <c r="BH128" s="65">
        <f t="shared" si="328"/>
        <v>0</v>
      </c>
      <c r="BI128" s="23">
        <v>0</v>
      </c>
      <c r="BJ128" s="65">
        <f t="shared" ref="BJ128:BJ131" si="342">BI128/$BG$126</f>
        <v>0</v>
      </c>
      <c r="BK128" s="23">
        <v>0</v>
      </c>
      <c r="BL128" s="65">
        <f t="shared" ref="BL128:BL131" si="343">BK128/$BG$126</f>
        <v>0</v>
      </c>
      <c r="BM128" s="23">
        <v>0</v>
      </c>
      <c r="BN128" s="65">
        <f t="shared" ref="BN128:BN131" si="344">BM128/$BG$126</f>
        <v>0</v>
      </c>
      <c r="BO128" s="23">
        <v>0</v>
      </c>
      <c r="BP128" s="65">
        <f t="shared" ref="BP128:BP131" si="345">BO128/$BG$126</f>
        <v>0</v>
      </c>
      <c r="BQ128" s="23">
        <v>0</v>
      </c>
      <c r="BR128" s="65">
        <f t="shared" ref="BR128:BR131" si="346">BQ128/$BG$126</f>
        <v>0</v>
      </c>
      <c r="BS128" s="23">
        <v>0</v>
      </c>
      <c r="BT128" s="65">
        <f t="shared" ref="BT128:BT131" si="347">BS128/$BG$126</f>
        <v>0</v>
      </c>
      <c r="BU128" s="23">
        <v>0</v>
      </c>
      <c r="BV128" s="65">
        <f t="shared" ref="BV128:BV131" si="348">BU128/$BG$126</f>
        <v>0</v>
      </c>
      <c r="BW128" s="23">
        <v>0</v>
      </c>
      <c r="BX128" s="65">
        <f t="shared" si="329"/>
        <v>0</v>
      </c>
      <c r="BY128" s="23">
        <v>0</v>
      </c>
      <c r="BZ128" s="65">
        <f t="shared" ref="BZ128:BZ131" si="349">BY128/$BW$126</f>
        <v>0</v>
      </c>
      <c r="CA128" s="23">
        <v>0</v>
      </c>
      <c r="CB128" s="65">
        <f t="shared" si="330"/>
        <v>0</v>
      </c>
      <c r="CC128" s="23">
        <v>0</v>
      </c>
      <c r="CD128" s="65">
        <f t="shared" si="331"/>
        <v>0</v>
      </c>
      <c r="CE128" s="23">
        <v>0</v>
      </c>
      <c r="CF128" s="65">
        <f t="shared" si="332"/>
        <v>0</v>
      </c>
      <c r="CG128" s="23">
        <v>0</v>
      </c>
      <c r="CH128" s="65">
        <f t="shared" si="333"/>
        <v>0</v>
      </c>
      <c r="CI128" s="23">
        <v>0</v>
      </c>
      <c r="CJ128" s="65">
        <f t="shared" si="334"/>
        <v>0</v>
      </c>
      <c r="CK128" s="23">
        <v>0</v>
      </c>
      <c r="CL128" s="65">
        <f t="shared" si="335"/>
        <v>0</v>
      </c>
      <c r="CM128" s="23">
        <v>0</v>
      </c>
      <c r="CN128" s="65">
        <f t="shared" si="336"/>
        <v>0</v>
      </c>
      <c r="CO128" s="23">
        <v>0</v>
      </c>
      <c r="CP128" s="65">
        <f t="shared" si="337"/>
        <v>0</v>
      </c>
      <c r="CQ128" s="23">
        <v>0</v>
      </c>
      <c r="CR128" s="65">
        <f t="shared" si="338"/>
        <v>0</v>
      </c>
      <c r="CS128" s="23">
        <v>0</v>
      </c>
      <c r="CT128" s="65">
        <f t="shared" si="339"/>
        <v>0</v>
      </c>
      <c r="CU128" s="23">
        <v>0</v>
      </c>
      <c r="CV128" s="65">
        <f t="shared" ref="CV128:CV131" si="350">CU128/$CS$126</f>
        <v>0</v>
      </c>
      <c r="CW128" s="23">
        <v>0</v>
      </c>
      <c r="CX128" s="65">
        <f t="shared" si="340"/>
        <v>0</v>
      </c>
      <c r="CY128" s="23">
        <v>0</v>
      </c>
      <c r="CZ128" s="65">
        <f t="shared" si="341"/>
        <v>0</v>
      </c>
      <c r="DA128" s="23">
        <v>0</v>
      </c>
      <c r="DB128" s="65">
        <f t="shared" ref="DB128:DB130" si="351">DA128/$DA$126</f>
        <v>0</v>
      </c>
      <c r="DC128" s="23">
        <v>0</v>
      </c>
      <c r="DD128" s="65">
        <f t="shared" ref="DD128:DD130" si="352">DC128/$DA$126</f>
        <v>0</v>
      </c>
      <c r="DE128" s="23">
        <v>0</v>
      </c>
      <c r="DF128" s="65">
        <f t="shared" ref="DF128:DF130" si="353">DE128/$DA$126</f>
        <v>0</v>
      </c>
      <c r="DG128" s="23">
        <v>0</v>
      </c>
      <c r="DH128" s="65">
        <f t="shared" ref="DH128:DH130" si="354">DG128/$DA$126</f>
        <v>0</v>
      </c>
      <c r="DI128" s="23">
        <v>460</v>
      </c>
      <c r="DJ128" s="65">
        <f>DI128/DI$126</f>
        <v>8.1835972246931149E-2</v>
      </c>
      <c r="DK128" s="23">
        <v>1640</v>
      </c>
      <c r="DL128" s="65">
        <f>DK128/DK$126</f>
        <v>0.20756866219465891</v>
      </c>
      <c r="DM128" s="23">
        <v>833</v>
      </c>
      <c r="DN128" s="65">
        <f>DM128/DM$126</f>
        <v>0.1272921760391198</v>
      </c>
      <c r="DO128" s="23">
        <v>769</v>
      </c>
      <c r="DP128" s="94">
        <f>DO128/DO$126</f>
        <v>0.11883789213413692</v>
      </c>
      <c r="DQ128" s="23">
        <v>860</v>
      </c>
      <c r="DR128" s="94">
        <f>DQ128/DQ$126</f>
        <v>0.1174221736755871</v>
      </c>
      <c r="DS128" s="23">
        <v>1241</v>
      </c>
      <c r="DT128" s="94">
        <f>DS128/DS$126</f>
        <v>0.17612829974453589</v>
      </c>
      <c r="DU128" s="301"/>
      <c r="DV128" s="301"/>
      <c r="DW128" s="301"/>
      <c r="DX128" s="301"/>
      <c r="DY128" s="301"/>
      <c r="DZ128" s="301"/>
      <c r="EA128" s="301"/>
      <c r="EB128" s="301"/>
      <c r="EC128" s="301"/>
      <c r="ED128" s="301"/>
      <c r="EE128" s="301"/>
      <c r="EF128" s="301"/>
      <c r="EG128" s="301"/>
      <c r="EH128" s="301"/>
      <c r="EI128" s="301"/>
      <c r="EJ128" s="301"/>
      <c r="EK128" s="301"/>
      <c r="EL128" s="301"/>
      <c r="EM128" s="301"/>
      <c r="EN128" s="23">
        <v>1432</v>
      </c>
      <c r="EO128" s="94">
        <f>EN128/EN$126</f>
        <v>0.20422133485453509</v>
      </c>
      <c r="EP128" s="23">
        <v>1077</v>
      </c>
      <c r="EQ128" s="94">
        <f>EP128/EP$126</f>
        <v>0.16254150316933294</v>
      </c>
      <c r="ER128" s="23">
        <v>993</v>
      </c>
      <c r="ES128" s="94">
        <f>ER128/ER$126</f>
        <v>0.14860820113738402</v>
      </c>
      <c r="ET128" s="23">
        <v>1536</v>
      </c>
      <c r="EU128" s="94">
        <f>ET128/ET$126</f>
        <v>0.19435657345311907</v>
      </c>
      <c r="EV128" s="23">
        <v>1536</v>
      </c>
      <c r="EW128" s="94">
        <f>EV128/EV$126</f>
        <v>0.19435657345311907</v>
      </c>
      <c r="EX128" s="23">
        <v>1506</v>
      </c>
      <c r="EY128" s="94">
        <f>EX128/EX$126</f>
        <v>0.19089871973634173</v>
      </c>
      <c r="EZ128" s="23">
        <v>1689</v>
      </c>
      <c r="FA128" s="94">
        <f>EZ128/EZ$126</f>
        <v>0.19013846673421142</v>
      </c>
      <c r="FB128" s="23">
        <v>1617</v>
      </c>
      <c r="FC128" s="94">
        <f>FB128/FB$126</f>
        <v>0.17633587786259541</v>
      </c>
      <c r="FD128" s="23">
        <v>1452</v>
      </c>
      <c r="FE128" s="94">
        <f>FD128/FD$126</f>
        <v>0.20607436843599206</v>
      </c>
      <c r="FF128" s="23">
        <v>1702</v>
      </c>
      <c r="FG128" s="94">
        <f>FF128/FF$126</f>
        <v>0.20259492917509819</v>
      </c>
      <c r="FH128" s="23">
        <v>1710</v>
      </c>
      <c r="FI128" s="94">
        <f>FH128/FH$126</f>
        <v>0.21342985521717425</v>
      </c>
      <c r="FJ128" s="23">
        <v>1480</v>
      </c>
      <c r="FK128" s="94">
        <f>FJ128/FJ$126</f>
        <v>0.19613040021203287</v>
      </c>
      <c r="FL128" s="23">
        <v>1106</v>
      </c>
      <c r="FM128" s="94">
        <f>FL128/FL$126</f>
        <v>0.15861178832640183</v>
      </c>
      <c r="FN128" s="23">
        <v>1502</v>
      </c>
      <c r="FO128" s="94">
        <f>FN128/FN$126</f>
        <v>0.2311124788428989</v>
      </c>
      <c r="FP128" s="23">
        <v>958</v>
      </c>
      <c r="FQ128" s="94">
        <f>FP128/FP$126</f>
        <v>0.14905865878325814</v>
      </c>
      <c r="FR128" s="301"/>
      <c r="FS128" s="301"/>
      <c r="FT128" s="301"/>
      <c r="FU128" s="301"/>
      <c r="FV128" s="301"/>
      <c r="FW128" s="301"/>
      <c r="FX128" s="301"/>
      <c r="FY128" s="301"/>
      <c r="FZ128" s="301"/>
      <c r="GA128" s="301"/>
      <c r="GB128" s="301"/>
      <c r="GC128" s="301"/>
      <c r="GD128" s="301"/>
      <c r="GE128" s="301"/>
      <c r="GF128" s="304"/>
      <c r="GG128" s="304"/>
    </row>
    <row r="129" spans="1:189" ht="15" customHeight="1" outlineLevel="1" x14ac:dyDescent="0.3">
      <c r="A129" s="1"/>
      <c r="B129" s="475"/>
      <c r="C129" s="301"/>
      <c r="D129" s="301"/>
      <c r="E129" s="301"/>
      <c r="F129" s="301"/>
      <c r="G129" s="5" t="s">
        <v>102</v>
      </c>
      <c r="H129" s="5"/>
      <c r="I129" s="23">
        <f t="shared" si="309"/>
        <v>29524</v>
      </c>
      <c r="J129" s="65">
        <f t="shared" si="310"/>
        <v>0.27386484856917581</v>
      </c>
      <c r="K129" s="23">
        <v>5940</v>
      </c>
      <c r="L129" s="65">
        <v>0.38976377952755903</v>
      </c>
      <c r="M129" s="23">
        <v>3051</v>
      </c>
      <c r="N129" s="65">
        <v>0.26803127470789773</v>
      </c>
      <c r="O129" s="23">
        <v>4130</v>
      </c>
      <c r="P129" s="65">
        <v>0.3599442217186683</v>
      </c>
      <c r="Q129" s="23">
        <v>2902</v>
      </c>
      <c r="R129" s="65">
        <v>0.25896840978047475</v>
      </c>
      <c r="S129" s="23">
        <v>1443</v>
      </c>
      <c r="T129" s="65">
        <v>0.15892070484581497</v>
      </c>
      <c r="U129" s="23">
        <v>1424</v>
      </c>
      <c r="V129" s="65">
        <v>0.19679380873410723</v>
      </c>
      <c r="W129" s="23">
        <v>2485</v>
      </c>
      <c r="X129" s="65">
        <v>0.27811975377728038</v>
      </c>
      <c r="Y129" s="23">
        <v>2907</v>
      </c>
      <c r="Z129" s="65">
        <f t="shared" si="311"/>
        <v>0.31328806983511154</v>
      </c>
      <c r="AA129" s="23">
        <v>2440</v>
      </c>
      <c r="AB129" s="65">
        <f t="shared" si="312"/>
        <v>0.26205563312211361</v>
      </c>
      <c r="AC129" s="23">
        <v>3346</v>
      </c>
      <c r="AD129" s="65">
        <f t="shared" si="313"/>
        <v>0.31784933979291347</v>
      </c>
      <c r="AE129" s="23">
        <v>1384</v>
      </c>
      <c r="AF129" s="65">
        <f t="shared" si="314"/>
        <v>0.17664326738991704</v>
      </c>
      <c r="AG129" s="23">
        <v>974</v>
      </c>
      <c r="AH129" s="65">
        <f t="shared" si="315"/>
        <v>0.12984935341954407</v>
      </c>
      <c r="AI129" s="23">
        <v>943</v>
      </c>
      <c r="AJ129" s="65">
        <f t="shared" si="316"/>
        <v>0.11262391018750746</v>
      </c>
      <c r="AK129" s="23">
        <v>1320</v>
      </c>
      <c r="AL129" s="65">
        <f t="shared" si="317"/>
        <v>0.19754564501646213</v>
      </c>
      <c r="AM129" s="28">
        <v>797</v>
      </c>
      <c r="AN129" s="65">
        <f t="shared" si="318"/>
        <v>0.11028089110280891</v>
      </c>
      <c r="AO129" s="23">
        <v>3912</v>
      </c>
      <c r="AP129" s="65">
        <f t="shared" si="319"/>
        <v>0.42278180049713604</v>
      </c>
      <c r="AQ129" s="23">
        <v>3343</v>
      </c>
      <c r="AR129" s="65">
        <f t="shared" si="320"/>
        <v>0.29845549504508528</v>
      </c>
      <c r="AS129" s="23">
        <v>3513</v>
      </c>
      <c r="AT129" s="65">
        <f t="shared" si="321"/>
        <v>0.36415465947963099</v>
      </c>
      <c r="AU129" s="23">
        <v>3004</v>
      </c>
      <c r="AV129" s="65">
        <f t="shared" si="322"/>
        <v>0.30367974120501418</v>
      </c>
      <c r="AW129" s="23">
        <v>1306</v>
      </c>
      <c r="AX129" s="65">
        <f t="shared" si="323"/>
        <v>0.19408530242235103</v>
      </c>
      <c r="AY129" s="23">
        <v>959</v>
      </c>
      <c r="AZ129" s="65">
        <f t="shared" si="324"/>
        <v>0.18470724191063173</v>
      </c>
      <c r="BA129" s="23">
        <v>1139</v>
      </c>
      <c r="BB129" s="65">
        <f t="shared" si="325"/>
        <v>0.21824104234527689</v>
      </c>
      <c r="BC129" s="23">
        <v>1276</v>
      </c>
      <c r="BD129" s="65">
        <f t="shared" si="326"/>
        <v>0.24481964696853414</v>
      </c>
      <c r="BE129" s="23">
        <v>193</v>
      </c>
      <c r="BF129" s="65">
        <f t="shared" si="327"/>
        <v>2.8643514395963195E-2</v>
      </c>
      <c r="BG129" s="23">
        <v>0</v>
      </c>
      <c r="BH129" s="65">
        <f t="shared" si="328"/>
        <v>0</v>
      </c>
      <c r="BI129" s="23">
        <v>0</v>
      </c>
      <c r="BJ129" s="65">
        <f t="shared" si="342"/>
        <v>0</v>
      </c>
      <c r="BK129" s="23">
        <v>0</v>
      </c>
      <c r="BL129" s="65">
        <f t="shared" si="343"/>
        <v>0</v>
      </c>
      <c r="BM129" s="23">
        <v>0</v>
      </c>
      <c r="BN129" s="65">
        <f t="shared" si="344"/>
        <v>0</v>
      </c>
      <c r="BO129" s="23">
        <v>0</v>
      </c>
      <c r="BP129" s="65">
        <f t="shared" si="345"/>
        <v>0</v>
      </c>
      <c r="BQ129" s="23">
        <v>0</v>
      </c>
      <c r="BR129" s="65">
        <f t="shared" si="346"/>
        <v>0</v>
      </c>
      <c r="BS129" s="23">
        <v>0</v>
      </c>
      <c r="BT129" s="65">
        <f t="shared" si="347"/>
        <v>0</v>
      </c>
      <c r="BU129" s="23">
        <v>0</v>
      </c>
      <c r="BV129" s="65">
        <f t="shared" si="348"/>
        <v>0</v>
      </c>
      <c r="BW129" s="23">
        <v>0</v>
      </c>
      <c r="BX129" s="65">
        <f t="shared" si="329"/>
        <v>0</v>
      </c>
      <c r="BY129" s="23">
        <v>0</v>
      </c>
      <c r="BZ129" s="65">
        <f t="shared" si="349"/>
        <v>0</v>
      </c>
      <c r="CA129" s="23">
        <v>0</v>
      </c>
      <c r="CB129" s="65">
        <f t="shared" si="330"/>
        <v>0</v>
      </c>
      <c r="CC129" s="23">
        <v>0</v>
      </c>
      <c r="CD129" s="65">
        <f t="shared" si="331"/>
        <v>0</v>
      </c>
      <c r="CE129" s="23">
        <v>0</v>
      </c>
      <c r="CF129" s="65">
        <f t="shared" si="332"/>
        <v>0</v>
      </c>
      <c r="CG129" s="23">
        <v>0</v>
      </c>
      <c r="CH129" s="65">
        <f t="shared" si="333"/>
        <v>0</v>
      </c>
      <c r="CI129" s="23">
        <v>0</v>
      </c>
      <c r="CJ129" s="65">
        <f t="shared" si="334"/>
        <v>0</v>
      </c>
      <c r="CK129" s="23">
        <v>0</v>
      </c>
      <c r="CL129" s="65">
        <f t="shared" si="335"/>
        <v>0</v>
      </c>
      <c r="CM129" s="23">
        <v>0</v>
      </c>
      <c r="CN129" s="65">
        <f t="shared" si="336"/>
        <v>0</v>
      </c>
      <c r="CO129" s="23">
        <v>0</v>
      </c>
      <c r="CP129" s="65">
        <f t="shared" si="337"/>
        <v>0</v>
      </c>
      <c r="CQ129" s="23">
        <v>0</v>
      </c>
      <c r="CR129" s="65">
        <f t="shared" si="338"/>
        <v>0</v>
      </c>
      <c r="CS129" s="23">
        <v>0</v>
      </c>
      <c r="CT129" s="65">
        <f t="shared" si="339"/>
        <v>0</v>
      </c>
      <c r="CU129" s="23">
        <v>0</v>
      </c>
      <c r="CV129" s="65">
        <f t="shared" si="350"/>
        <v>0</v>
      </c>
      <c r="CW129" s="23">
        <v>0</v>
      </c>
      <c r="CX129" s="65">
        <f t="shared" si="340"/>
        <v>0</v>
      </c>
      <c r="CY129" s="23">
        <v>0</v>
      </c>
      <c r="CZ129" s="65">
        <f t="shared" si="341"/>
        <v>0</v>
      </c>
      <c r="DA129" s="23">
        <v>0</v>
      </c>
      <c r="DB129" s="65">
        <f t="shared" si="351"/>
        <v>0</v>
      </c>
      <c r="DC129" s="23">
        <v>0</v>
      </c>
      <c r="DD129" s="65">
        <f t="shared" si="352"/>
        <v>0</v>
      </c>
      <c r="DE129" s="23">
        <v>0</v>
      </c>
      <c r="DF129" s="65">
        <f t="shared" si="353"/>
        <v>0</v>
      </c>
      <c r="DG129" s="23">
        <v>0</v>
      </c>
      <c r="DH129" s="65">
        <f t="shared" si="354"/>
        <v>0</v>
      </c>
      <c r="DI129" s="23">
        <v>1263</v>
      </c>
      <c r="DJ129" s="65">
        <f t="shared" ref="DJ129:DJ130" si="355">DI129/DI$126</f>
        <v>0.224693115104074</v>
      </c>
      <c r="DK129" s="23">
        <v>1113</v>
      </c>
      <c r="DL129" s="65">
        <f t="shared" ref="DL129:DL130" si="356">DK129/DK$126</f>
        <v>0.14086824452600938</v>
      </c>
      <c r="DM129" s="23">
        <v>1896</v>
      </c>
      <c r="DN129" s="65">
        <f t="shared" ref="DN129:DN130" si="357">DM129/DM$126</f>
        <v>0.28973105134474325</v>
      </c>
      <c r="DO129" s="23">
        <v>1323</v>
      </c>
      <c r="DP129" s="94">
        <f t="shared" ref="DP129:DP130" si="358">DO129/DO$126</f>
        <v>0.20445062586926285</v>
      </c>
      <c r="DQ129" s="23">
        <v>1402</v>
      </c>
      <c r="DR129" s="94">
        <f t="shared" ref="DR129:DR130" si="359">DQ129/DQ$126</f>
        <v>0.19142545057345714</v>
      </c>
      <c r="DS129" s="23">
        <v>1322</v>
      </c>
      <c r="DT129" s="94">
        <f t="shared" ref="DT129:DT130" si="360">DS129/DS$126</f>
        <v>0.18762418393414704</v>
      </c>
      <c r="DU129" s="301"/>
      <c r="DV129" s="301"/>
      <c r="DW129" s="301"/>
      <c r="DX129" s="301"/>
      <c r="DY129" s="301"/>
      <c r="DZ129" s="301"/>
      <c r="EA129" s="301"/>
      <c r="EB129" s="301"/>
      <c r="EC129" s="301"/>
      <c r="ED129" s="301"/>
      <c r="EE129" s="301"/>
      <c r="EF129" s="301"/>
      <c r="EG129" s="301"/>
      <c r="EH129" s="301"/>
      <c r="EI129" s="301"/>
      <c r="EJ129" s="301"/>
      <c r="EK129" s="301"/>
      <c r="EL129" s="301"/>
      <c r="EM129" s="301"/>
      <c r="EN129" s="23">
        <v>769</v>
      </c>
      <c r="EO129" s="94">
        <f t="shared" ref="EO129:EO130" si="361">EN129/EN$126</f>
        <v>0.10966913861950942</v>
      </c>
      <c r="EP129" s="23">
        <v>1100</v>
      </c>
      <c r="EQ129" s="94">
        <f t="shared" ref="EQ129:EQ130" si="362">EP129/EP$126</f>
        <v>0.16601267733172351</v>
      </c>
      <c r="ER129" s="23">
        <v>1850</v>
      </c>
      <c r="ES129" s="94">
        <f t="shared" ref="ES129:ES130" si="363">ER129/ER$126</f>
        <v>0.27686321460640528</v>
      </c>
      <c r="ET129" s="23">
        <v>1934</v>
      </c>
      <c r="EU129" s="94">
        <f t="shared" ref="EU129:EU130" si="364">ET129/ET$126</f>
        <v>0.24471719600151842</v>
      </c>
      <c r="EV129" s="23">
        <v>1934</v>
      </c>
      <c r="EW129" s="94">
        <f t="shared" ref="EW129:EW130" si="365">EV129/EV$126</f>
        <v>0.24471719600151842</v>
      </c>
      <c r="EX129" s="23">
        <v>2624</v>
      </c>
      <c r="EY129" s="94">
        <f t="shared" ref="EY129:EY130" si="366">EX129/EX$126</f>
        <v>0.33261503359107619</v>
      </c>
      <c r="EZ129" s="23">
        <v>3376</v>
      </c>
      <c r="FA129" s="94">
        <f t="shared" ref="FA129:FA130" si="367">EZ129/EZ$126</f>
        <v>0.38005178430710346</v>
      </c>
      <c r="FB129" s="23">
        <v>2398</v>
      </c>
      <c r="FC129" s="94">
        <f t="shared" ref="FC129:FC130" si="368">FB129/FB$126</f>
        <v>0.261504907306434</v>
      </c>
      <c r="FD129" s="23">
        <v>1296</v>
      </c>
      <c r="FE129" s="94">
        <f t="shared" ref="FE129:FE130" si="369">FD129/FD$126</f>
        <v>0.18393414703377803</v>
      </c>
      <c r="FF129" s="23">
        <v>1609</v>
      </c>
      <c r="FG129" s="94">
        <f t="shared" ref="FG129:FG130" si="370">FF129/FF$126</f>
        <v>0.19152481847399119</v>
      </c>
      <c r="FH129" s="23">
        <v>945</v>
      </c>
      <c r="FI129" s="94">
        <f t="shared" ref="FI129:FI130" si="371">FH129/FH$126</f>
        <v>0.11794807788317524</v>
      </c>
      <c r="FJ129" s="23">
        <v>1759</v>
      </c>
      <c r="FK129" s="94">
        <f t="shared" ref="FK129:FK130" si="372">FJ129/FJ$126</f>
        <v>0.23310363106281473</v>
      </c>
      <c r="FL129" s="23">
        <v>2061</v>
      </c>
      <c r="FM129" s="94">
        <f t="shared" ref="FM129:FM130" si="373">FL129/FL$126</f>
        <v>0.29556862182704718</v>
      </c>
      <c r="FN129" s="23">
        <v>1171</v>
      </c>
      <c r="FO129" s="94">
        <f t="shared" ref="FO129:FO130" si="374">FN129/FN$126</f>
        <v>0.18018156639482996</v>
      </c>
      <c r="FP129" s="23">
        <v>1396</v>
      </c>
      <c r="FQ129" s="94">
        <f t="shared" ref="FQ129:FQ130" si="375">FP129/FP$126</f>
        <v>0.21720865100357864</v>
      </c>
      <c r="FR129" s="301"/>
      <c r="FS129" s="301"/>
      <c r="FT129" s="301"/>
      <c r="FU129" s="301"/>
      <c r="FV129" s="301"/>
      <c r="FW129" s="301"/>
      <c r="FX129" s="301"/>
      <c r="FY129" s="301"/>
      <c r="FZ129" s="301"/>
      <c r="GA129" s="301"/>
      <c r="GB129" s="301"/>
      <c r="GC129" s="301"/>
      <c r="GD129" s="301"/>
      <c r="GE129" s="301"/>
      <c r="GF129" s="304"/>
      <c r="GG129" s="304"/>
    </row>
    <row r="130" spans="1:189" ht="15" customHeight="1" outlineLevel="1" x14ac:dyDescent="0.3">
      <c r="A130" s="1"/>
      <c r="B130" s="475"/>
      <c r="C130" s="301"/>
      <c r="D130" s="301"/>
      <c r="E130" s="301"/>
      <c r="F130" s="301"/>
      <c r="G130" s="5" t="s">
        <v>103</v>
      </c>
      <c r="H130" s="5"/>
      <c r="I130" s="23">
        <f t="shared" si="309"/>
        <v>2345</v>
      </c>
      <c r="J130" s="65">
        <f t="shared" si="310"/>
        <v>2.1752237836835026E-2</v>
      </c>
      <c r="K130" s="23">
        <v>299</v>
      </c>
      <c r="L130" s="65">
        <v>1.9619422572178479E-2</v>
      </c>
      <c r="M130" s="23">
        <v>231</v>
      </c>
      <c r="N130" s="65">
        <v>2.0293420012299043E-2</v>
      </c>
      <c r="O130" s="23">
        <v>280</v>
      </c>
      <c r="P130" s="65">
        <v>2.4402998082621578E-2</v>
      </c>
      <c r="Q130" s="23">
        <v>270</v>
      </c>
      <c r="R130" s="65">
        <v>2.4094235231126183E-2</v>
      </c>
      <c r="S130" s="23">
        <v>217</v>
      </c>
      <c r="T130" s="65">
        <v>2.3898678414096916E-2</v>
      </c>
      <c r="U130" s="23">
        <v>150</v>
      </c>
      <c r="V130" s="65">
        <v>2.0729684908789386E-2</v>
      </c>
      <c r="W130" s="23">
        <v>169</v>
      </c>
      <c r="X130" s="65">
        <v>1.8914381645215445E-2</v>
      </c>
      <c r="Y130" s="23">
        <v>474</v>
      </c>
      <c r="Z130" s="65">
        <f t="shared" si="311"/>
        <v>5.1083090850307142E-2</v>
      </c>
      <c r="AA130" s="23">
        <v>159</v>
      </c>
      <c r="AB130" s="65">
        <f t="shared" si="312"/>
        <v>1.707657609279347E-2</v>
      </c>
      <c r="AC130" s="23">
        <v>203</v>
      </c>
      <c r="AD130" s="65">
        <f t="shared" si="313"/>
        <v>1.928374655647383E-2</v>
      </c>
      <c r="AE130" s="23">
        <v>139</v>
      </c>
      <c r="AF130" s="65">
        <f t="shared" si="314"/>
        <v>1.7740906190172302E-2</v>
      </c>
      <c r="AG130" s="23">
        <v>24</v>
      </c>
      <c r="AH130" s="65">
        <f t="shared" si="315"/>
        <v>3.1995733902146382E-3</v>
      </c>
      <c r="AI130" s="23">
        <v>126</v>
      </c>
      <c r="AJ130" s="65">
        <f t="shared" si="316"/>
        <v>1.5048369759942674E-2</v>
      </c>
      <c r="AK130" s="23">
        <v>151</v>
      </c>
      <c r="AL130" s="65">
        <f t="shared" si="317"/>
        <v>2.2598024543549835E-2</v>
      </c>
      <c r="AM130" s="28">
        <v>96</v>
      </c>
      <c r="AN130" s="65">
        <f t="shared" si="318"/>
        <v>1.3283520132835201E-2</v>
      </c>
      <c r="AO130" s="23">
        <v>163</v>
      </c>
      <c r="AP130" s="65">
        <f t="shared" si="319"/>
        <v>1.7615908354047336E-2</v>
      </c>
      <c r="AQ130" s="23">
        <v>0</v>
      </c>
      <c r="AR130" s="65">
        <f t="shared" si="320"/>
        <v>0</v>
      </c>
      <c r="AS130" s="23">
        <v>0</v>
      </c>
      <c r="AT130" s="65">
        <f t="shared" si="321"/>
        <v>0</v>
      </c>
      <c r="AU130" s="23">
        <v>0</v>
      </c>
      <c r="AV130" s="65">
        <f t="shared" si="322"/>
        <v>0</v>
      </c>
      <c r="AW130" s="23">
        <v>0</v>
      </c>
      <c r="AX130" s="65">
        <f t="shared" si="323"/>
        <v>0</v>
      </c>
      <c r="AY130" s="23">
        <v>0</v>
      </c>
      <c r="AZ130" s="65">
        <f t="shared" si="324"/>
        <v>0</v>
      </c>
      <c r="BA130" s="23">
        <v>0</v>
      </c>
      <c r="BB130" s="65">
        <f t="shared" si="325"/>
        <v>0</v>
      </c>
      <c r="BC130" s="23">
        <v>0</v>
      </c>
      <c r="BD130" s="65">
        <f t="shared" si="326"/>
        <v>0</v>
      </c>
      <c r="BE130" s="23">
        <v>0</v>
      </c>
      <c r="BF130" s="65">
        <f t="shared" si="327"/>
        <v>0</v>
      </c>
      <c r="BG130" s="23">
        <v>0</v>
      </c>
      <c r="BH130" s="65">
        <f t="shared" si="328"/>
        <v>0</v>
      </c>
      <c r="BI130" s="23">
        <v>0</v>
      </c>
      <c r="BJ130" s="65">
        <f t="shared" si="342"/>
        <v>0</v>
      </c>
      <c r="BK130" s="23">
        <v>0</v>
      </c>
      <c r="BL130" s="65">
        <f t="shared" si="343"/>
        <v>0</v>
      </c>
      <c r="BM130" s="23">
        <v>0</v>
      </c>
      <c r="BN130" s="65">
        <f t="shared" si="344"/>
        <v>0</v>
      </c>
      <c r="BO130" s="23">
        <v>0</v>
      </c>
      <c r="BP130" s="65">
        <f t="shared" si="345"/>
        <v>0</v>
      </c>
      <c r="BQ130" s="23">
        <v>0</v>
      </c>
      <c r="BR130" s="65">
        <f t="shared" si="346"/>
        <v>0</v>
      </c>
      <c r="BS130" s="23">
        <v>0</v>
      </c>
      <c r="BT130" s="65">
        <f t="shared" si="347"/>
        <v>0</v>
      </c>
      <c r="BU130" s="23">
        <v>0</v>
      </c>
      <c r="BV130" s="65">
        <f t="shared" si="348"/>
        <v>0</v>
      </c>
      <c r="BW130" s="23">
        <v>0</v>
      </c>
      <c r="BX130" s="65">
        <f t="shared" si="329"/>
        <v>0</v>
      </c>
      <c r="BY130" s="23">
        <v>0</v>
      </c>
      <c r="BZ130" s="65">
        <f t="shared" si="349"/>
        <v>0</v>
      </c>
      <c r="CA130" s="23">
        <v>0</v>
      </c>
      <c r="CB130" s="65">
        <f t="shared" si="330"/>
        <v>0</v>
      </c>
      <c r="CC130" s="23">
        <v>0</v>
      </c>
      <c r="CD130" s="65">
        <f t="shared" si="331"/>
        <v>0</v>
      </c>
      <c r="CE130" s="23">
        <v>0</v>
      </c>
      <c r="CF130" s="65">
        <f t="shared" si="332"/>
        <v>0</v>
      </c>
      <c r="CG130" s="23">
        <v>0</v>
      </c>
      <c r="CH130" s="65">
        <f t="shared" si="333"/>
        <v>0</v>
      </c>
      <c r="CI130" s="23">
        <v>0</v>
      </c>
      <c r="CJ130" s="65">
        <f t="shared" si="334"/>
        <v>0</v>
      </c>
      <c r="CK130" s="23">
        <v>0</v>
      </c>
      <c r="CL130" s="65">
        <f t="shared" si="335"/>
        <v>0</v>
      </c>
      <c r="CM130" s="23">
        <v>0</v>
      </c>
      <c r="CN130" s="65">
        <f t="shared" si="336"/>
        <v>0</v>
      </c>
      <c r="CO130" s="23">
        <v>0</v>
      </c>
      <c r="CP130" s="65">
        <f t="shared" si="337"/>
        <v>0</v>
      </c>
      <c r="CQ130" s="23">
        <v>0</v>
      </c>
      <c r="CR130" s="65">
        <f t="shared" si="338"/>
        <v>0</v>
      </c>
      <c r="CS130" s="23">
        <v>0</v>
      </c>
      <c r="CT130" s="65">
        <f t="shared" si="339"/>
        <v>0</v>
      </c>
      <c r="CU130" s="23">
        <v>0</v>
      </c>
      <c r="CV130" s="65">
        <f t="shared" si="350"/>
        <v>0</v>
      </c>
      <c r="CW130" s="23">
        <v>0</v>
      </c>
      <c r="CX130" s="65">
        <f t="shared" si="340"/>
        <v>0</v>
      </c>
      <c r="CY130" s="23">
        <v>0</v>
      </c>
      <c r="CZ130" s="65">
        <f t="shared" si="341"/>
        <v>0</v>
      </c>
      <c r="DA130" s="23">
        <v>0</v>
      </c>
      <c r="DB130" s="65">
        <f t="shared" si="351"/>
        <v>0</v>
      </c>
      <c r="DC130" s="23">
        <v>0</v>
      </c>
      <c r="DD130" s="65">
        <f t="shared" si="352"/>
        <v>0</v>
      </c>
      <c r="DE130" s="23">
        <v>0</v>
      </c>
      <c r="DF130" s="65">
        <f t="shared" si="353"/>
        <v>0</v>
      </c>
      <c r="DG130" s="23">
        <v>0</v>
      </c>
      <c r="DH130" s="65">
        <f t="shared" si="354"/>
        <v>0</v>
      </c>
      <c r="DI130" s="23">
        <v>367</v>
      </c>
      <c r="DJ130" s="65">
        <f t="shared" si="355"/>
        <v>6.5290873510051597E-2</v>
      </c>
      <c r="DK130" s="23">
        <v>171</v>
      </c>
      <c r="DL130" s="65">
        <f t="shared" si="356"/>
        <v>2.1642830021516263E-2</v>
      </c>
      <c r="DM130" s="23">
        <v>86</v>
      </c>
      <c r="DN130" s="65">
        <f t="shared" si="357"/>
        <v>1.3141809290953545E-2</v>
      </c>
      <c r="DO130" s="23">
        <v>92</v>
      </c>
      <c r="DP130" s="94">
        <f t="shared" si="358"/>
        <v>1.4217277082367486E-2</v>
      </c>
      <c r="DQ130" s="23">
        <v>119</v>
      </c>
      <c r="DR130" s="94">
        <f t="shared" si="359"/>
        <v>1.6247951938831239E-2</v>
      </c>
      <c r="DS130" s="23">
        <v>92</v>
      </c>
      <c r="DT130" s="94">
        <f t="shared" si="360"/>
        <v>1.3057053647459552E-2</v>
      </c>
      <c r="DU130" s="301"/>
      <c r="DV130" s="301"/>
      <c r="DW130" s="301"/>
      <c r="DX130" s="301"/>
      <c r="DY130" s="301"/>
      <c r="DZ130" s="301"/>
      <c r="EA130" s="301"/>
      <c r="EB130" s="301"/>
      <c r="EC130" s="301"/>
      <c r="ED130" s="301"/>
      <c r="EE130" s="301"/>
      <c r="EF130" s="301"/>
      <c r="EG130" s="301"/>
      <c r="EH130" s="301"/>
      <c r="EI130" s="301"/>
      <c r="EJ130" s="301"/>
      <c r="EK130" s="301"/>
      <c r="EL130" s="301"/>
      <c r="EM130" s="301"/>
      <c r="EN130" s="23">
        <v>65</v>
      </c>
      <c r="EO130" s="94">
        <f t="shared" si="361"/>
        <v>9.2698231602966336E-3</v>
      </c>
      <c r="EP130" s="23">
        <v>70</v>
      </c>
      <c r="EQ130" s="94">
        <f t="shared" si="362"/>
        <v>1.056444310292786E-2</v>
      </c>
      <c r="ER130" s="23">
        <v>154</v>
      </c>
      <c r="ES130" s="94">
        <f t="shared" si="363"/>
        <v>2.3046991918587251E-2</v>
      </c>
      <c r="ET130" s="23">
        <v>663</v>
      </c>
      <c r="EU130" s="94">
        <f t="shared" si="364"/>
        <v>8.3892192838162724E-2</v>
      </c>
      <c r="EV130" s="23">
        <v>663</v>
      </c>
      <c r="EW130" s="94">
        <f t="shared" si="365"/>
        <v>8.3892192838162724E-2</v>
      </c>
      <c r="EX130" s="23">
        <v>872</v>
      </c>
      <c r="EY130" s="94">
        <f t="shared" si="366"/>
        <v>0.11053365445557105</v>
      </c>
      <c r="EZ130" s="23">
        <v>1288</v>
      </c>
      <c r="FA130" s="94">
        <f t="shared" si="367"/>
        <v>0.1449960598896769</v>
      </c>
      <c r="FB130" s="23">
        <v>987</v>
      </c>
      <c r="FC130" s="94">
        <f t="shared" si="368"/>
        <v>0.10763358778625955</v>
      </c>
      <c r="FD130" s="23">
        <v>178</v>
      </c>
      <c r="FE130" s="94">
        <f t="shared" si="369"/>
        <v>2.5262560317910871E-2</v>
      </c>
      <c r="FF130" s="23">
        <v>177</v>
      </c>
      <c r="FG130" s="94">
        <f t="shared" si="370"/>
        <v>2.1068920366623022E-2</v>
      </c>
      <c r="FH130" s="23">
        <v>164</v>
      </c>
      <c r="FI130" s="94">
        <f t="shared" si="371"/>
        <v>2.0469296055916127E-2</v>
      </c>
      <c r="FJ130" s="23">
        <v>178</v>
      </c>
      <c r="FK130" s="94">
        <f t="shared" si="372"/>
        <v>2.3588656241717465E-2</v>
      </c>
      <c r="FL130" s="23">
        <v>114</v>
      </c>
      <c r="FM130" s="94">
        <f t="shared" si="373"/>
        <v>1.6348773841961851E-2</v>
      </c>
      <c r="FN130" s="23">
        <v>113</v>
      </c>
      <c r="FO130" s="94">
        <f t="shared" si="374"/>
        <v>1.7387290352361903E-2</v>
      </c>
      <c r="FP130" s="23">
        <v>226</v>
      </c>
      <c r="FQ130" s="94">
        <f t="shared" si="375"/>
        <v>3.5164151236969039E-2</v>
      </c>
      <c r="FR130" s="301"/>
      <c r="FS130" s="301"/>
      <c r="FT130" s="301"/>
      <c r="FU130" s="301"/>
      <c r="FV130" s="301"/>
      <c r="FW130" s="301"/>
      <c r="FX130" s="301"/>
      <c r="FY130" s="301"/>
      <c r="FZ130" s="301"/>
      <c r="GA130" s="301"/>
      <c r="GB130" s="301"/>
      <c r="GC130" s="301"/>
      <c r="GD130" s="301"/>
      <c r="GE130" s="301"/>
      <c r="GF130" s="304"/>
      <c r="GG130" s="304"/>
    </row>
    <row r="131" spans="1:189" ht="15" customHeight="1" outlineLevel="1" x14ac:dyDescent="0.3">
      <c r="A131" s="1"/>
      <c r="B131" s="475"/>
      <c r="C131" s="301"/>
      <c r="D131" s="301"/>
      <c r="E131" s="301"/>
      <c r="F131" s="301"/>
      <c r="G131" s="5" t="s">
        <v>104</v>
      </c>
      <c r="H131" s="5"/>
      <c r="I131" s="23">
        <f t="shared" si="309"/>
        <v>521</v>
      </c>
      <c r="J131" s="65">
        <f t="shared" si="310"/>
        <v>4.8327999628959692E-3</v>
      </c>
      <c r="K131" s="23">
        <v>41</v>
      </c>
      <c r="L131" s="65">
        <v>2.6902887139107611E-3</v>
      </c>
      <c r="M131" s="23">
        <v>21</v>
      </c>
      <c r="N131" s="65">
        <v>1.8448563647544584E-3</v>
      </c>
      <c r="O131" s="23">
        <v>45</v>
      </c>
      <c r="P131" s="65">
        <v>3.9219104061356111E-3</v>
      </c>
      <c r="Q131" s="23">
        <v>46</v>
      </c>
      <c r="R131" s="65">
        <v>4.1049437801177939E-3</v>
      </c>
      <c r="S131" s="23">
        <v>35</v>
      </c>
      <c r="T131" s="65">
        <v>3.854625550660793E-3</v>
      </c>
      <c r="U131" s="23">
        <v>29</v>
      </c>
      <c r="V131" s="65">
        <v>4.007739082365948E-3</v>
      </c>
      <c r="W131" s="23">
        <v>46</v>
      </c>
      <c r="X131" s="65">
        <v>5.1482932288752095E-3</v>
      </c>
      <c r="Y131" s="23">
        <v>71</v>
      </c>
      <c r="Z131" s="65">
        <f t="shared" si="311"/>
        <v>7.6516866041599308E-3</v>
      </c>
      <c r="AA131" s="23">
        <v>60</v>
      </c>
      <c r="AB131" s="65">
        <f t="shared" si="312"/>
        <v>6.4439909784126306E-3</v>
      </c>
      <c r="AC131" s="23">
        <v>58</v>
      </c>
      <c r="AD131" s="65">
        <f t="shared" si="313"/>
        <v>5.5096418732782371E-3</v>
      </c>
      <c r="AE131" s="23">
        <v>115</v>
      </c>
      <c r="AF131" s="65">
        <f t="shared" si="314"/>
        <v>1.4677728142948309E-2</v>
      </c>
      <c r="AG131" s="23">
        <v>0</v>
      </c>
      <c r="AH131" s="65">
        <f t="shared" si="315"/>
        <v>0</v>
      </c>
      <c r="AI131" s="23">
        <v>0</v>
      </c>
      <c r="AJ131" s="65">
        <f t="shared" si="316"/>
        <v>0</v>
      </c>
      <c r="AK131" s="23">
        <v>24</v>
      </c>
      <c r="AL131" s="65">
        <f t="shared" si="317"/>
        <v>3.5917390002993114E-3</v>
      </c>
      <c r="AM131" s="28">
        <v>0</v>
      </c>
      <c r="AN131" s="65">
        <f t="shared" si="318"/>
        <v>0</v>
      </c>
      <c r="AO131" s="23">
        <v>41</v>
      </c>
      <c r="AP131" s="65">
        <f t="shared" si="319"/>
        <v>4.4309953528585324E-3</v>
      </c>
      <c r="AQ131" s="23">
        <v>0</v>
      </c>
      <c r="AR131" s="65">
        <f t="shared" si="320"/>
        <v>0</v>
      </c>
      <c r="AS131" s="23">
        <v>0</v>
      </c>
      <c r="AT131" s="65">
        <f t="shared" si="321"/>
        <v>0</v>
      </c>
      <c r="AU131" s="23">
        <v>0</v>
      </c>
      <c r="AV131" s="65">
        <f t="shared" si="322"/>
        <v>0</v>
      </c>
      <c r="AW131" s="23">
        <v>0</v>
      </c>
      <c r="AX131" s="65">
        <f t="shared" si="323"/>
        <v>0</v>
      </c>
      <c r="AY131" s="23">
        <v>0</v>
      </c>
      <c r="AZ131" s="65">
        <f t="shared" si="324"/>
        <v>0</v>
      </c>
      <c r="BA131" s="23">
        <v>0</v>
      </c>
      <c r="BB131" s="65">
        <f t="shared" si="325"/>
        <v>0</v>
      </c>
      <c r="BC131" s="23">
        <v>0</v>
      </c>
      <c r="BD131" s="65">
        <f t="shared" si="326"/>
        <v>0</v>
      </c>
      <c r="BE131" s="23">
        <v>0</v>
      </c>
      <c r="BF131" s="65">
        <f t="shared" si="327"/>
        <v>0</v>
      </c>
      <c r="BG131" s="23">
        <v>0</v>
      </c>
      <c r="BH131" s="65">
        <f t="shared" si="328"/>
        <v>0</v>
      </c>
      <c r="BI131" s="23">
        <v>0</v>
      </c>
      <c r="BJ131" s="65">
        <f t="shared" si="342"/>
        <v>0</v>
      </c>
      <c r="BK131" s="23">
        <v>0</v>
      </c>
      <c r="BL131" s="65">
        <f t="shared" si="343"/>
        <v>0</v>
      </c>
      <c r="BM131" s="23">
        <v>0</v>
      </c>
      <c r="BN131" s="65">
        <f t="shared" si="344"/>
        <v>0</v>
      </c>
      <c r="BO131" s="23">
        <v>0</v>
      </c>
      <c r="BP131" s="65">
        <f t="shared" si="345"/>
        <v>0</v>
      </c>
      <c r="BQ131" s="23">
        <v>0</v>
      </c>
      <c r="BR131" s="65">
        <f t="shared" si="346"/>
        <v>0</v>
      </c>
      <c r="BS131" s="23">
        <v>0</v>
      </c>
      <c r="BT131" s="65">
        <f t="shared" si="347"/>
        <v>0</v>
      </c>
      <c r="BU131" s="23">
        <v>0</v>
      </c>
      <c r="BV131" s="65">
        <f t="shared" si="348"/>
        <v>0</v>
      </c>
      <c r="BW131" s="23">
        <v>0</v>
      </c>
      <c r="BX131" s="65">
        <f t="shared" si="329"/>
        <v>0</v>
      </c>
      <c r="BY131" s="23">
        <v>0</v>
      </c>
      <c r="BZ131" s="65">
        <f t="shared" si="349"/>
        <v>0</v>
      </c>
      <c r="CA131" s="23">
        <v>0</v>
      </c>
      <c r="CB131" s="65">
        <f t="shared" si="330"/>
        <v>0</v>
      </c>
      <c r="CC131" s="23">
        <v>0</v>
      </c>
      <c r="CD131" s="65">
        <f t="shared" si="331"/>
        <v>0</v>
      </c>
      <c r="CE131" s="23">
        <v>0</v>
      </c>
      <c r="CF131" s="65">
        <f t="shared" si="332"/>
        <v>0</v>
      </c>
      <c r="CG131" s="23">
        <v>0</v>
      </c>
      <c r="CH131" s="65">
        <f t="shared" si="333"/>
        <v>0</v>
      </c>
      <c r="CI131" s="23">
        <v>0</v>
      </c>
      <c r="CJ131" s="65">
        <f t="shared" si="334"/>
        <v>0</v>
      </c>
      <c r="CK131" s="23">
        <v>0</v>
      </c>
      <c r="CL131" s="65">
        <f t="shared" si="335"/>
        <v>0</v>
      </c>
      <c r="CM131" s="23">
        <v>0</v>
      </c>
      <c r="CN131" s="65">
        <f t="shared" si="336"/>
        <v>0</v>
      </c>
      <c r="CO131" s="23">
        <v>0</v>
      </c>
      <c r="CP131" s="65">
        <f t="shared" si="337"/>
        <v>0</v>
      </c>
      <c r="CQ131" s="23">
        <v>0</v>
      </c>
      <c r="CR131" s="65">
        <f t="shared" si="338"/>
        <v>0</v>
      </c>
      <c r="CS131" s="23">
        <v>0</v>
      </c>
      <c r="CT131" s="65">
        <f t="shared" si="339"/>
        <v>0</v>
      </c>
      <c r="CU131" s="23">
        <v>0</v>
      </c>
      <c r="CV131" s="65">
        <f t="shared" si="350"/>
        <v>0</v>
      </c>
      <c r="CW131" s="23">
        <v>0</v>
      </c>
      <c r="CX131" s="65">
        <f t="shared" si="340"/>
        <v>0</v>
      </c>
      <c r="CY131" s="23">
        <v>0</v>
      </c>
      <c r="CZ131" s="65">
        <f t="shared" si="341"/>
        <v>0</v>
      </c>
      <c r="DA131" s="23">
        <v>0</v>
      </c>
      <c r="DB131" s="65">
        <f>DA131/$DA$126</f>
        <v>0</v>
      </c>
      <c r="DC131" s="23">
        <v>0</v>
      </c>
      <c r="DD131" s="65">
        <f>DC131/$DA$126</f>
        <v>0</v>
      </c>
      <c r="DE131" s="23">
        <v>0</v>
      </c>
      <c r="DF131" s="65">
        <f>DE131/$DA$126</f>
        <v>0</v>
      </c>
      <c r="DG131" s="23">
        <v>0</v>
      </c>
      <c r="DH131" s="65">
        <f>DG131/$DA$126</f>
        <v>0</v>
      </c>
      <c r="DI131" s="23">
        <v>90</v>
      </c>
      <c r="DJ131" s="65">
        <f>DI131/DI$126</f>
        <v>1.6011385874399573E-2</v>
      </c>
      <c r="DK131" s="23">
        <v>83</v>
      </c>
      <c r="DL131" s="65">
        <f>DK131/DK$126</f>
        <v>1.0504999367168713E-2</v>
      </c>
      <c r="DM131" s="23">
        <v>49</v>
      </c>
      <c r="DN131" s="65">
        <f>DM131/DM$126</f>
        <v>7.4877750611246942E-3</v>
      </c>
      <c r="DO131" s="23">
        <v>49</v>
      </c>
      <c r="DP131" s="94">
        <f>DO131/DO$126</f>
        <v>7.572245402565291E-3</v>
      </c>
      <c r="DQ131" s="23">
        <v>30</v>
      </c>
      <c r="DR131" s="94">
        <f>DQ131/DQ$126</f>
        <v>4.096122337520481E-3</v>
      </c>
      <c r="DS131" s="23">
        <v>33</v>
      </c>
      <c r="DT131" s="94">
        <f>DS131/DS$126</f>
        <v>4.683508373545274E-3</v>
      </c>
      <c r="DU131" s="302"/>
      <c r="DV131" s="302"/>
      <c r="DW131" s="302"/>
      <c r="DX131" s="302"/>
      <c r="DY131" s="302"/>
      <c r="DZ131" s="302"/>
      <c r="EA131" s="302"/>
      <c r="EB131" s="302"/>
      <c r="EC131" s="302"/>
      <c r="ED131" s="302"/>
      <c r="EE131" s="302"/>
      <c r="EF131" s="302"/>
      <c r="EG131" s="302"/>
      <c r="EH131" s="302"/>
      <c r="EI131" s="302"/>
      <c r="EJ131" s="302"/>
      <c r="EK131" s="302"/>
      <c r="EL131" s="302"/>
      <c r="EM131" s="302"/>
      <c r="EN131" s="23">
        <v>16</v>
      </c>
      <c r="EO131" s="94">
        <f>EN131/EN$126</f>
        <v>2.2818026240730175E-3</v>
      </c>
      <c r="EP131" s="23">
        <v>33</v>
      </c>
      <c r="EQ131" s="94">
        <f>EP131/EP$126</f>
        <v>4.9803803199517053E-3</v>
      </c>
      <c r="ER131" s="23">
        <v>26</v>
      </c>
      <c r="ES131" s="94">
        <f>ER131/ER$126</f>
        <v>3.8910505836575876E-3</v>
      </c>
      <c r="ET131" s="23">
        <v>73</v>
      </c>
      <c r="EU131" s="94">
        <f>ET131/ET$126</f>
        <v>9.2369986081234975E-3</v>
      </c>
      <c r="EV131" s="23">
        <v>73</v>
      </c>
      <c r="EW131" s="94">
        <f>EV131/EV$126</f>
        <v>9.2369986081234975E-3</v>
      </c>
      <c r="EX131" s="23">
        <v>209</v>
      </c>
      <c r="EY131" s="94">
        <f>EX131/EX$126</f>
        <v>2.6492584611484345E-2</v>
      </c>
      <c r="EZ131" s="23">
        <v>270</v>
      </c>
      <c r="FA131" s="94">
        <f>EZ131/EZ$126</f>
        <v>3.0395136778115502E-2</v>
      </c>
      <c r="FB131" s="23">
        <v>399</v>
      </c>
      <c r="FC131" s="94">
        <f>FB131/FB$126</f>
        <v>4.351145038167939E-2</v>
      </c>
      <c r="FD131" s="23">
        <v>94</v>
      </c>
      <c r="FE131" s="94">
        <f>FD131/FD$126</f>
        <v>1.3340902639795628E-2</v>
      </c>
      <c r="FF131" s="23">
        <v>125</v>
      </c>
      <c r="FG131" s="94">
        <f>FF131/FF$126</f>
        <v>1.4879181049875016E-2</v>
      </c>
      <c r="FH131" s="23">
        <v>76</v>
      </c>
      <c r="FI131" s="94">
        <f>FH131/FH$126</f>
        <v>9.4857713429855224E-3</v>
      </c>
      <c r="FJ131" s="23">
        <v>107</v>
      </c>
      <c r="FK131" s="94">
        <f>FJ131/FJ$126</f>
        <v>1.4179697853167242E-2</v>
      </c>
      <c r="FL131" s="23">
        <v>123</v>
      </c>
      <c r="FM131" s="94">
        <f>FL131/FL$126</f>
        <v>1.7639466513695683E-2</v>
      </c>
      <c r="FN131" s="23">
        <v>77</v>
      </c>
      <c r="FO131" s="94">
        <f>FN131/FN$126</f>
        <v>1.1847976611786428E-2</v>
      </c>
      <c r="FP131" s="23">
        <v>134</v>
      </c>
      <c r="FQ131" s="94">
        <f>FP131/FP$126</f>
        <v>2.0849540998910846E-2</v>
      </c>
      <c r="FR131" s="302"/>
      <c r="FS131" s="302"/>
      <c r="FT131" s="302"/>
      <c r="FU131" s="302"/>
      <c r="FV131" s="302"/>
      <c r="FW131" s="302"/>
      <c r="FX131" s="302"/>
      <c r="FY131" s="302"/>
      <c r="FZ131" s="302"/>
      <c r="GA131" s="302"/>
      <c r="GB131" s="302"/>
      <c r="GC131" s="302"/>
      <c r="GD131" s="302"/>
      <c r="GE131" s="302"/>
      <c r="GF131" s="305"/>
      <c r="GG131" s="305"/>
    </row>
    <row r="132" spans="1:189" ht="15" customHeight="1" outlineLevel="1" x14ac:dyDescent="0.3">
      <c r="A132" s="1"/>
      <c r="B132" s="475"/>
      <c r="C132" s="301"/>
      <c r="D132" s="301"/>
      <c r="E132" s="301"/>
      <c r="F132" s="301"/>
      <c r="G132" s="71" t="s">
        <v>105</v>
      </c>
      <c r="H132" s="5"/>
      <c r="I132" s="23"/>
      <c r="J132" s="65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>
        <v>5671</v>
      </c>
      <c r="V132" s="65"/>
      <c r="W132" s="23">
        <v>5961</v>
      </c>
      <c r="X132" s="65"/>
      <c r="Y132" s="23"/>
      <c r="Z132" s="65"/>
      <c r="AA132" s="23"/>
      <c r="AB132" s="65"/>
      <c r="AC132" s="23"/>
      <c r="AD132" s="65"/>
      <c r="AE132" s="23"/>
      <c r="AF132" s="65"/>
      <c r="AG132" s="23"/>
      <c r="AH132" s="65"/>
      <c r="AI132" s="23"/>
      <c r="AJ132" s="65"/>
      <c r="AK132" s="23"/>
      <c r="AL132" s="65"/>
      <c r="AM132" s="23"/>
      <c r="AN132" s="65"/>
      <c r="AO132" s="23"/>
      <c r="AP132" s="65"/>
      <c r="AQ132" s="23"/>
      <c r="AR132" s="65"/>
      <c r="AS132" s="23"/>
      <c r="AT132" s="65"/>
      <c r="AU132" s="23"/>
      <c r="AV132" s="65"/>
      <c r="AW132" s="23"/>
      <c r="AX132" s="65"/>
      <c r="AY132" s="23"/>
      <c r="AZ132" s="65"/>
      <c r="BA132" s="23"/>
      <c r="BB132" s="65"/>
      <c r="BC132" s="23"/>
      <c r="BD132" s="65"/>
      <c r="BE132" s="23"/>
      <c r="BF132" s="65"/>
      <c r="BG132" s="23"/>
      <c r="BH132" s="65"/>
      <c r="BI132" s="23"/>
      <c r="BJ132" s="65"/>
      <c r="BK132" s="23"/>
      <c r="BL132" s="65"/>
      <c r="BM132" s="23"/>
      <c r="BN132" s="65"/>
      <c r="BO132" s="23"/>
      <c r="BP132" s="65"/>
      <c r="BQ132" s="23"/>
      <c r="BR132" s="65"/>
      <c r="BS132" s="23"/>
      <c r="BT132" s="65"/>
      <c r="BU132" s="23"/>
      <c r="BV132" s="65"/>
      <c r="BW132" s="23"/>
      <c r="BX132" s="65"/>
      <c r="BY132" s="23"/>
      <c r="BZ132" s="65"/>
      <c r="CA132" s="23"/>
      <c r="CB132" s="65"/>
      <c r="CC132" s="23"/>
      <c r="CD132" s="65"/>
      <c r="CE132" s="23"/>
      <c r="CF132" s="65"/>
      <c r="CG132" s="23"/>
      <c r="CH132" s="65"/>
      <c r="CI132" s="23"/>
      <c r="CJ132" s="65"/>
      <c r="CK132" s="23"/>
      <c r="CL132" s="65"/>
      <c r="CM132" s="23"/>
      <c r="CN132" s="65"/>
      <c r="CO132" s="23"/>
      <c r="CP132" s="65"/>
      <c r="CQ132" s="23"/>
      <c r="CR132" s="65"/>
      <c r="CS132" s="23"/>
      <c r="CT132" s="65"/>
      <c r="CU132" s="23"/>
      <c r="CV132" s="65"/>
      <c r="CW132" s="23"/>
      <c r="CX132" s="65"/>
      <c r="CY132" s="23"/>
      <c r="CZ132" s="65"/>
      <c r="DA132" s="23"/>
      <c r="DB132" s="65"/>
      <c r="DC132" s="23"/>
      <c r="DD132" s="65"/>
      <c r="DE132" s="23"/>
      <c r="DF132" s="65"/>
      <c r="DG132" s="23"/>
      <c r="DH132" s="65"/>
      <c r="DI132" s="23"/>
      <c r="DJ132" s="65"/>
      <c r="DK132" s="23"/>
      <c r="DL132" s="65"/>
      <c r="DM132" s="23"/>
      <c r="DN132" s="65"/>
      <c r="DO132" s="23"/>
      <c r="DP132" s="65"/>
      <c r="DQ132" s="23"/>
      <c r="DR132" s="65"/>
      <c r="DS132" s="23"/>
      <c r="DT132" s="65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23"/>
      <c r="EO132" s="65"/>
      <c r="EP132" s="23"/>
      <c r="EQ132" s="65"/>
      <c r="ER132" s="23"/>
      <c r="ES132" s="65"/>
      <c r="ET132" s="23"/>
      <c r="EU132" s="65"/>
      <c r="EV132" s="23"/>
      <c r="EW132" s="65"/>
      <c r="EX132" s="23"/>
      <c r="EY132" s="65"/>
      <c r="EZ132" s="23"/>
      <c r="FA132" s="65"/>
      <c r="FB132" s="23"/>
      <c r="FC132" s="65"/>
      <c r="FD132" s="23"/>
      <c r="FE132" s="65"/>
      <c r="FF132" s="23"/>
      <c r="FG132" s="65"/>
      <c r="FH132" s="23"/>
      <c r="FI132" s="65"/>
      <c r="FJ132" s="23"/>
      <c r="FK132" s="65"/>
      <c r="FL132" s="23"/>
      <c r="FM132" s="65"/>
      <c r="FN132" s="23"/>
      <c r="FO132" s="65"/>
      <c r="FP132" s="23"/>
      <c r="FQ132" s="65"/>
      <c r="FR132" s="84"/>
      <c r="FS132" s="84"/>
      <c r="FT132" s="84"/>
      <c r="FU132" s="84"/>
      <c r="FV132" s="84"/>
      <c r="FW132" s="84"/>
      <c r="FX132" s="84"/>
      <c r="FY132" s="84"/>
      <c r="FZ132" s="84"/>
      <c r="GA132" s="84"/>
      <c r="GB132" s="84"/>
      <c r="GC132" s="84"/>
      <c r="GD132" s="84"/>
      <c r="GE132" s="84"/>
      <c r="GF132" s="84"/>
      <c r="GG132" s="84"/>
    </row>
    <row r="133" spans="1:189" ht="11.25" customHeight="1" outlineLevel="1" x14ac:dyDescent="0.3">
      <c r="A133" s="1"/>
      <c r="B133" s="476"/>
      <c r="C133" s="302"/>
      <c r="D133" s="302"/>
      <c r="E133" s="302"/>
      <c r="F133" s="302"/>
      <c r="G133" s="71" t="s">
        <v>106</v>
      </c>
      <c r="H133" s="5"/>
      <c r="I133" s="327"/>
      <c r="J133" s="281"/>
      <c r="K133" s="327"/>
      <c r="L133" s="281"/>
      <c r="M133" s="327"/>
      <c r="N133" s="281"/>
      <c r="O133" s="327"/>
      <c r="P133" s="281"/>
      <c r="Q133" s="327"/>
      <c r="R133" s="281"/>
      <c r="S133" s="327"/>
      <c r="T133" s="281"/>
      <c r="U133" s="327"/>
      <c r="V133" s="281"/>
      <c r="W133" s="327"/>
      <c r="X133" s="281"/>
      <c r="Y133" s="327"/>
      <c r="Z133" s="281"/>
      <c r="AA133" s="327"/>
      <c r="AB133" s="281"/>
      <c r="AC133" s="327"/>
      <c r="AD133" s="281"/>
      <c r="AE133" s="327"/>
      <c r="AF133" s="281"/>
      <c r="AG133" s="327"/>
      <c r="AH133" s="281"/>
      <c r="AI133" s="327"/>
      <c r="AJ133" s="281"/>
      <c r="AK133" s="327"/>
      <c r="AL133" s="281"/>
      <c r="AM133" s="327"/>
      <c r="AN133" s="281"/>
      <c r="AO133" s="327"/>
      <c r="AP133" s="281"/>
      <c r="AQ133" s="327"/>
      <c r="AR133" s="281"/>
      <c r="AS133" s="327"/>
      <c r="AT133" s="281"/>
      <c r="AU133" s="327"/>
      <c r="AV133" s="281"/>
      <c r="AW133" s="327"/>
      <c r="AX133" s="281"/>
      <c r="AY133" s="327"/>
      <c r="AZ133" s="281"/>
      <c r="BA133" s="327"/>
      <c r="BB133" s="281"/>
      <c r="BC133" s="327"/>
      <c r="BD133" s="281"/>
      <c r="BE133" s="327"/>
      <c r="BF133" s="281"/>
      <c r="BG133" s="327"/>
      <c r="BH133" s="281"/>
      <c r="BI133" s="327"/>
      <c r="BJ133" s="281"/>
      <c r="BK133" s="327"/>
      <c r="BL133" s="281"/>
      <c r="BM133" s="327"/>
      <c r="BN133" s="281"/>
      <c r="BO133" s="327"/>
      <c r="BP133" s="281"/>
      <c r="BQ133" s="327"/>
      <c r="BR133" s="281"/>
      <c r="BS133" s="327"/>
      <c r="BT133" s="281"/>
      <c r="BU133" s="327"/>
      <c r="BV133" s="281"/>
      <c r="BW133" s="327"/>
      <c r="BX133" s="281"/>
      <c r="BY133" s="327"/>
      <c r="BZ133" s="281"/>
      <c r="CA133" s="327"/>
      <c r="CB133" s="281"/>
      <c r="CC133" s="327"/>
      <c r="CD133" s="281"/>
      <c r="CE133" s="327"/>
      <c r="CF133" s="281"/>
      <c r="CG133" s="327"/>
      <c r="CH133" s="281"/>
      <c r="CI133" s="327"/>
      <c r="CJ133" s="281"/>
      <c r="CK133" s="327"/>
      <c r="CL133" s="281"/>
      <c r="CM133" s="327"/>
      <c r="CN133" s="281"/>
      <c r="CO133" s="327"/>
      <c r="CP133" s="281"/>
      <c r="CQ133" s="327"/>
      <c r="CR133" s="281"/>
      <c r="CS133" s="327"/>
      <c r="CT133" s="281"/>
      <c r="CU133" s="327"/>
      <c r="CV133" s="281"/>
      <c r="CW133" s="327"/>
      <c r="CX133" s="281"/>
      <c r="CY133" s="327"/>
      <c r="CZ133" s="281"/>
      <c r="DA133" s="327"/>
      <c r="DB133" s="281"/>
      <c r="DC133" s="327"/>
      <c r="DD133" s="281"/>
      <c r="DE133" s="327"/>
      <c r="DF133" s="281"/>
      <c r="DG133" s="327"/>
      <c r="DH133" s="281"/>
      <c r="DI133" s="327"/>
      <c r="DJ133" s="281"/>
      <c r="DK133" s="327"/>
      <c r="DL133" s="281"/>
      <c r="DM133" s="327"/>
      <c r="DN133" s="281"/>
      <c r="DO133" s="327"/>
      <c r="DP133" s="281"/>
      <c r="DQ133" s="327"/>
      <c r="DR133" s="281"/>
      <c r="DS133" s="327"/>
      <c r="DT133" s="281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327"/>
      <c r="EO133" s="281"/>
      <c r="EP133" s="327"/>
      <c r="EQ133" s="281"/>
      <c r="ER133" s="327"/>
      <c r="ES133" s="281"/>
      <c r="ET133" s="327"/>
      <c r="EU133" s="281"/>
      <c r="EV133" s="327"/>
      <c r="EW133" s="281"/>
      <c r="EX133" s="327"/>
      <c r="EY133" s="281"/>
      <c r="EZ133" s="327"/>
      <c r="FA133" s="281"/>
      <c r="FB133" s="327"/>
      <c r="FC133" s="281"/>
      <c r="FD133" s="327"/>
      <c r="FE133" s="281"/>
      <c r="FF133" s="327"/>
      <c r="FG133" s="281"/>
      <c r="FH133" s="327"/>
      <c r="FI133" s="281"/>
      <c r="FJ133" s="327"/>
      <c r="FK133" s="281"/>
      <c r="FL133" s="327"/>
      <c r="FM133" s="281"/>
      <c r="FN133" s="327"/>
      <c r="FO133" s="281"/>
      <c r="FP133" s="327"/>
      <c r="FQ133" s="281"/>
      <c r="FR133" s="84"/>
      <c r="FS133" s="84"/>
      <c r="FT133" s="84"/>
      <c r="FU133" s="84"/>
      <c r="FV133" s="84"/>
      <c r="FW133" s="84"/>
      <c r="FX133" s="84"/>
      <c r="FY133" s="84"/>
      <c r="FZ133" s="84"/>
      <c r="GA133" s="84"/>
      <c r="GB133" s="84"/>
      <c r="GC133" s="84"/>
      <c r="GD133" s="84"/>
      <c r="GE133" s="84"/>
      <c r="GF133" s="84"/>
      <c r="GG133" s="84"/>
    </row>
    <row r="134" spans="1:189" ht="8.25" customHeight="1" x14ac:dyDescent="0.3">
      <c r="A134" s="1"/>
      <c r="B134" s="18"/>
      <c r="C134" s="18"/>
      <c r="D134" s="18"/>
      <c r="E134" s="18"/>
      <c r="F134" s="18"/>
      <c r="G134" s="3"/>
      <c r="H134" s="3"/>
      <c r="I134" s="19"/>
      <c r="J134" s="20"/>
      <c r="K134" s="19"/>
      <c r="L134" s="20"/>
      <c r="M134" s="19"/>
      <c r="N134" s="20"/>
      <c r="O134" s="19"/>
      <c r="P134" s="20"/>
      <c r="Q134" s="19"/>
      <c r="R134" s="20"/>
      <c r="S134" s="19"/>
      <c r="T134" s="20"/>
      <c r="U134" s="19"/>
      <c r="V134" s="20"/>
      <c r="W134" s="19"/>
      <c r="X134" s="20"/>
      <c r="Y134" s="19"/>
      <c r="Z134" s="20"/>
      <c r="AA134" s="19"/>
      <c r="AB134" s="20"/>
      <c r="AC134" s="19"/>
      <c r="AD134" s="20"/>
      <c r="AE134" s="19"/>
      <c r="AF134" s="20"/>
      <c r="AG134" s="19"/>
      <c r="AH134" s="20"/>
      <c r="AI134" s="19"/>
      <c r="AJ134" s="20"/>
      <c r="AK134" s="19"/>
      <c r="AL134" s="20"/>
      <c r="AM134" s="19"/>
      <c r="AN134" s="20"/>
      <c r="AO134" s="19"/>
      <c r="AP134" s="20"/>
      <c r="AQ134" s="19"/>
      <c r="AR134" s="20"/>
      <c r="AS134" s="19"/>
      <c r="AT134" s="20"/>
      <c r="AU134" s="19"/>
      <c r="AV134" s="20"/>
      <c r="AW134" s="19"/>
      <c r="AX134" s="20"/>
      <c r="AY134" s="19"/>
      <c r="AZ134" s="20"/>
      <c r="BA134" s="19"/>
      <c r="BB134" s="20"/>
      <c r="BC134" s="19"/>
      <c r="BD134" s="20"/>
      <c r="BE134" s="19"/>
      <c r="BF134" s="20"/>
      <c r="BG134" s="19"/>
      <c r="BH134" s="20"/>
      <c r="BI134" s="19"/>
      <c r="BJ134" s="20"/>
      <c r="BK134" s="19"/>
      <c r="BL134" s="20"/>
      <c r="BM134" s="19"/>
      <c r="BN134" s="20"/>
      <c r="BO134" s="19"/>
      <c r="BP134" s="20"/>
      <c r="BQ134" s="19"/>
      <c r="BR134" s="20"/>
      <c r="BS134" s="19"/>
      <c r="BT134" s="20"/>
      <c r="BU134" s="19"/>
      <c r="BV134" s="20"/>
      <c r="BW134" s="19"/>
      <c r="BX134" s="20"/>
      <c r="BY134" s="19"/>
      <c r="BZ134" s="20"/>
      <c r="CA134" s="19"/>
      <c r="CB134" s="20"/>
      <c r="CC134" s="19"/>
      <c r="CD134" s="20"/>
      <c r="CE134" s="19"/>
      <c r="CF134" s="20"/>
      <c r="CG134" s="19"/>
      <c r="CH134" s="20"/>
      <c r="CI134" s="19"/>
      <c r="CJ134" s="20"/>
      <c r="CK134" s="19"/>
      <c r="CL134" s="20"/>
      <c r="CM134" s="19"/>
      <c r="CN134" s="20"/>
      <c r="CO134" s="19"/>
      <c r="CP134" s="20"/>
      <c r="CQ134" s="19"/>
      <c r="CR134" s="20"/>
      <c r="CS134" s="19"/>
      <c r="CT134" s="20"/>
      <c r="CU134" s="19"/>
      <c r="CV134" s="20"/>
      <c r="CW134" s="19"/>
      <c r="CX134" s="20"/>
      <c r="CY134" s="19"/>
      <c r="CZ134" s="20"/>
      <c r="DA134" s="19"/>
      <c r="DB134" s="20"/>
      <c r="DC134" s="19"/>
      <c r="DD134" s="20"/>
      <c r="DE134" s="19"/>
      <c r="DF134" s="20"/>
      <c r="DG134" s="19"/>
      <c r="DH134" s="20"/>
      <c r="DI134" s="19"/>
      <c r="DJ134" s="20"/>
      <c r="DK134" s="19"/>
      <c r="DL134" s="20"/>
      <c r="DM134" s="19"/>
      <c r="DN134" s="20"/>
      <c r="DO134" s="19"/>
      <c r="DP134" s="20"/>
      <c r="DQ134" s="19"/>
      <c r="DR134" s="20"/>
      <c r="DS134" s="19"/>
      <c r="DT134" s="20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19"/>
      <c r="EO134" s="20"/>
      <c r="EP134" s="19"/>
      <c r="EQ134" s="20"/>
      <c r="ER134" s="19"/>
      <c r="ES134" s="20"/>
      <c r="ET134" s="19"/>
      <c r="EU134" s="20"/>
      <c r="EV134" s="19"/>
      <c r="EW134" s="20"/>
      <c r="EX134" s="19"/>
      <c r="EY134" s="20"/>
      <c r="EZ134" s="19"/>
      <c r="FA134" s="20"/>
      <c r="FB134" s="19"/>
      <c r="FC134" s="20"/>
      <c r="FD134" s="19"/>
      <c r="FE134" s="20"/>
      <c r="FF134" s="19"/>
      <c r="FG134" s="20"/>
      <c r="FH134" s="19"/>
      <c r="FI134" s="20"/>
      <c r="FJ134" s="19"/>
      <c r="FK134" s="20"/>
      <c r="FL134" s="19"/>
      <c r="FM134" s="20"/>
      <c r="FN134" s="19"/>
      <c r="FO134" s="20"/>
      <c r="FP134" s="19"/>
      <c r="FQ134" s="20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</row>
    <row r="135" spans="1:189" ht="15" customHeight="1" x14ac:dyDescent="0.3">
      <c r="A135" s="85"/>
      <c r="B135" s="313" t="s">
        <v>108</v>
      </c>
      <c r="C135" s="313" t="s">
        <v>80</v>
      </c>
      <c r="D135" s="313" t="s">
        <v>96</v>
      </c>
      <c r="E135" s="313" t="s">
        <v>109</v>
      </c>
      <c r="F135" s="313" t="s">
        <v>110</v>
      </c>
      <c r="G135" s="5" t="s">
        <v>28</v>
      </c>
      <c r="H135" s="5"/>
      <c r="I135" s="357">
        <v>3.4</v>
      </c>
      <c r="J135" s="281"/>
      <c r="K135" s="357">
        <v>3.4</v>
      </c>
      <c r="L135" s="281"/>
      <c r="M135" s="357">
        <v>3.4</v>
      </c>
      <c r="N135" s="281"/>
      <c r="O135" s="357">
        <v>3.4</v>
      </c>
      <c r="P135" s="281"/>
      <c r="Q135" s="357">
        <v>3.4</v>
      </c>
      <c r="R135" s="281"/>
      <c r="S135" s="357">
        <v>3.4</v>
      </c>
      <c r="T135" s="281"/>
      <c r="U135" s="357">
        <v>3.4</v>
      </c>
      <c r="V135" s="281"/>
      <c r="W135" s="357">
        <v>3.4</v>
      </c>
      <c r="X135" s="281"/>
      <c r="Y135" s="357">
        <v>3.4</v>
      </c>
      <c r="Z135" s="281"/>
      <c r="AA135" s="357">
        <v>3.4</v>
      </c>
      <c r="AB135" s="281"/>
      <c r="AC135" s="357">
        <v>3.4</v>
      </c>
      <c r="AD135" s="281"/>
      <c r="AE135" s="357">
        <v>3.4</v>
      </c>
      <c r="AF135" s="281"/>
      <c r="AG135" s="357">
        <v>3.4</v>
      </c>
      <c r="AH135" s="281"/>
      <c r="AI135" s="357">
        <v>3</v>
      </c>
      <c r="AJ135" s="281"/>
      <c r="AK135" s="357">
        <v>3</v>
      </c>
      <c r="AL135" s="281"/>
      <c r="AM135" s="357">
        <v>3</v>
      </c>
      <c r="AN135" s="281"/>
      <c r="AO135" s="357">
        <v>3</v>
      </c>
      <c r="AP135" s="281"/>
      <c r="AQ135" s="357">
        <v>3</v>
      </c>
      <c r="AR135" s="281"/>
      <c r="AS135" s="357">
        <v>3</v>
      </c>
      <c r="AT135" s="281"/>
      <c r="AU135" s="357">
        <v>3</v>
      </c>
      <c r="AV135" s="281"/>
      <c r="AW135" s="357">
        <v>3</v>
      </c>
      <c r="AX135" s="281"/>
      <c r="AY135" s="357">
        <v>3</v>
      </c>
      <c r="AZ135" s="281"/>
      <c r="BA135" s="357">
        <v>3</v>
      </c>
      <c r="BB135" s="281"/>
      <c r="BC135" s="357">
        <v>3</v>
      </c>
      <c r="BD135" s="281"/>
      <c r="BE135" s="357">
        <v>3</v>
      </c>
      <c r="BF135" s="281"/>
      <c r="BG135" s="357">
        <v>3</v>
      </c>
      <c r="BH135" s="281"/>
      <c r="BI135" s="357">
        <v>3</v>
      </c>
      <c r="BJ135" s="281"/>
      <c r="BK135" s="357">
        <v>3</v>
      </c>
      <c r="BL135" s="281"/>
      <c r="BM135" s="357">
        <v>3</v>
      </c>
      <c r="BN135" s="281"/>
      <c r="BO135" s="357">
        <v>3</v>
      </c>
      <c r="BP135" s="281"/>
      <c r="BQ135" s="357">
        <v>3</v>
      </c>
      <c r="BR135" s="281"/>
      <c r="BS135" s="357">
        <v>3</v>
      </c>
      <c r="BT135" s="281"/>
      <c r="BU135" s="357">
        <v>3</v>
      </c>
      <c r="BV135" s="281"/>
      <c r="BW135" s="357">
        <v>3</v>
      </c>
      <c r="BX135" s="281"/>
      <c r="BY135" s="357">
        <v>3</v>
      </c>
      <c r="BZ135" s="281"/>
      <c r="CA135" s="357">
        <v>3</v>
      </c>
      <c r="CB135" s="281"/>
      <c r="CC135" s="357">
        <v>3</v>
      </c>
      <c r="CD135" s="281"/>
      <c r="CE135" s="357">
        <v>3</v>
      </c>
      <c r="CF135" s="281"/>
      <c r="CG135" s="357">
        <v>3</v>
      </c>
      <c r="CH135" s="281"/>
      <c r="CI135" s="357">
        <v>3</v>
      </c>
      <c r="CJ135" s="281"/>
      <c r="CK135" s="357">
        <v>3</v>
      </c>
      <c r="CL135" s="281"/>
      <c r="CM135" s="357">
        <v>3</v>
      </c>
      <c r="CN135" s="281"/>
      <c r="CO135" s="357">
        <v>3</v>
      </c>
      <c r="CP135" s="281"/>
      <c r="CQ135" s="357">
        <v>3</v>
      </c>
      <c r="CR135" s="281"/>
      <c r="CS135" s="357">
        <v>3</v>
      </c>
      <c r="CT135" s="281"/>
      <c r="CU135" s="357">
        <v>3</v>
      </c>
      <c r="CV135" s="281"/>
      <c r="CW135" s="357">
        <v>3</v>
      </c>
      <c r="CX135" s="281"/>
      <c r="CY135" s="357">
        <v>3</v>
      </c>
      <c r="CZ135" s="281"/>
      <c r="DA135" s="357">
        <v>3</v>
      </c>
      <c r="DB135" s="281"/>
      <c r="DC135" s="357">
        <v>3</v>
      </c>
      <c r="DD135" s="281"/>
      <c r="DE135" s="357">
        <v>3</v>
      </c>
      <c r="DF135" s="281"/>
      <c r="DG135" s="357">
        <v>3</v>
      </c>
      <c r="DH135" s="281"/>
      <c r="DI135" s="357">
        <v>3</v>
      </c>
      <c r="DJ135" s="281"/>
      <c r="DK135" s="357">
        <v>3</v>
      </c>
      <c r="DL135" s="281"/>
      <c r="DM135" s="357">
        <v>3</v>
      </c>
      <c r="DN135" s="281"/>
      <c r="DO135" s="357">
        <v>3</v>
      </c>
      <c r="DP135" s="281"/>
      <c r="DQ135" s="357">
        <v>3</v>
      </c>
      <c r="DR135" s="281"/>
      <c r="DS135" s="357">
        <v>3</v>
      </c>
      <c r="DT135" s="281"/>
      <c r="DU135" s="303" t="s">
        <v>29</v>
      </c>
      <c r="DV135" s="303" t="s">
        <v>29</v>
      </c>
      <c r="DW135" s="303" t="s">
        <v>29</v>
      </c>
      <c r="DX135" s="303" t="s">
        <v>29</v>
      </c>
      <c r="DY135" s="303" t="s">
        <v>29</v>
      </c>
      <c r="DZ135" s="303" t="s">
        <v>29</v>
      </c>
      <c r="EA135" s="303" t="s">
        <v>29</v>
      </c>
      <c r="EB135" s="303" t="s">
        <v>29</v>
      </c>
      <c r="EC135" s="303" t="s">
        <v>29</v>
      </c>
      <c r="ED135" s="303" t="s">
        <v>29</v>
      </c>
      <c r="EE135" s="303" t="s">
        <v>29</v>
      </c>
      <c r="EF135" s="303" t="s">
        <v>29</v>
      </c>
      <c r="EG135" s="303" t="s">
        <v>29</v>
      </c>
      <c r="EH135" s="303" t="s">
        <v>29</v>
      </c>
      <c r="EI135" s="303" t="s">
        <v>29</v>
      </c>
      <c r="EJ135" s="303" t="s">
        <v>29</v>
      </c>
      <c r="EK135" s="303" t="s">
        <v>29</v>
      </c>
      <c r="EL135" s="303" t="s">
        <v>29</v>
      </c>
      <c r="EM135" s="303" t="s">
        <v>29</v>
      </c>
      <c r="EN135" s="357">
        <v>3</v>
      </c>
      <c r="EO135" s="281"/>
      <c r="EP135" s="357">
        <v>3</v>
      </c>
      <c r="EQ135" s="281"/>
      <c r="ER135" s="357">
        <v>3</v>
      </c>
      <c r="ES135" s="281"/>
      <c r="ET135" s="357">
        <v>3</v>
      </c>
      <c r="EU135" s="281"/>
      <c r="EV135" s="357">
        <v>3</v>
      </c>
      <c r="EW135" s="281"/>
      <c r="EX135" s="357">
        <v>3</v>
      </c>
      <c r="EY135" s="281"/>
      <c r="EZ135" s="357">
        <v>3</v>
      </c>
      <c r="FA135" s="281"/>
      <c r="FB135" s="357">
        <v>3</v>
      </c>
      <c r="FC135" s="281"/>
      <c r="FD135" s="357">
        <v>3</v>
      </c>
      <c r="FE135" s="281"/>
      <c r="FF135" s="357">
        <v>3</v>
      </c>
      <c r="FG135" s="281"/>
      <c r="FH135" s="357">
        <v>3</v>
      </c>
      <c r="FI135" s="281"/>
      <c r="FJ135" s="357">
        <v>3</v>
      </c>
      <c r="FK135" s="281"/>
      <c r="FL135" s="357">
        <v>3</v>
      </c>
      <c r="FM135" s="281"/>
      <c r="FN135" s="357">
        <v>3</v>
      </c>
      <c r="FO135" s="281"/>
      <c r="FP135" s="357">
        <v>3</v>
      </c>
      <c r="FQ135" s="281"/>
      <c r="FR135" s="303" t="s">
        <v>29</v>
      </c>
      <c r="FS135" s="303" t="s">
        <v>29</v>
      </c>
      <c r="FT135" s="303" t="s">
        <v>29</v>
      </c>
      <c r="FU135" s="303" t="s">
        <v>29</v>
      </c>
      <c r="FV135" s="303" t="s">
        <v>29</v>
      </c>
      <c r="FW135" s="303" t="s">
        <v>29</v>
      </c>
      <c r="FX135" s="303" t="s">
        <v>29</v>
      </c>
      <c r="FY135" s="303" t="s">
        <v>29</v>
      </c>
      <c r="FZ135" s="303" t="s">
        <v>29</v>
      </c>
      <c r="GA135" s="303" t="s">
        <v>29</v>
      </c>
      <c r="GB135" s="303" t="s">
        <v>29</v>
      </c>
      <c r="GC135" s="303" t="s">
        <v>29</v>
      </c>
      <c r="GD135" s="303" t="s">
        <v>29</v>
      </c>
      <c r="GE135" s="303"/>
      <c r="GF135" s="303" t="s">
        <v>29</v>
      </c>
      <c r="GG135" s="303" t="s">
        <v>29</v>
      </c>
    </row>
    <row r="136" spans="1:189" ht="4.5" customHeight="1" x14ac:dyDescent="0.3">
      <c r="A136" s="85"/>
      <c r="B136" s="301"/>
      <c r="C136" s="301"/>
      <c r="D136" s="301"/>
      <c r="E136" s="301"/>
      <c r="F136" s="301"/>
      <c r="G136" s="5"/>
      <c r="H136" s="5"/>
      <c r="I136" s="328"/>
      <c r="J136" s="281"/>
      <c r="K136" s="328"/>
      <c r="L136" s="281"/>
      <c r="M136" s="328"/>
      <c r="N136" s="281"/>
      <c r="O136" s="328"/>
      <c r="P136" s="281"/>
      <c r="Q136" s="328"/>
      <c r="R136" s="281"/>
      <c r="S136" s="328"/>
      <c r="T136" s="281"/>
      <c r="U136" s="282"/>
      <c r="V136" s="281"/>
      <c r="W136" s="282"/>
      <c r="X136" s="281"/>
      <c r="Y136" s="282"/>
      <c r="Z136" s="281"/>
      <c r="AA136" s="328"/>
      <c r="AB136" s="281"/>
      <c r="AC136" s="328"/>
      <c r="AD136" s="281"/>
      <c r="AE136" s="328"/>
      <c r="AF136" s="281"/>
      <c r="AG136" s="328"/>
      <c r="AH136" s="281"/>
      <c r="AI136" s="328"/>
      <c r="AJ136" s="281"/>
      <c r="AK136" s="328"/>
      <c r="AL136" s="281"/>
      <c r="AM136" s="328"/>
      <c r="AN136" s="281"/>
      <c r="AO136" s="328"/>
      <c r="AP136" s="281"/>
      <c r="AQ136" s="328"/>
      <c r="AR136" s="281"/>
      <c r="AS136" s="371"/>
      <c r="AT136" s="281"/>
      <c r="AU136" s="328"/>
      <c r="AV136" s="281"/>
      <c r="AW136" s="328"/>
      <c r="AX136" s="281"/>
      <c r="AY136" s="328"/>
      <c r="AZ136" s="281"/>
      <c r="BA136" s="328"/>
      <c r="BB136" s="281"/>
      <c r="BC136" s="328"/>
      <c r="BD136" s="281"/>
      <c r="BE136" s="328"/>
      <c r="BF136" s="281"/>
      <c r="BG136" s="328"/>
      <c r="BH136" s="281"/>
      <c r="BI136" s="328"/>
      <c r="BJ136" s="281"/>
      <c r="BK136" s="328"/>
      <c r="BL136" s="281"/>
      <c r="BM136" s="328"/>
      <c r="BN136" s="281"/>
      <c r="BO136" s="328"/>
      <c r="BP136" s="281"/>
      <c r="BQ136" s="328"/>
      <c r="BR136" s="281"/>
      <c r="BS136" s="328"/>
      <c r="BT136" s="281"/>
      <c r="BU136" s="328"/>
      <c r="BV136" s="281"/>
      <c r="BW136" s="328"/>
      <c r="BX136" s="281"/>
      <c r="BY136" s="328"/>
      <c r="BZ136" s="281"/>
      <c r="CA136" s="371"/>
      <c r="CB136" s="281"/>
      <c r="CC136" s="371"/>
      <c r="CD136" s="281"/>
      <c r="CE136" s="371"/>
      <c r="CF136" s="281"/>
      <c r="CG136" s="371"/>
      <c r="CH136" s="281"/>
      <c r="CI136" s="371"/>
      <c r="CJ136" s="281"/>
      <c r="CK136" s="371"/>
      <c r="CL136" s="281"/>
      <c r="CM136" s="371"/>
      <c r="CN136" s="281"/>
      <c r="CO136" s="371"/>
      <c r="CP136" s="281"/>
      <c r="CQ136" s="328"/>
      <c r="CR136" s="281"/>
      <c r="CS136" s="371"/>
      <c r="CT136" s="281"/>
      <c r="CU136" s="328"/>
      <c r="CV136" s="281"/>
      <c r="CW136" s="328"/>
      <c r="CX136" s="281"/>
      <c r="CY136" s="328"/>
      <c r="CZ136" s="281"/>
      <c r="DA136" s="328"/>
      <c r="DB136" s="281"/>
      <c r="DC136" s="328"/>
      <c r="DD136" s="281"/>
      <c r="DE136" s="328"/>
      <c r="DF136" s="281"/>
      <c r="DG136" s="328"/>
      <c r="DH136" s="281"/>
      <c r="DI136" s="328"/>
      <c r="DJ136" s="281"/>
      <c r="DK136" s="328"/>
      <c r="DL136" s="281"/>
      <c r="DM136" s="328"/>
      <c r="DN136" s="281"/>
      <c r="DO136" s="328"/>
      <c r="DP136" s="281"/>
      <c r="DQ136" s="328"/>
      <c r="DR136" s="281"/>
      <c r="DS136" s="328"/>
      <c r="DT136" s="281"/>
      <c r="DU136" s="301"/>
      <c r="DV136" s="301"/>
      <c r="DW136" s="301"/>
      <c r="DX136" s="301"/>
      <c r="DY136" s="301"/>
      <c r="DZ136" s="301"/>
      <c r="EA136" s="301"/>
      <c r="EB136" s="301"/>
      <c r="EC136" s="301"/>
      <c r="ED136" s="301"/>
      <c r="EE136" s="306"/>
      <c r="EF136" s="306"/>
      <c r="EG136" s="306"/>
      <c r="EH136" s="306"/>
      <c r="EI136" s="306"/>
      <c r="EJ136" s="306"/>
      <c r="EK136" s="306"/>
      <c r="EL136" s="306"/>
      <c r="EM136" s="306"/>
      <c r="EN136" s="351"/>
      <c r="EO136" s="281"/>
      <c r="EP136" s="351"/>
      <c r="EQ136" s="281"/>
      <c r="ER136" s="351"/>
      <c r="ES136" s="281"/>
      <c r="ET136" s="351"/>
      <c r="EU136" s="281"/>
      <c r="EV136" s="351"/>
      <c r="EW136" s="281"/>
      <c r="EX136" s="351"/>
      <c r="EY136" s="281"/>
      <c r="EZ136" s="351"/>
      <c r="FA136" s="281"/>
      <c r="FB136" s="351"/>
      <c r="FC136" s="281"/>
      <c r="FD136" s="351"/>
      <c r="FE136" s="281"/>
      <c r="FF136" s="351"/>
      <c r="FG136" s="281"/>
      <c r="FH136" s="351"/>
      <c r="FI136" s="281"/>
      <c r="FJ136" s="351"/>
      <c r="FK136" s="281"/>
      <c r="FL136" s="351"/>
      <c r="FM136" s="281"/>
      <c r="FN136" s="351"/>
      <c r="FO136" s="281"/>
      <c r="FP136" s="359"/>
      <c r="FQ136" s="360"/>
      <c r="FR136" s="306"/>
      <c r="FS136" s="306"/>
      <c r="FT136" s="306"/>
      <c r="FU136" s="306"/>
      <c r="FV136" s="306"/>
      <c r="FW136" s="306"/>
      <c r="FX136" s="306"/>
      <c r="FY136" s="306"/>
      <c r="FZ136" s="306"/>
      <c r="GA136" s="306"/>
      <c r="GB136" s="306"/>
      <c r="GC136" s="306"/>
      <c r="GD136" s="306"/>
      <c r="GE136" s="306"/>
      <c r="GF136" s="306"/>
      <c r="GG136" s="306"/>
    </row>
    <row r="137" spans="1:189" ht="15" customHeight="1" x14ac:dyDescent="0.3">
      <c r="A137" s="85"/>
      <c r="B137" s="301"/>
      <c r="C137" s="301"/>
      <c r="D137" s="301"/>
      <c r="E137" s="301"/>
      <c r="F137" s="301"/>
      <c r="G137" s="5" t="s">
        <v>30</v>
      </c>
      <c r="H137" s="5"/>
      <c r="I137" s="357">
        <f>SUM(J143,J150,J162)/SUM(I143,I150,I162)</f>
        <v>3.3877682587030162</v>
      </c>
      <c r="J137" s="281"/>
      <c r="K137" s="357">
        <f>SUM(L143,L150,L162)/SUM(K143,K150,K162)</f>
        <v>3.5745621351125934</v>
      </c>
      <c r="L137" s="281"/>
      <c r="M137" s="357">
        <f>SUM(N143,N150,N162)/SUM(M143,M150,M162)</f>
        <v>3.4389235127478752</v>
      </c>
      <c r="N137" s="281"/>
      <c r="O137" s="357">
        <f>SUM(P143,P150,P162)/SUM(O143,O150,O162)</f>
        <v>3.4661114302125213</v>
      </c>
      <c r="P137" s="281"/>
      <c r="Q137" s="357">
        <f>SUM(R143,R150,R162)/SUM(Q143,Q150,Q162)</f>
        <v>3.6068111455108358</v>
      </c>
      <c r="R137" s="281"/>
      <c r="S137" s="357">
        <f>SUM(T143,T150,T162)/SUM(S143,S150,S162)</f>
        <v>3.7148134900357688</v>
      </c>
      <c r="T137" s="281"/>
      <c r="U137" s="357">
        <f>SUM(V143,V150,V162)/SUM(U143,U150,U162)</f>
        <v>2.8684628474191722</v>
      </c>
      <c r="V137" s="281"/>
      <c r="W137" s="357">
        <f>SUM(X143,X150,X162)/SUM(W143,W150,W162)</f>
        <v>3.2032991656734207</v>
      </c>
      <c r="X137" s="281"/>
      <c r="Y137" s="357">
        <f>SUM(Z143,Z150,Z162)/SUM(Y143,Y150,Y162)</f>
        <v>3.2658051689860836</v>
      </c>
      <c r="Z137" s="281"/>
      <c r="AA137" s="357">
        <f>SUM(AB143,AB150,AB162)/SUM(AA143,AA150,AA162)</f>
        <v>3.4416461846241782</v>
      </c>
      <c r="AB137" s="281"/>
      <c r="AC137" s="357">
        <f>SUM(AD143,AD150,AD162)/SUM(AC143,AC150,AC162)</f>
        <v>3.4015882487950426</v>
      </c>
      <c r="AD137" s="281"/>
      <c r="AE137" s="357">
        <f>SUM(AF143,AF150,AF162)/SUM(AE143,AE150,AE162)</f>
        <v>3.3754214033712273</v>
      </c>
      <c r="AF137" s="281"/>
      <c r="AG137" s="357">
        <f>SUM(AH143,AH150,AH162)/SUM(AG143,AG150,AG162)</f>
        <v>3.4909262759924387</v>
      </c>
      <c r="AH137" s="281"/>
      <c r="AI137" s="357">
        <f>SUM(AJ143,AJ150,AJ162)/SUM(AI143,AI150,AI162)</f>
        <v>3.4931179775280903</v>
      </c>
      <c r="AJ137" s="281"/>
      <c r="AK137" s="357">
        <f>SUM(AL143,AL150,AL162)/SUM(AK143,AK150,AK162)</f>
        <v>3.415972222222222</v>
      </c>
      <c r="AL137" s="281"/>
      <c r="AM137" s="357">
        <f>SUM(AN143,AN150,AN162)/SUM(AM143,AM150,AM162)</f>
        <v>3.3848378615249786</v>
      </c>
      <c r="AN137" s="281"/>
      <c r="AO137" s="357">
        <f>SUM(AP143,AP150,AP162)/SUM(AO143,AO150,AO162)</f>
        <v>3.0199669966996701</v>
      </c>
      <c r="AP137" s="281"/>
      <c r="AQ137" s="357">
        <f>SUM(AR143,AR150,AR162)/SUM(AQ143,AQ150,AQ162)</f>
        <v>3.0778512396694215</v>
      </c>
      <c r="AR137" s="281"/>
      <c r="AS137" s="357">
        <f>SUM(AT143,AT150,AT162)/SUM(AS143,AS150,AS162)</f>
        <v>2.9000000000000004</v>
      </c>
      <c r="AT137" s="281"/>
      <c r="AU137" s="357">
        <f>SUM(AV143,AV150,AV162)/SUM(AU143,AU150,AU162)</f>
        <v>3.0077279752704791</v>
      </c>
      <c r="AV137" s="281"/>
      <c r="AW137" s="357">
        <f>SUM(AX143,AX150,AX162)/SUM(AW143,AW150,AW162)</f>
        <v>3.0109477124183002</v>
      </c>
      <c r="AX137" s="281"/>
      <c r="AY137" s="357">
        <f>SUM(AZ143,AZ150,AZ162)/SUM(AY143,AY150,AY162)</f>
        <v>3.1358024691358026</v>
      </c>
      <c r="AZ137" s="281"/>
      <c r="BA137" s="357">
        <f>SUM(BB143,BB150,BB162)/SUM(BA143,BA150,BA162)</f>
        <v>3.0474169741697423</v>
      </c>
      <c r="BB137" s="281"/>
      <c r="BC137" s="357">
        <f>SUM(BD143,BD150,BD162)/SUM(BC143,BC150,BC162)</f>
        <v>3.0354838709677416</v>
      </c>
      <c r="BD137" s="281"/>
      <c r="BE137" s="357">
        <f>SUM(BF143,BF150,BF162)/SUM(BE143,BE150,BE162)</f>
        <v>3.23319018404908</v>
      </c>
      <c r="BF137" s="281"/>
      <c r="BG137" s="357">
        <f>SUM(BH143,BH150,BH162)/SUM(BG143,BG150,BG162)</f>
        <v>3.3482808022922641</v>
      </c>
      <c r="BH137" s="281"/>
      <c r="BI137" s="357">
        <f>SUM(BJ143,BJ150,BJ162)/SUM(BI143,BI150,BI162)</f>
        <v>3.3714847590953787</v>
      </c>
      <c r="BJ137" s="281"/>
      <c r="BK137" s="357">
        <f>SUM(BL143,BL150,BL162)/SUM(BK143,BK150,BK162)</f>
        <v>3.4021897810218977</v>
      </c>
      <c r="BL137" s="281"/>
      <c r="BM137" s="357">
        <f>SUM(BN143,BN150,BN162)/SUM(BM143,BM150,BM162)</f>
        <v>3.3773885350318471</v>
      </c>
      <c r="BN137" s="281"/>
      <c r="BO137" s="357">
        <f>SUM(BP143,BP150,BP162)/SUM(BO143,BO150,BO162)</f>
        <v>3.5614691614691618</v>
      </c>
      <c r="BP137" s="281"/>
      <c r="BQ137" s="357">
        <f>SUM(BR143,BR150,BR162)/SUM(BQ143,BQ150,BQ162)</f>
        <v>3.5464660601819453</v>
      </c>
      <c r="BR137" s="281"/>
      <c r="BS137" s="357">
        <f>SUM(BT143,BT150,BT162)/SUM(BS143,BS150,BS162)</f>
        <v>3.6220806794055203</v>
      </c>
      <c r="BT137" s="281"/>
      <c r="BU137" s="357">
        <f>SUM(BV143,BV150,BV162)/SUM(BU143,BU150,BU162)</f>
        <v>3.5906276870163367</v>
      </c>
      <c r="BV137" s="281"/>
      <c r="BW137" s="357">
        <f>SUM(BX143,BX150,BX162)/SUM(BW143,BW150,BW162)</f>
        <v>3.6856560717196416</v>
      </c>
      <c r="BX137" s="281"/>
      <c r="BY137" s="357">
        <f>SUM(BZ143,BZ150,BZ162)/SUM(BY143,BY150,BY162)</f>
        <v>3.6053965658217493</v>
      </c>
      <c r="BZ137" s="281"/>
      <c r="CA137" s="357">
        <f>SUM(CB143,CB150,CB156,CB162)/SUM(CA143,CA150,CA156,CA162)</f>
        <v>2.7955347384855584</v>
      </c>
      <c r="CB137" s="281"/>
      <c r="CC137" s="357">
        <f>SUM(CD143,CD150,CD156,CD162)/SUM(CC143,CC150,CC156,CC162)</f>
        <v>2.5648507678933639</v>
      </c>
      <c r="CD137" s="281"/>
      <c r="CE137" s="357">
        <f>SUM(CF143,CF150,CF156,CF162)/SUM(CE143,CE150,CE156,CE162)</f>
        <v>2.4109028960817716</v>
      </c>
      <c r="CF137" s="281"/>
      <c r="CG137" s="357">
        <f>SUM(CH143,CH150,CH156,CH162)/SUM(CG143,CG150,CG156,CG162)</f>
        <v>2.4</v>
      </c>
      <c r="CH137" s="281"/>
      <c r="CI137" s="357">
        <f>SUM(CJ143,CJ150,CJ156,CJ162)/SUM(CI143,CI150,CI156,CI162)</f>
        <v>2.5</v>
      </c>
      <c r="CJ137" s="281"/>
      <c r="CK137" s="357">
        <f>SUM(CL143,CL150,CL156,CL162)/SUM(CK143,CK150,CK156,CK162)</f>
        <v>2.4932995495495498</v>
      </c>
      <c r="CL137" s="281"/>
      <c r="CM137" s="357">
        <f>SUM(CN143,CN150,CN156,CN162)/SUM(CM143,CM150,CM156,CM162)</f>
        <v>2.7060863979444356</v>
      </c>
      <c r="CN137" s="281"/>
      <c r="CO137" s="357">
        <f>SUM(CP143,CP150,CP156,CP162)/SUM(CO143,CO150,CO156,CO162)</f>
        <v>2.8900282885431401</v>
      </c>
      <c r="CP137" s="281"/>
      <c r="CQ137" s="357">
        <f>SUM(CR143,CR150,CR156,CR162)/SUM(CQ143,CQ150,CQ156,CQ162)</f>
        <v>2.976395348837209</v>
      </c>
      <c r="CR137" s="281"/>
      <c r="CS137" s="357">
        <f>SUM(CT143,CT150,CT156,CT162)/SUM(CS143,CS150,CS156,CS162)</f>
        <v>2.8840340909090911</v>
      </c>
      <c r="CT137" s="281"/>
      <c r="CU137" s="357">
        <f>SUM(CV143,CV150,CV156,CV162)/SUM(CU143,CU150,CU156,CU162)</f>
        <v>3.1791730474732005</v>
      </c>
      <c r="CV137" s="281"/>
      <c r="CW137" s="357">
        <f>SUM(CX143,CX150,CX156,CX162)/SUM(CW143,CW150,CW156,CW162)</f>
        <v>3.2692307692307692</v>
      </c>
      <c r="CX137" s="281"/>
      <c r="CY137" s="357">
        <f>SUM(CZ143,CZ150,CZ156,CZ162)/SUM(CY143,CY150,CY156,CY162)</f>
        <v>3.2757207890743549</v>
      </c>
      <c r="CZ137" s="281"/>
      <c r="DA137" s="357">
        <f>SUM(DB143,DB150,DB156,DB162)/SUM(DA143,DA150,DA156,DA162)</f>
        <v>3.271552908841044</v>
      </c>
      <c r="DB137" s="281"/>
      <c r="DC137" s="357">
        <f>SUM(DD143,DD150,DD156,DD162)/SUM(DC143,DC150,DC156,DC162)</f>
        <v>3.3935039370078739</v>
      </c>
      <c r="DD137" s="281"/>
      <c r="DE137" s="357">
        <f>SUM(DF143,DF150,DF156,DF162)/SUM(DE143,DE150,DE156,DE162)</f>
        <v>3.1587844739530135</v>
      </c>
      <c r="DF137" s="281"/>
      <c r="DG137" s="357">
        <f>SUM(DH143,DH150,DH156,DH162)/SUM(DG143,DG150,DG156,DG162)</f>
        <v>2.8837950138504156</v>
      </c>
      <c r="DH137" s="281"/>
      <c r="DI137" s="357">
        <f>SUM(DJ143,DJ150,DJ156,DJ162)/SUM(DI143,DI150,DI156,DI162)</f>
        <v>2.8923691215616683</v>
      </c>
      <c r="DJ137" s="281"/>
      <c r="DK137" s="357">
        <f>SUM(DL143,DL150,DL156,DL162)/SUM(DK143,DK150,DK156,DK162)</f>
        <v>3.4594382486575799</v>
      </c>
      <c r="DL137" s="281"/>
      <c r="DM137" s="357">
        <f>SUM(DN143,DN150,DN156,DN162)/SUM(DM143,DM150,DM156,DM162)</f>
        <v>3.0364304076386341</v>
      </c>
      <c r="DN137" s="281"/>
      <c r="DO137" s="357">
        <f>SUM(DP143,DP150,DP156,DP162)/SUM(DO143,DO150,DO156,DO162)</f>
        <v>3.0485553206483438</v>
      </c>
      <c r="DP137" s="281"/>
      <c r="DQ137" s="357">
        <f>SUM(DR143,DR150,DR156,DR162)/SUM(DQ143,DQ150,DQ156,DQ162)</f>
        <v>3.0666256914566685</v>
      </c>
      <c r="DR137" s="281"/>
      <c r="DS137" s="357">
        <f>SUM(DT143,DT150,DT156,DT162)/SUM(DS143,DS150,DS156,DS162)</f>
        <v>2.9848920863309352</v>
      </c>
      <c r="DT137" s="281"/>
      <c r="DU137" s="301"/>
      <c r="DV137" s="301"/>
      <c r="DW137" s="301"/>
      <c r="DX137" s="301"/>
      <c r="DY137" s="301"/>
      <c r="DZ137" s="301"/>
      <c r="EA137" s="301"/>
      <c r="EB137" s="301"/>
      <c r="EC137" s="301"/>
      <c r="ED137" s="301"/>
      <c r="EE137" s="306"/>
      <c r="EF137" s="306"/>
      <c r="EG137" s="306"/>
      <c r="EH137" s="306"/>
      <c r="EI137" s="306"/>
      <c r="EJ137" s="306"/>
      <c r="EK137" s="306"/>
      <c r="EL137" s="306"/>
      <c r="EM137" s="306"/>
      <c r="EN137" s="357">
        <f>SUM(EO143,EO150,EO156,EO162)/SUM(EN143,EN150,EN156,EN162)</f>
        <v>2.8220702517873795</v>
      </c>
      <c r="EO137" s="281"/>
      <c r="EP137" s="357">
        <f>SUM(EQ143,EQ150,EQ156,EQ162)/SUM(EP143,EP150,EP156,EP162)</f>
        <v>2.8408125232948191</v>
      </c>
      <c r="EQ137" s="281"/>
      <c r="ER137" s="357">
        <f>SUM(ES143,ES150,ES156,ES162)/SUM(ER143,ER150,ER156,ER162)</f>
        <v>2.7190045248868779</v>
      </c>
      <c r="ES137" s="281"/>
      <c r="ET137" s="357">
        <f>SUM(EU143,EU150,EU156,EU162)/SUM(ET143,ET150,ET156,ET162)</f>
        <v>2.3469491525423729</v>
      </c>
      <c r="EU137" s="281"/>
      <c r="EV137" s="357">
        <f>SUM(EW143,EW150,EW156,EW162)/SUM(EV143,EV150,EV156,EV162)</f>
        <v>2.3813932980599644</v>
      </c>
      <c r="EW137" s="281"/>
      <c r="EX137" s="357">
        <f>SUM(EY143,EY150,EY156,EY162)/SUM(EX143,EX150,EX156,EX162)</f>
        <v>2.3336800396235762</v>
      </c>
      <c r="EY137" s="281"/>
      <c r="EZ137" s="357">
        <f>SUM(FA143,FA150,FA156,FA162)/SUM(EZ143,EZ150,EZ156,EZ162)</f>
        <v>2.2601607347876005</v>
      </c>
      <c r="FA137" s="281"/>
      <c r="FB137" s="357">
        <f>SUM(FC143,FC150,FC156,FC162)/SUM(FB143,FB150,FB156,FB162)</f>
        <v>2.322439585730725</v>
      </c>
      <c r="FC137" s="281"/>
      <c r="FD137" s="357">
        <f>SUM(FE143,FE150,FE156,FE162)/SUM(FD143,FD150,FD156,FD162)</f>
        <v>2.5327495621716287</v>
      </c>
      <c r="FE137" s="281"/>
      <c r="FF137" s="357">
        <f>SUM(FG143,FG150,FG156,FG162)/SUM(FF143,FF150,FF156,FF162)</f>
        <v>2.3929577464788734</v>
      </c>
      <c r="FG137" s="281"/>
      <c r="FH137" s="357">
        <f>SUM(FI143,FI150,FI156,FI162)/SUM(FH143,FH150,FH156,FH162)</f>
        <v>2.2960714285714285</v>
      </c>
      <c r="FI137" s="281"/>
      <c r="FJ137" s="357">
        <f>SUM(FK143,FK150,FK156,FK162)/SUM(FJ143,FJ150,FJ156,FJ162)</f>
        <v>2.4372943327239485</v>
      </c>
      <c r="FK137" s="281"/>
      <c r="FL137" s="357">
        <f>SUM(FM143,FM150,FM156,FM162)/SUM(FL143,FL150,FL156,FL162)</f>
        <v>2.535224586288416</v>
      </c>
      <c r="FM137" s="281"/>
      <c r="FN137" s="357">
        <f>SUM(FO143,FO150,FO156,FO162)/SUM(FN143,FN150,FN156,FN162)</f>
        <v>2.7785850860420651</v>
      </c>
      <c r="FO137" s="281"/>
      <c r="FP137" s="357">
        <f>SUM(FQ143,FQ150,FQ156,FQ162)/SUM(FP143,FP150,FP156,FP162)</f>
        <v>3.6140327237728584</v>
      </c>
      <c r="FQ137" s="281"/>
      <c r="FR137" s="306"/>
      <c r="FS137" s="306"/>
      <c r="FT137" s="306"/>
      <c r="FU137" s="306"/>
      <c r="FV137" s="306"/>
      <c r="FW137" s="306"/>
      <c r="FX137" s="306"/>
      <c r="FY137" s="306"/>
      <c r="FZ137" s="306"/>
      <c r="GA137" s="306"/>
      <c r="GB137" s="306"/>
      <c r="GC137" s="306"/>
      <c r="GD137" s="306"/>
      <c r="GE137" s="306"/>
      <c r="GF137" s="306"/>
      <c r="GG137" s="306"/>
    </row>
    <row r="138" spans="1:189" ht="20.399999999999999" customHeight="1" x14ac:dyDescent="0.3">
      <c r="A138" s="85"/>
      <c r="B138" s="302"/>
      <c r="C138" s="302"/>
      <c r="D138" s="302"/>
      <c r="E138" s="302"/>
      <c r="F138" s="302"/>
      <c r="G138" s="5" t="s">
        <v>111</v>
      </c>
      <c r="H138" s="5"/>
      <c r="I138" s="284">
        <f>SUM(I143,I150,I162)</f>
        <v>28831</v>
      </c>
      <c r="J138" s="281"/>
      <c r="K138" s="284">
        <f>SUM(K143,K150,K162)</f>
        <v>2398</v>
      </c>
      <c r="L138" s="281"/>
      <c r="M138" s="284">
        <f>SUM(M143,M150,M162)</f>
        <v>1765</v>
      </c>
      <c r="N138" s="281"/>
      <c r="O138" s="284">
        <f>SUM(O143,O150,O162)</f>
        <v>1741</v>
      </c>
      <c r="P138" s="281"/>
      <c r="Q138" s="284">
        <f>SUM(Q143,Q150,Q162)</f>
        <v>1938</v>
      </c>
      <c r="R138" s="281"/>
      <c r="S138" s="284">
        <f>SUM(S143,S150,S162)</f>
        <v>1957</v>
      </c>
      <c r="T138" s="281"/>
      <c r="U138" s="284">
        <f>SUM(U143,U150,U162)</f>
        <v>1763</v>
      </c>
      <c r="V138" s="281"/>
      <c r="W138" s="284">
        <f>SUM(W143,W150,W162)</f>
        <v>4195</v>
      </c>
      <c r="X138" s="281"/>
      <c r="Y138" s="284">
        <f>SUM(Y143,Y150,Y162)</f>
        <v>3018</v>
      </c>
      <c r="Z138" s="281"/>
      <c r="AA138" s="284">
        <f>SUM(AA143,AA150,AA162)</f>
        <v>3499</v>
      </c>
      <c r="AB138" s="281"/>
      <c r="AC138" s="284">
        <f>SUM(AC143,AC150,AC162)</f>
        <v>4357</v>
      </c>
      <c r="AD138" s="281"/>
      <c r="AE138" s="284">
        <f>SUM(AE143,AE150,AE162)</f>
        <v>2551</v>
      </c>
      <c r="AF138" s="281"/>
      <c r="AG138" s="284">
        <f>SUM(AG143,AG150,AG162)</f>
        <v>1587</v>
      </c>
      <c r="AH138" s="281"/>
      <c r="AI138" s="284">
        <f>SUM(AI143,AI150,AI162)</f>
        <v>1424</v>
      </c>
      <c r="AJ138" s="281"/>
      <c r="AK138" s="284">
        <f>SUM(AK143,AK150,AK162)</f>
        <v>864</v>
      </c>
      <c r="AL138" s="281"/>
      <c r="AM138" s="284">
        <f>SUM(AM143,AM150,AM162)</f>
        <v>1141</v>
      </c>
      <c r="AN138" s="281"/>
      <c r="AO138" s="284">
        <f>SUM(AO143,AO150,AO162)</f>
        <v>606</v>
      </c>
      <c r="AP138" s="281"/>
      <c r="AQ138" s="284">
        <f>SUM(AQ143,AQ150,AQ162)</f>
        <v>605</v>
      </c>
      <c r="AR138" s="281"/>
      <c r="AS138" s="284">
        <f>SUM(AS143,AS150,AS162)</f>
        <v>612</v>
      </c>
      <c r="AT138" s="281"/>
      <c r="AU138" s="284">
        <f>SUM(AU143,AU150,AU162)</f>
        <v>647</v>
      </c>
      <c r="AV138" s="281"/>
      <c r="AW138" s="284">
        <f>SUM(AW143,AW150,AW162)</f>
        <v>612</v>
      </c>
      <c r="AX138" s="281"/>
      <c r="AY138" s="284">
        <f>SUM(AY143,AY150,AY162)</f>
        <v>567</v>
      </c>
      <c r="AZ138" s="281"/>
      <c r="BA138" s="284">
        <f>SUM(BA143,BA150,BA162)</f>
        <v>542</v>
      </c>
      <c r="BB138" s="281"/>
      <c r="BC138" s="284">
        <f>SUM(BC143,BC150,BC162)</f>
        <v>341</v>
      </c>
      <c r="BD138" s="281"/>
      <c r="BE138" s="284">
        <f>SUM(BE143,BE150,BE162)</f>
        <v>1630</v>
      </c>
      <c r="BF138" s="281"/>
      <c r="BG138" s="284">
        <f>SUM(BG143,BG150,BG162)</f>
        <v>1396</v>
      </c>
      <c r="BH138" s="281"/>
      <c r="BI138" s="284">
        <f>SUM(BI143,BI150,BI162)</f>
        <v>1017</v>
      </c>
      <c r="BJ138" s="281"/>
      <c r="BK138" s="284">
        <f>SUM(BK143,BK150,BK162)</f>
        <v>1370</v>
      </c>
      <c r="BL138" s="281"/>
      <c r="BM138" s="284">
        <f>SUM(BM143,BM150,BM162)</f>
        <v>1256</v>
      </c>
      <c r="BN138" s="281"/>
      <c r="BO138" s="284">
        <f>SUM(BO143,BO150,BO162)</f>
        <v>1443</v>
      </c>
      <c r="BP138" s="281"/>
      <c r="BQ138" s="284">
        <f>SUM(BQ143,BQ150,BQ162)</f>
        <v>1429</v>
      </c>
      <c r="BR138" s="281"/>
      <c r="BS138" s="284">
        <f>SUM(BS143,BS150,BS162)</f>
        <v>942</v>
      </c>
      <c r="BT138" s="281"/>
      <c r="BU138" s="284">
        <f>SUM(BU143,BU150,BU162)</f>
        <v>1163</v>
      </c>
      <c r="BV138" s="281"/>
      <c r="BW138" s="284">
        <f>SUM(BW143,BW150,BW162)</f>
        <v>1227</v>
      </c>
      <c r="BX138" s="281"/>
      <c r="BY138" s="284">
        <f>SUM(BY143,BY150,BY162)</f>
        <v>1223</v>
      </c>
      <c r="BZ138" s="281"/>
      <c r="CA138" s="284">
        <f>SUM(CA143,CA150,CA156,CA162)</f>
        <v>6405</v>
      </c>
      <c r="CB138" s="281"/>
      <c r="CC138" s="284">
        <f>SUM(CC143,CC150,CC156,CC162)</f>
        <v>6902</v>
      </c>
      <c r="CD138" s="281"/>
      <c r="CE138" s="284">
        <f>SUM(CE143,CE150,CE156,CE162)</f>
        <v>7631</v>
      </c>
      <c r="CF138" s="281"/>
      <c r="CG138" s="284">
        <f>SUM(CG143,CG150,CG156,CG162)</f>
        <v>7199</v>
      </c>
      <c r="CH138" s="281"/>
      <c r="CI138" s="284">
        <f>SUM(CI143,CI150,CI156,CI162)</f>
        <v>7677</v>
      </c>
      <c r="CJ138" s="281"/>
      <c r="CK138" s="284">
        <f>SUM(CK143,CK150,CK156,CK162)</f>
        <v>3552</v>
      </c>
      <c r="CL138" s="281"/>
      <c r="CM138" s="284">
        <f>SUM(CM143,CM150,CM156,CM162)</f>
        <v>6227</v>
      </c>
      <c r="CN138" s="281"/>
      <c r="CO138" s="284">
        <f>SUM(CO143,CO150,CO156,CO162)</f>
        <v>4242</v>
      </c>
      <c r="CP138" s="281"/>
      <c r="CQ138" s="284">
        <f>SUM(CQ143,CQ150,CQ156,CQ162)</f>
        <v>2580</v>
      </c>
      <c r="CR138" s="281"/>
      <c r="CS138" s="284">
        <f>SUM(CS143,CS150,CS156,CS162)</f>
        <v>3520</v>
      </c>
      <c r="CT138" s="281"/>
      <c r="CU138" s="284">
        <f>SUM(CU143,CU150,CU156,CU162)</f>
        <v>3265</v>
      </c>
      <c r="CV138" s="281"/>
      <c r="CW138" s="284">
        <f>SUM(CW143,CW150,CW156,CW162)</f>
        <v>2496</v>
      </c>
      <c r="CX138" s="281"/>
      <c r="CY138" s="284">
        <f>SUM(CY143,CY150,CY156,CY162)</f>
        <v>2636</v>
      </c>
      <c r="CZ138" s="281"/>
      <c r="DA138" s="284">
        <f>SUM(DA143,DA150,DA156,DA162)</f>
        <v>2183</v>
      </c>
      <c r="DB138" s="281"/>
      <c r="DC138" s="284">
        <f>SUM(DC143,DC150,DC156,DC162)</f>
        <v>1524</v>
      </c>
      <c r="DD138" s="281"/>
      <c r="DE138" s="284">
        <f>SUM(DE143,DE150,DE156,DE162)</f>
        <v>1958</v>
      </c>
      <c r="DF138" s="281"/>
      <c r="DG138" s="284">
        <f>SUM(DG143,DG150,DG156,DG162)</f>
        <v>2888</v>
      </c>
      <c r="DH138" s="281"/>
      <c r="DI138" s="284">
        <f>SUM(DI143,DI150,DI156,DI162)</f>
        <v>2254</v>
      </c>
      <c r="DJ138" s="281"/>
      <c r="DK138" s="284">
        <f>SUM(DK143,DK150,DK156,DK162)</f>
        <v>2421</v>
      </c>
      <c r="DL138" s="281"/>
      <c r="DM138" s="284">
        <f>SUM(DM143,DM150,DM156,DM162)</f>
        <v>2723</v>
      </c>
      <c r="DN138" s="281"/>
      <c r="DO138" s="284">
        <f>SUM(DO143,DO150,DO156,DO162)</f>
        <v>2838</v>
      </c>
      <c r="DP138" s="281"/>
      <c r="DQ138" s="284">
        <f>SUM(DQ143,DQ150,DQ156,DQ162)</f>
        <v>3254</v>
      </c>
      <c r="DR138" s="281"/>
      <c r="DS138" s="284">
        <f>SUM(DS143,DS150,DS156,DS162)</f>
        <v>2363</v>
      </c>
      <c r="DT138" s="281"/>
      <c r="DU138" s="302"/>
      <c r="DV138" s="302"/>
      <c r="DW138" s="302"/>
      <c r="DX138" s="302"/>
      <c r="DY138" s="302"/>
      <c r="DZ138" s="302"/>
      <c r="EA138" s="302"/>
      <c r="EB138" s="302"/>
      <c r="EC138" s="302"/>
      <c r="ED138" s="302"/>
      <c r="EE138" s="307"/>
      <c r="EF138" s="307"/>
      <c r="EG138" s="307"/>
      <c r="EH138" s="307"/>
      <c r="EI138" s="307"/>
      <c r="EJ138" s="307"/>
      <c r="EK138" s="307"/>
      <c r="EL138" s="307"/>
      <c r="EM138" s="307"/>
      <c r="EN138" s="284">
        <f>SUM(EN143,EN150,EN156,EN162)</f>
        <v>3217</v>
      </c>
      <c r="EO138" s="281"/>
      <c r="EP138" s="284">
        <f>SUM(EP143,EP150,EP156,EP162)</f>
        <v>2683</v>
      </c>
      <c r="EQ138" s="281"/>
      <c r="ER138" s="284">
        <f>SUM(ER143,ER150,ER156,ER162)</f>
        <v>2873</v>
      </c>
      <c r="ES138" s="281"/>
      <c r="ET138" s="284">
        <f>SUM(ET143,ET150,ET156,ET162)</f>
        <v>3540</v>
      </c>
      <c r="EU138" s="281"/>
      <c r="EV138" s="284">
        <f>SUM(EV143,EV150,EV156,EV162)</f>
        <v>1134</v>
      </c>
      <c r="EW138" s="281"/>
      <c r="EX138" s="284">
        <f>SUM(EX143,EX150,EX156,EX162)</f>
        <v>2019</v>
      </c>
      <c r="EY138" s="281"/>
      <c r="EZ138" s="284">
        <f>SUM(EZ143,EZ150,EZ156,EZ162)</f>
        <v>871</v>
      </c>
      <c r="FA138" s="281"/>
      <c r="FB138" s="284">
        <f>SUM(FB143,FB150,FB156,FB162)</f>
        <v>869</v>
      </c>
      <c r="FC138" s="281"/>
      <c r="FD138" s="284">
        <f>SUM(FD143,FD150,FD156,FD162)</f>
        <v>571</v>
      </c>
      <c r="FE138" s="281"/>
      <c r="FF138" s="284">
        <f>SUM(FF143,FF150,FF156,FF162)</f>
        <v>710</v>
      </c>
      <c r="FG138" s="281"/>
      <c r="FH138" s="284">
        <f>SUM(FH143,FH150,FH156,FH162)</f>
        <v>840</v>
      </c>
      <c r="FI138" s="281"/>
      <c r="FJ138" s="284">
        <f>SUM(FJ143,FJ150,FJ156,FJ162)</f>
        <v>1094</v>
      </c>
      <c r="FK138" s="281"/>
      <c r="FL138" s="284">
        <f>SUM(FL143,FL150,FL156,FL162)</f>
        <v>1269</v>
      </c>
      <c r="FM138" s="281"/>
      <c r="FN138" s="284">
        <f>SUM(FN143,FN150,FN156,FN162)</f>
        <v>1046</v>
      </c>
      <c r="FO138" s="281"/>
      <c r="FP138" s="284">
        <f>SUM(FP143,FP150,FP156,FP162)</f>
        <v>1039</v>
      </c>
      <c r="FQ138" s="281"/>
      <c r="FR138" s="307"/>
      <c r="FS138" s="307"/>
      <c r="FT138" s="307"/>
      <c r="FU138" s="307"/>
      <c r="FV138" s="307"/>
      <c r="FW138" s="307"/>
      <c r="FX138" s="307"/>
      <c r="FY138" s="307"/>
      <c r="FZ138" s="307"/>
      <c r="GA138" s="307"/>
      <c r="GB138" s="307"/>
      <c r="GC138" s="307"/>
      <c r="GD138" s="307"/>
      <c r="GE138" s="307"/>
      <c r="GF138" s="307"/>
      <c r="GG138" s="307"/>
    </row>
    <row r="139" spans="1:189" ht="8.25" customHeight="1" outlineLevel="1" x14ac:dyDescent="0.3">
      <c r="A139" s="1"/>
      <c r="B139" s="18"/>
      <c r="C139" s="18"/>
      <c r="D139" s="18"/>
      <c r="E139" s="18"/>
      <c r="F139" s="18"/>
      <c r="G139" s="3"/>
      <c r="H139" s="3"/>
      <c r="I139" s="19"/>
      <c r="J139" s="20"/>
      <c r="K139" s="19"/>
      <c r="L139" s="20"/>
      <c r="M139" s="19"/>
      <c r="N139" s="20"/>
      <c r="O139" s="19"/>
      <c r="P139" s="20"/>
      <c r="Q139" s="19"/>
      <c r="R139" s="20"/>
      <c r="S139" s="19"/>
      <c r="T139" s="20"/>
      <c r="U139" s="19"/>
      <c r="V139" s="20"/>
      <c r="W139" s="19"/>
      <c r="X139" s="20"/>
      <c r="Y139" s="19"/>
      <c r="Z139" s="20"/>
      <c r="AA139" s="19"/>
      <c r="AB139" s="20"/>
      <c r="AC139" s="19"/>
      <c r="AD139" s="20"/>
      <c r="AE139" s="19"/>
      <c r="AF139" s="20"/>
      <c r="AG139" s="19"/>
      <c r="AH139" s="20"/>
      <c r="AI139" s="19"/>
      <c r="AJ139" s="20"/>
      <c r="AK139" s="19"/>
      <c r="AL139" s="20"/>
      <c r="AM139" s="19"/>
      <c r="AN139" s="20"/>
      <c r="AO139" s="19"/>
      <c r="AP139" s="20"/>
      <c r="AQ139" s="19"/>
      <c r="AR139" s="20"/>
      <c r="AS139" s="19"/>
      <c r="AT139" s="20"/>
      <c r="AU139" s="19"/>
      <c r="AV139" s="20"/>
      <c r="AW139" s="19"/>
      <c r="AX139" s="20"/>
      <c r="AY139" s="19"/>
      <c r="AZ139" s="20"/>
      <c r="BA139" s="19"/>
      <c r="BB139" s="20"/>
      <c r="BC139" s="19"/>
      <c r="BD139" s="20"/>
      <c r="BE139" s="19"/>
      <c r="BF139" s="20"/>
      <c r="BG139" s="19"/>
      <c r="BH139" s="20"/>
      <c r="BI139" s="19"/>
      <c r="BJ139" s="20"/>
      <c r="BK139" s="19"/>
      <c r="BL139" s="20"/>
      <c r="BM139" s="19"/>
      <c r="BN139" s="20"/>
      <c r="BO139" s="19"/>
      <c r="BP139" s="20"/>
      <c r="BQ139" s="19"/>
      <c r="BR139" s="20"/>
      <c r="BS139" s="19"/>
      <c r="BT139" s="20"/>
      <c r="BU139" s="19"/>
      <c r="BV139" s="20"/>
      <c r="BW139" s="19"/>
      <c r="BX139" s="20"/>
      <c r="BY139" s="19"/>
      <c r="BZ139" s="20"/>
      <c r="CA139" s="19"/>
      <c r="CB139" s="20"/>
      <c r="CC139" s="19"/>
      <c r="CD139" s="20"/>
      <c r="CE139" s="19"/>
      <c r="CF139" s="20"/>
      <c r="CG139" s="19"/>
      <c r="CH139" s="20"/>
      <c r="CI139" s="19"/>
      <c r="CJ139" s="20"/>
      <c r="CK139" s="19"/>
      <c r="CL139" s="20"/>
      <c r="CM139" s="19"/>
      <c r="CN139" s="20"/>
      <c r="CO139" s="19"/>
      <c r="CP139" s="20"/>
      <c r="CQ139" s="19"/>
      <c r="CR139" s="20"/>
      <c r="CS139" s="19"/>
      <c r="CT139" s="20"/>
      <c r="CU139" s="19"/>
      <c r="CV139" s="20"/>
      <c r="CW139" s="19"/>
      <c r="CX139" s="20"/>
      <c r="CY139" s="19"/>
      <c r="CZ139" s="20"/>
      <c r="DA139" s="19"/>
      <c r="DB139" s="20"/>
      <c r="DC139" s="19"/>
      <c r="DD139" s="20"/>
      <c r="DE139" s="19"/>
      <c r="DF139" s="20"/>
      <c r="DG139" s="19"/>
      <c r="DH139" s="20"/>
      <c r="DI139" s="19"/>
      <c r="DJ139" s="20"/>
      <c r="DK139" s="19"/>
      <c r="DL139" s="20"/>
      <c r="DM139" s="19"/>
      <c r="DN139" s="20"/>
      <c r="DO139" s="19"/>
      <c r="DP139" s="20"/>
      <c r="DQ139" s="19"/>
      <c r="DR139" s="20"/>
      <c r="DS139" s="19"/>
      <c r="DT139" s="20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19"/>
      <c r="EO139" s="20"/>
      <c r="EP139" s="19"/>
      <c r="EQ139" s="20"/>
      <c r="ER139" s="19"/>
      <c r="ES139" s="20"/>
      <c r="ET139" s="19"/>
      <c r="EU139" s="20"/>
      <c r="EV139" s="19"/>
      <c r="EW139" s="20"/>
      <c r="EX139" s="19"/>
      <c r="EY139" s="20"/>
      <c r="EZ139" s="19"/>
      <c r="FA139" s="20"/>
      <c r="FB139" s="19"/>
      <c r="FC139" s="20"/>
      <c r="FD139" s="19"/>
      <c r="FE139" s="20"/>
      <c r="FF139" s="19"/>
      <c r="FG139" s="20"/>
      <c r="FH139" s="19"/>
      <c r="FI139" s="20"/>
      <c r="FJ139" s="19"/>
      <c r="FK139" s="20"/>
      <c r="FL139" s="19"/>
      <c r="FM139" s="20"/>
      <c r="FN139" s="19"/>
      <c r="FO139" s="20"/>
      <c r="FP139" s="19"/>
      <c r="FQ139" s="20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</row>
    <row r="140" spans="1:189" ht="15" customHeight="1" outlineLevel="1" x14ac:dyDescent="0.3">
      <c r="A140" s="85"/>
      <c r="B140" s="313" t="s">
        <v>112</v>
      </c>
      <c r="C140" s="313" t="s">
        <v>80</v>
      </c>
      <c r="D140" s="313" t="s">
        <v>96</v>
      </c>
      <c r="E140" s="313" t="s">
        <v>113</v>
      </c>
      <c r="F140" s="313" t="s">
        <v>114</v>
      </c>
      <c r="G140" s="5" t="s">
        <v>28</v>
      </c>
      <c r="H140" s="5"/>
      <c r="I140" s="358">
        <v>3</v>
      </c>
      <c r="J140" s="281"/>
      <c r="K140" s="358">
        <v>4</v>
      </c>
      <c r="L140" s="281"/>
      <c r="M140" s="358">
        <v>4</v>
      </c>
      <c r="N140" s="281"/>
      <c r="O140" s="358">
        <v>4</v>
      </c>
      <c r="P140" s="281"/>
      <c r="Q140" s="358">
        <v>4</v>
      </c>
      <c r="R140" s="281"/>
      <c r="S140" s="358">
        <v>4</v>
      </c>
      <c r="T140" s="281"/>
      <c r="U140" s="358">
        <v>3</v>
      </c>
      <c r="V140" s="281"/>
      <c r="W140" s="358">
        <v>3</v>
      </c>
      <c r="X140" s="281"/>
      <c r="Y140" s="358">
        <v>3</v>
      </c>
      <c r="Z140" s="281"/>
      <c r="AA140" s="358">
        <v>3</v>
      </c>
      <c r="AB140" s="281"/>
      <c r="AC140" s="358">
        <v>3</v>
      </c>
      <c r="AD140" s="281"/>
      <c r="AE140" s="358">
        <v>3</v>
      </c>
      <c r="AF140" s="281"/>
      <c r="AG140" s="358">
        <v>3</v>
      </c>
      <c r="AH140" s="281"/>
      <c r="AI140" s="358">
        <v>3</v>
      </c>
      <c r="AJ140" s="281"/>
      <c r="AK140" s="358">
        <v>3</v>
      </c>
      <c r="AL140" s="281"/>
      <c r="AM140" s="358">
        <v>3</v>
      </c>
      <c r="AN140" s="281"/>
      <c r="AO140" s="358">
        <v>3</v>
      </c>
      <c r="AP140" s="281"/>
      <c r="AQ140" s="358">
        <v>3</v>
      </c>
      <c r="AR140" s="281"/>
      <c r="AS140" s="358">
        <v>3</v>
      </c>
      <c r="AT140" s="281"/>
      <c r="AU140" s="358">
        <v>3</v>
      </c>
      <c r="AV140" s="281"/>
      <c r="AW140" s="358">
        <v>3</v>
      </c>
      <c r="AX140" s="281"/>
      <c r="AY140" s="358">
        <v>3</v>
      </c>
      <c r="AZ140" s="281"/>
      <c r="BA140" s="358">
        <v>3</v>
      </c>
      <c r="BB140" s="281"/>
      <c r="BC140" s="358">
        <v>3</v>
      </c>
      <c r="BD140" s="281"/>
      <c r="BE140" s="358">
        <v>3</v>
      </c>
      <c r="BF140" s="281"/>
      <c r="BG140" s="358">
        <v>3</v>
      </c>
      <c r="BH140" s="281"/>
      <c r="BI140" s="358">
        <v>3</v>
      </c>
      <c r="BJ140" s="281"/>
      <c r="BK140" s="358">
        <v>3</v>
      </c>
      <c r="BL140" s="281"/>
      <c r="BM140" s="358">
        <v>3</v>
      </c>
      <c r="BN140" s="281"/>
      <c r="BO140" s="358">
        <v>3</v>
      </c>
      <c r="BP140" s="281"/>
      <c r="BQ140" s="358">
        <v>3</v>
      </c>
      <c r="BR140" s="281"/>
      <c r="BS140" s="358">
        <v>3</v>
      </c>
      <c r="BT140" s="281"/>
      <c r="BU140" s="358">
        <v>3</v>
      </c>
      <c r="BV140" s="281"/>
      <c r="BW140" s="358">
        <v>3</v>
      </c>
      <c r="BX140" s="281"/>
      <c r="BY140" s="358">
        <v>3</v>
      </c>
      <c r="BZ140" s="281"/>
      <c r="CA140" s="358">
        <v>3</v>
      </c>
      <c r="CB140" s="281"/>
      <c r="CC140" s="358">
        <v>3</v>
      </c>
      <c r="CD140" s="281"/>
      <c r="CE140" s="358">
        <v>3</v>
      </c>
      <c r="CF140" s="281"/>
      <c r="CG140" s="358">
        <v>3</v>
      </c>
      <c r="CH140" s="281"/>
      <c r="CI140" s="358">
        <v>3</v>
      </c>
      <c r="CJ140" s="281"/>
      <c r="CK140" s="358">
        <v>3</v>
      </c>
      <c r="CL140" s="281"/>
      <c r="CM140" s="358">
        <v>3</v>
      </c>
      <c r="CN140" s="281"/>
      <c r="CO140" s="358">
        <v>3</v>
      </c>
      <c r="CP140" s="281"/>
      <c r="CQ140" s="358">
        <v>3</v>
      </c>
      <c r="CR140" s="281"/>
      <c r="CS140" s="358">
        <v>3</v>
      </c>
      <c r="CT140" s="281"/>
      <c r="CU140" s="358">
        <v>3</v>
      </c>
      <c r="CV140" s="281"/>
      <c r="CW140" s="358">
        <v>3</v>
      </c>
      <c r="CX140" s="281"/>
      <c r="CY140" s="358">
        <v>3</v>
      </c>
      <c r="CZ140" s="281"/>
      <c r="DA140" s="358">
        <v>3</v>
      </c>
      <c r="DB140" s="281"/>
      <c r="DC140" s="358">
        <v>3</v>
      </c>
      <c r="DD140" s="281"/>
      <c r="DE140" s="358">
        <v>3</v>
      </c>
      <c r="DF140" s="281"/>
      <c r="DG140" s="358">
        <v>3</v>
      </c>
      <c r="DH140" s="281"/>
      <c r="DI140" s="358">
        <v>3</v>
      </c>
      <c r="DJ140" s="281"/>
      <c r="DK140" s="358">
        <v>3</v>
      </c>
      <c r="DL140" s="281"/>
      <c r="DM140" s="358">
        <v>3</v>
      </c>
      <c r="DN140" s="281"/>
      <c r="DO140" s="358">
        <v>3</v>
      </c>
      <c r="DP140" s="281"/>
      <c r="DQ140" s="358">
        <v>3</v>
      </c>
      <c r="DR140" s="281"/>
      <c r="DS140" s="358">
        <v>3</v>
      </c>
      <c r="DT140" s="281"/>
      <c r="DU140" s="308" t="s">
        <v>115</v>
      </c>
      <c r="DV140" s="308" t="s">
        <v>115</v>
      </c>
      <c r="DW140" s="308" t="s">
        <v>115</v>
      </c>
      <c r="DX140" s="308" t="s">
        <v>115</v>
      </c>
      <c r="DY140" s="308" t="s">
        <v>115</v>
      </c>
      <c r="DZ140" s="308" t="s">
        <v>115</v>
      </c>
      <c r="EA140" s="308" t="s">
        <v>29</v>
      </c>
      <c r="EB140" s="308" t="s">
        <v>29</v>
      </c>
      <c r="EC140" s="308" t="s">
        <v>29</v>
      </c>
      <c r="ED140" s="308" t="s">
        <v>29</v>
      </c>
      <c r="EE140" s="308" t="s">
        <v>29</v>
      </c>
      <c r="EF140" s="308" t="s">
        <v>29</v>
      </c>
      <c r="EG140" s="308" t="s">
        <v>29</v>
      </c>
      <c r="EH140" s="308" t="s">
        <v>29</v>
      </c>
      <c r="EI140" s="308" t="s">
        <v>29</v>
      </c>
      <c r="EJ140" s="308" t="s">
        <v>29</v>
      </c>
      <c r="EK140" s="308" t="s">
        <v>29</v>
      </c>
      <c r="EL140" s="308" t="s">
        <v>29</v>
      </c>
      <c r="EM140" s="308" t="s">
        <v>29</v>
      </c>
      <c r="EN140" s="358">
        <v>3</v>
      </c>
      <c r="EO140" s="281"/>
      <c r="EP140" s="358">
        <v>3</v>
      </c>
      <c r="EQ140" s="281"/>
      <c r="ER140" s="358">
        <v>3</v>
      </c>
      <c r="ES140" s="281"/>
      <c r="ET140" s="358">
        <v>3</v>
      </c>
      <c r="EU140" s="281"/>
      <c r="EV140" s="358">
        <v>3</v>
      </c>
      <c r="EW140" s="281"/>
      <c r="EX140" s="358">
        <v>3</v>
      </c>
      <c r="EY140" s="281"/>
      <c r="EZ140" s="358">
        <v>3</v>
      </c>
      <c r="FA140" s="281"/>
      <c r="FB140" s="358">
        <v>3</v>
      </c>
      <c r="FC140" s="281"/>
      <c r="FD140" s="358">
        <v>3</v>
      </c>
      <c r="FE140" s="281"/>
      <c r="FF140" s="358">
        <v>3</v>
      </c>
      <c r="FG140" s="281"/>
      <c r="FH140" s="358">
        <v>3</v>
      </c>
      <c r="FI140" s="281"/>
      <c r="FJ140" s="358">
        <v>3</v>
      </c>
      <c r="FK140" s="281"/>
      <c r="FL140" s="358">
        <v>3</v>
      </c>
      <c r="FM140" s="281"/>
      <c r="FN140" s="358">
        <v>3</v>
      </c>
      <c r="FO140" s="281"/>
      <c r="FP140" s="358">
        <v>3</v>
      </c>
      <c r="FQ140" s="281"/>
      <c r="FR140" s="308" t="s">
        <v>29</v>
      </c>
      <c r="FS140" s="308" t="s">
        <v>29</v>
      </c>
      <c r="FT140" s="308" t="s">
        <v>29</v>
      </c>
      <c r="FU140" s="308" t="s">
        <v>29</v>
      </c>
      <c r="FV140" s="308" t="s">
        <v>29</v>
      </c>
      <c r="FW140" s="308" t="s">
        <v>29</v>
      </c>
      <c r="FX140" s="308" t="s">
        <v>29</v>
      </c>
      <c r="FY140" s="308" t="s">
        <v>29</v>
      </c>
      <c r="FZ140" s="308" t="s">
        <v>29</v>
      </c>
      <c r="GA140" s="308" t="s">
        <v>29</v>
      </c>
      <c r="GB140" s="308" t="s">
        <v>29</v>
      </c>
      <c r="GC140" s="308" t="s">
        <v>29</v>
      </c>
      <c r="GD140" s="308" t="s">
        <v>29</v>
      </c>
      <c r="GE140" s="308" t="s">
        <v>29</v>
      </c>
      <c r="GF140" s="308" t="s">
        <v>29</v>
      </c>
      <c r="GG140" s="308" t="s">
        <v>29</v>
      </c>
    </row>
    <row r="141" spans="1:189" ht="4.5" customHeight="1" outlineLevel="1" x14ac:dyDescent="0.3">
      <c r="A141" s="85"/>
      <c r="B141" s="301"/>
      <c r="C141" s="301"/>
      <c r="D141" s="301"/>
      <c r="E141" s="301"/>
      <c r="F141" s="301"/>
      <c r="G141" s="5"/>
      <c r="H141" s="5"/>
      <c r="I141" s="328"/>
      <c r="J141" s="281"/>
      <c r="K141" s="282"/>
      <c r="L141" s="281"/>
      <c r="M141" s="282"/>
      <c r="N141" s="281"/>
      <c r="O141" s="282"/>
      <c r="P141" s="281"/>
      <c r="Q141" s="282"/>
      <c r="R141" s="281"/>
      <c r="S141" s="282"/>
      <c r="T141" s="281"/>
      <c r="U141" s="282"/>
      <c r="V141" s="281"/>
      <c r="W141" s="282"/>
      <c r="X141" s="281"/>
      <c r="Y141" s="282"/>
      <c r="Z141" s="281"/>
      <c r="AA141" s="282"/>
      <c r="AB141" s="281"/>
      <c r="AC141" s="328"/>
      <c r="AD141" s="281"/>
      <c r="AE141" s="282"/>
      <c r="AF141" s="281"/>
      <c r="AG141" s="328"/>
      <c r="AH141" s="281"/>
      <c r="AI141" s="328"/>
      <c r="AJ141" s="281"/>
      <c r="AK141" s="328"/>
      <c r="AL141" s="281"/>
      <c r="AM141" s="328"/>
      <c r="AN141" s="281"/>
      <c r="AO141" s="371"/>
      <c r="AP141" s="281"/>
      <c r="AQ141" s="371"/>
      <c r="AR141" s="281"/>
      <c r="AS141" s="371"/>
      <c r="AT141" s="281"/>
      <c r="AU141" s="371"/>
      <c r="AV141" s="281"/>
      <c r="AW141" s="371"/>
      <c r="AX141" s="281"/>
      <c r="AY141" s="371"/>
      <c r="AZ141" s="281"/>
      <c r="BA141" s="371"/>
      <c r="BB141" s="281"/>
      <c r="BC141" s="371"/>
      <c r="BD141" s="281"/>
      <c r="BE141" s="371"/>
      <c r="BF141" s="281"/>
      <c r="BG141" s="371"/>
      <c r="BH141" s="281"/>
      <c r="BI141" s="371"/>
      <c r="BJ141" s="281"/>
      <c r="BK141" s="371"/>
      <c r="BL141" s="281"/>
      <c r="BM141" s="371"/>
      <c r="BN141" s="281"/>
      <c r="BO141" s="328"/>
      <c r="BP141" s="281"/>
      <c r="BQ141" s="371"/>
      <c r="BR141" s="281"/>
      <c r="BS141" s="328"/>
      <c r="BT141" s="281"/>
      <c r="BU141" s="371"/>
      <c r="BV141" s="281"/>
      <c r="BW141" s="328"/>
      <c r="BX141" s="281"/>
      <c r="BY141" s="328"/>
      <c r="BZ141" s="281"/>
      <c r="CA141" s="371"/>
      <c r="CB141" s="281"/>
      <c r="CC141" s="371"/>
      <c r="CD141" s="281"/>
      <c r="CE141" s="371"/>
      <c r="CF141" s="281"/>
      <c r="CG141" s="371"/>
      <c r="CH141" s="281"/>
      <c r="CI141" s="371"/>
      <c r="CJ141" s="281"/>
      <c r="CK141" s="371"/>
      <c r="CL141" s="281"/>
      <c r="CM141" s="371"/>
      <c r="CN141" s="281"/>
      <c r="CO141" s="371"/>
      <c r="CP141" s="281"/>
      <c r="CQ141" s="371"/>
      <c r="CR141" s="281"/>
      <c r="CS141" s="371"/>
      <c r="CT141" s="281"/>
      <c r="CU141" s="371"/>
      <c r="CV141" s="281"/>
      <c r="CW141" s="371"/>
      <c r="CX141" s="281"/>
      <c r="CY141" s="371"/>
      <c r="CZ141" s="281"/>
      <c r="DA141" s="328"/>
      <c r="DB141" s="281"/>
      <c r="DC141" s="328"/>
      <c r="DD141" s="281"/>
      <c r="DE141" s="351"/>
      <c r="DF141" s="281"/>
      <c r="DG141" s="351"/>
      <c r="DH141" s="281"/>
      <c r="DI141" s="351"/>
      <c r="DJ141" s="281"/>
      <c r="DK141" s="351"/>
      <c r="DL141" s="281"/>
      <c r="DM141" s="351"/>
      <c r="DN141" s="281"/>
      <c r="DO141" s="351"/>
      <c r="DP141" s="281"/>
      <c r="DQ141" s="351"/>
      <c r="DR141" s="281"/>
      <c r="DS141" s="328"/>
      <c r="DT141" s="281"/>
      <c r="DU141" s="301"/>
      <c r="DV141" s="301"/>
      <c r="DW141" s="301"/>
      <c r="DX141" s="301"/>
      <c r="DY141" s="301"/>
      <c r="DZ141" s="301"/>
      <c r="EA141" s="301"/>
      <c r="EB141" s="301"/>
      <c r="EC141" s="301"/>
      <c r="ED141" s="301"/>
      <c r="EE141" s="301"/>
      <c r="EF141" s="301"/>
      <c r="EG141" s="301"/>
      <c r="EH141" s="301"/>
      <c r="EI141" s="301"/>
      <c r="EJ141" s="301"/>
      <c r="EK141" s="301"/>
      <c r="EL141" s="301"/>
      <c r="EM141" s="301"/>
      <c r="EN141" s="351"/>
      <c r="EO141" s="281"/>
      <c r="EP141" s="351"/>
      <c r="EQ141" s="281"/>
      <c r="ER141" s="351"/>
      <c r="ES141" s="281"/>
      <c r="ET141" s="351"/>
      <c r="EU141" s="281"/>
      <c r="EV141" s="351"/>
      <c r="EW141" s="281"/>
      <c r="EX141" s="351"/>
      <c r="EY141" s="281"/>
      <c r="EZ141" s="351"/>
      <c r="FA141" s="281"/>
      <c r="FB141" s="351"/>
      <c r="FC141" s="281"/>
      <c r="FD141" s="351"/>
      <c r="FE141" s="281"/>
      <c r="FF141" s="351"/>
      <c r="FG141" s="281"/>
      <c r="FH141" s="351"/>
      <c r="FI141" s="281"/>
      <c r="FJ141" s="351"/>
      <c r="FK141" s="281"/>
      <c r="FL141" s="351"/>
      <c r="FM141" s="281"/>
      <c r="FN141" s="351"/>
      <c r="FO141" s="281"/>
      <c r="FP141" s="351"/>
      <c r="FQ141" s="281"/>
      <c r="FR141" s="301"/>
      <c r="FS141" s="301"/>
      <c r="FT141" s="301"/>
      <c r="FU141" s="309"/>
      <c r="FV141" s="309"/>
      <c r="FW141" s="309"/>
      <c r="FX141" s="309"/>
      <c r="FY141" s="309"/>
      <c r="FZ141" s="309"/>
      <c r="GA141" s="309"/>
      <c r="GB141" s="309"/>
      <c r="GC141" s="309"/>
      <c r="GD141" s="309"/>
      <c r="GE141" s="309"/>
      <c r="GF141" s="309"/>
      <c r="GG141" s="309"/>
    </row>
    <row r="142" spans="1:189" ht="15" customHeight="1" outlineLevel="1" x14ac:dyDescent="0.3">
      <c r="A142" s="85"/>
      <c r="B142" s="301"/>
      <c r="C142" s="301"/>
      <c r="D142" s="301"/>
      <c r="E142" s="301"/>
      <c r="F142" s="301"/>
      <c r="G142" s="5" t="s">
        <v>30</v>
      </c>
      <c r="H142" s="5"/>
      <c r="I142" s="341">
        <f>AVERAGE(K142:AH142)</f>
        <v>3.2200000000000006</v>
      </c>
      <c r="J142" s="281"/>
      <c r="K142" s="357">
        <v>3.7</v>
      </c>
      <c r="L142" s="281"/>
      <c r="M142" s="357">
        <v>3.7</v>
      </c>
      <c r="N142" s="281"/>
      <c r="O142" s="357">
        <v>3.9</v>
      </c>
      <c r="P142" s="281"/>
      <c r="Q142" s="357">
        <v>3.8</v>
      </c>
      <c r="R142" s="281"/>
      <c r="S142" s="357">
        <v>3.74</v>
      </c>
      <c r="T142" s="281"/>
      <c r="U142" s="357">
        <v>2.7</v>
      </c>
      <c r="V142" s="281"/>
      <c r="W142" s="357">
        <v>2.7</v>
      </c>
      <c r="X142" s="281"/>
      <c r="Y142" s="357">
        <v>2.6</v>
      </c>
      <c r="Z142" s="281"/>
      <c r="AA142" s="357">
        <v>2.9</v>
      </c>
      <c r="AB142" s="281"/>
      <c r="AC142" s="357">
        <v>3.2</v>
      </c>
      <c r="AD142" s="281"/>
      <c r="AE142" s="357">
        <v>2.7</v>
      </c>
      <c r="AF142" s="281"/>
      <c r="AG142" s="357">
        <v>3</v>
      </c>
      <c r="AH142" s="281"/>
      <c r="AI142" s="357">
        <v>3.1</v>
      </c>
      <c r="AJ142" s="281"/>
      <c r="AK142" s="357">
        <v>3</v>
      </c>
      <c r="AL142" s="281"/>
      <c r="AM142" s="357">
        <v>3.1</v>
      </c>
      <c r="AN142" s="281"/>
      <c r="AO142" s="357">
        <v>2.7</v>
      </c>
      <c r="AP142" s="281"/>
      <c r="AQ142" s="357">
        <v>2.9</v>
      </c>
      <c r="AR142" s="281"/>
      <c r="AS142" s="357">
        <v>2.9</v>
      </c>
      <c r="AT142" s="281"/>
      <c r="AU142" s="357">
        <v>2.8</v>
      </c>
      <c r="AV142" s="281"/>
      <c r="AW142" s="357">
        <v>2.8</v>
      </c>
      <c r="AX142" s="281"/>
      <c r="AY142" s="357">
        <v>2.8</v>
      </c>
      <c r="AZ142" s="281"/>
      <c r="BA142" s="357">
        <v>2.6</v>
      </c>
      <c r="BB142" s="281"/>
      <c r="BC142" s="357">
        <v>2.9</v>
      </c>
      <c r="BD142" s="281"/>
      <c r="BE142" s="357">
        <v>2.7</v>
      </c>
      <c r="BF142" s="281"/>
      <c r="BG142" s="357">
        <v>2.8</v>
      </c>
      <c r="BH142" s="281"/>
      <c r="BI142" s="357">
        <v>2.9</v>
      </c>
      <c r="BJ142" s="281"/>
      <c r="BK142" s="357">
        <v>2.7</v>
      </c>
      <c r="BL142" s="281"/>
      <c r="BM142" s="357">
        <v>2.7</v>
      </c>
      <c r="BN142" s="281"/>
      <c r="BO142" s="357">
        <v>3</v>
      </c>
      <c r="BP142" s="281"/>
      <c r="BQ142" s="357">
        <v>2.9</v>
      </c>
      <c r="BR142" s="281"/>
      <c r="BS142" s="357">
        <v>3</v>
      </c>
      <c r="BT142" s="281"/>
      <c r="BU142" s="357">
        <v>2.7</v>
      </c>
      <c r="BV142" s="281"/>
      <c r="BW142" s="357">
        <v>3.1</v>
      </c>
      <c r="BX142" s="281"/>
      <c r="BY142" s="357">
        <v>3</v>
      </c>
      <c r="BZ142" s="281"/>
      <c r="CA142" s="357">
        <v>2.2000000000000002</v>
      </c>
      <c r="CB142" s="281"/>
      <c r="CC142" s="357"/>
      <c r="CD142" s="281"/>
      <c r="CE142" s="357"/>
      <c r="CF142" s="281"/>
      <c r="CG142" s="357"/>
      <c r="CH142" s="281"/>
      <c r="CI142" s="357"/>
      <c r="CJ142" s="281"/>
      <c r="CK142" s="357"/>
      <c r="CL142" s="281"/>
      <c r="CM142" s="357"/>
      <c r="CN142" s="281"/>
      <c r="CO142" s="357"/>
      <c r="CP142" s="281"/>
      <c r="CQ142" s="357">
        <v>2.4</v>
      </c>
      <c r="CR142" s="281"/>
      <c r="CS142" s="357">
        <v>2.7</v>
      </c>
      <c r="CT142" s="281"/>
      <c r="CU142" s="357">
        <v>2.7</v>
      </c>
      <c r="CV142" s="281"/>
      <c r="CW142" s="357">
        <v>2.7</v>
      </c>
      <c r="CX142" s="281"/>
      <c r="CY142" s="357">
        <v>2.9</v>
      </c>
      <c r="CZ142" s="281"/>
      <c r="DA142" s="357">
        <v>3</v>
      </c>
      <c r="DB142" s="281"/>
      <c r="DC142" s="357">
        <v>3.2</v>
      </c>
      <c r="DD142" s="281"/>
      <c r="DE142" s="357">
        <v>2.9</v>
      </c>
      <c r="DF142" s="281"/>
      <c r="DG142" s="357">
        <v>2.7</v>
      </c>
      <c r="DH142" s="281"/>
      <c r="DI142" s="357">
        <v>2.8</v>
      </c>
      <c r="DJ142" s="281"/>
      <c r="DK142" s="357">
        <v>2.8</v>
      </c>
      <c r="DL142" s="281"/>
      <c r="DM142" s="357">
        <v>2.8</v>
      </c>
      <c r="DN142" s="281"/>
      <c r="DO142" s="357">
        <v>2.9</v>
      </c>
      <c r="DP142" s="281"/>
      <c r="DQ142" s="357">
        <v>2.9</v>
      </c>
      <c r="DR142" s="281"/>
      <c r="DS142" s="357">
        <v>3</v>
      </c>
      <c r="DT142" s="281"/>
      <c r="DU142" s="301"/>
      <c r="DV142" s="301"/>
      <c r="DW142" s="301"/>
      <c r="DX142" s="301"/>
      <c r="DY142" s="301"/>
      <c r="DZ142" s="301"/>
      <c r="EA142" s="301"/>
      <c r="EB142" s="301"/>
      <c r="EC142" s="301"/>
      <c r="ED142" s="301"/>
      <c r="EE142" s="301"/>
      <c r="EF142" s="301"/>
      <c r="EG142" s="301"/>
      <c r="EH142" s="301"/>
      <c r="EI142" s="301"/>
      <c r="EJ142" s="301"/>
      <c r="EK142" s="301"/>
      <c r="EL142" s="301"/>
      <c r="EM142" s="301"/>
      <c r="EN142" s="357">
        <v>2.6</v>
      </c>
      <c r="EO142" s="281"/>
      <c r="EP142" s="357">
        <v>2.5</v>
      </c>
      <c r="EQ142" s="281"/>
      <c r="ER142" s="357">
        <v>2.7</v>
      </c>
      <c r="ES142" s="281"/>
      <c r="ET142" s="357">
        <v>2.2999999999999998</v>
      </c>
      <c r="EU142" s="281"/>
      <c r="EV142" s="357">
        <v>2.2999999999999998</v>
      </c>
      <c r="EW142" s="281"/>
      <c r="EX142" s="357">
        <v>2.2000000000000002</v>
      </c>
      <c r="EY142" s="281"/>
      <c r="EZ142" s="357">
        <v>2.1</v>
      </c>
      <c r="FA142" s="281"/>
      <c r="FB142" s="357">
        <v>2.4</v>
      </c>
      <c r="FC142" s="281"/>
      <c r="FD142" s="357">
        <v>2.7</v>
      </c>
      <c r="FE142" s="281"/>
      <c r="FF142" s="357">
        <v>2.5</v>
      </c>
      <c r="FG142" s="281"/>
      <c r="FH142" s="357">
        <v>2.4</v>
      </c>
      <c r="FI142" s="281"/>
      <c r="FJ142" s="357">
        <v>2.4</v>
      </c>
      <c r="FK142" s="281"/>
      <c r="FL142" s="357">
        <v>2.2999999999999998</v>
      </c>
      <c r="FM142" s="281"/>
      <c r="FN142" s="357">
        <v>2.2999999999999998</v>
      </c>
      <c r="FO142" s="281"/>
      <c r="FP142" s="357">
        <v>2.68</v>
      </c>
      <c r="FQ142" s="281"/>
      <c r="FR142" s="301"/>
      <c r="FS142" s="301"/>
      <c r="FT142" s="301"/>
      <c r="FU142" s="309"/>
      <c r="FV142" s="309"/>
      <c r="FW142" s="309"/>
      <c r="FX142" s="309"/>
      <c r="FY142" s="309"/>
      <c r="FZ142" s="309"/>
      <c r="GA142" s="309"/>
      <c r="GB142" s="309"/>
      <c r="GC142" s="309"/>
      <c r="GD142" s="309"/>
      <c r="GE142" s="309"/>
      <c r="GF142" s="309"/>
      <c r="GG142" s="309"/>
    </row>
    <row r="143" spans="1:189" ht="15" customHeight="1" outlineLevel="1" x14ac:dyDescent="0.3">
      <c r="A143" s="85"/>
      <c r="B143" s="301"/>
      <c r="C143" s="301"/>
      <c r="D143" s="301"/>
      <c r="E143" s="301"/>
      <c r="F143" s="301"/>
      <c r="G143" s="5" t="s">
        <v>116</v>
      </c>
      <c r="H143" s="5"/>
      <c r="I143" s="23">
        <f>AG143+AE143+AC143+AA143+Y143+W143+U143+S143+O143+M143+K143</f>
        <v>5310</v>
      </c>
      <c r="J143" s="86">
        <f>I142*I143</f>
        <v>17098.200000000004</v>
      </c>
      <c r="K143" s="86">
        <v>894</v>
      </c>
      <c r="L143" s="86">
        <f>K143*K142</f>
        <v>3307.8</v>
      </c>
      <c r="M143" s="86">
        <v>613</v>
      </c>
      <c r="N143" s="86">
        <f>M143*M142</f>
        <v>2268.1</v>
      </c>
      <c r="O143" s="86">
        <v>482</v>
      </c>
      <c r="P143" s="86">
        <f>O143*O142</f>
        <v>1879.8</v>
      </c>
      <c r="Q143" s="86">
        <v>690</v>
      </c>
      <c r="R143" s="86">
        <f>Q143*Q142</f>
        <v>2622</v>
      </c>
      <c r="S143" s="86">
        <v>314</v>
      </c>
      <c r="T143" s="86">
        <f>S143*S142</f>
        <v>1174.3600000000001</v>
      </c>
      <c r="U143" s="86">
        <f t="shared" ref="U143:U144" si="376">U338</f>
        <v>773</v>
      </c>
      <c r="V143" s="86">
        <f>U143*U142</f>
        <v>2087.1000000000004</v>
      </c>
      <c r="W143" s="86">
        <f t="shared" ref="W143:W144" si="377">W338</f>
        <v>928</v>
      </c>
      <c r="X143" s="86">
        <f>W143*W142</f>
        <v>2505.6000000000004</v>
      </c>
      <c r="Y143" s="86">
        <f t="shared" ref="Y143:Y144" si="378">Y338</f>
        <v>462</v>
      </c>
      <c r="Z143" s="86">
        <f>Y143*Y142</f>
        <v>1201.2</v>
      </c>
      <c r="AA143" s="86">
        <f t="shared" ref="AA143:AA144" si="379">AA338</f>
        <v>324</v>
      </c>
      <c r="AB143" s="86">
        <f>AA143*AA142</f>
        <v>939.6</v>
      </c>
      <c r="AC143" s="86">
        <f t="shared" ref="AC143:AC144" si="380">AC338</f>
        <v>162</v>
      </c>
      <c r="AD143" s="86">
        <f>AC143*AC142</f>
        <v>518.4</v>
      </c>
      <c r="AE143" s="86">
        <f t="shared" ref="AE143:AE144" si="381">AE338</f>
        <v>188</v>
      </c>
      <c r="AF143" s="86">
        <f>AE143*AE142</f>
        <v>507.6</v>
      </c>
      <c r="AG143" s="86">
        <f t="shared" ref="AG143:AG144" si="382">AG338</f>
        <v>170</v>
      </c>
      <c r="AH143" s="86">
        <f>AG143*AG142</f>
        <v>510</v>
      </c>
      <c r="AI143" s="86">
        <f t="shared" ref="AI143:AI144" si="383">AI338</f>
        <v>166</v>
      </c>
      <c r="AJ143" s="86">
        <f>AI143*AI142</f>
        <v>514.6</v>
      </c>
      <c r="AK143" s="86">
        <f t="shared" ref="AK143:AK144" si="384">AK338</f>
        <v>126</v>
      </c>
      <c r="AL143" s="86">
        <f>AK143*AK142</f>
        <v>378</v>
      </c>
      <c r="AM143" s="86">
        <f t="shared" ref="AM143:AM144" si="385">AM338</f>
        <v>138</v>
      </c>
      <c r="AN143" s="86">
        <f>AM143*AM142</f>
        <v>427.8</v>
      </c>
      <c r="AO143" s="86">
        <v>251</v>
      </c>
      <c r="AP143" s="86">
        <f>AO143*AO142</f>
        <v>677.7</v>
      </c>
      <c r="AQ143" s="86">
        <v>277</v>
      </c>
      <c r="AR143" s="86">
        <f>AQ143*AQ142</f>
        <v>803.3</v>
      </c>
      <c r="AS143" s="86">
        <v>184</v>
      </c>
      <c r="AT143" s="86">
        <f>AS143*AS142</f>
        <v>533.6</v>
      </c>
      <c r="AU143" s="86">
        <v>311</v>
      </c>
      <c r="AV143" s="86">
        <f>AU143*AU142</f>
        <v>870.8</v>
      </c>
      <c r="AW143" s="86">
        <v>214</v>
      </c>
      <c r="AX143" s="86">
        <f>AW143*AW142</f>
        <v>599.19999999999993</v>
      </c>
      <c r="AY143" s="86">
        <v>134</v>
      </c>
      <c r="AZ143" s="86">
        <f>AY143*AY142</f>
        <v>375.2</v>
      </c>
      <c r="BA143" s="86">
        <v>163</v>
      </c>
      <c r="BB143" s="86">
        <f>BA143*BA142</f>
        <v>423.8</v>
      </c>
      <c r="BC143" s="86">
        <v>49</v>
      </c>
      <c r="BD143" s="86">
        <f>BC143*BC142</f>
        <v>142.1</v>
      </c>
      <c r="BE143" s="86">
        <v>349</v>
      </c>
      <c r="BF143" s="86">
        <f>BE143*BE142</f>
        <v>942.30000000000007</v>
      </c>
      <c r="BG143" s="86">
        <v>300</v>
      </c>
      <c r="BH143" s="86">
        <f>BG143*BG142</f>
        <v>840</v>
      </c>
      <c r="BI143" s="86">
        <v>272</v>
      </c>
      <c r="BJ143" s="86">
        <f>BI143*BI142</f>
        <v>788.8</v>
      </c>
      <c r="BK143" s="86">
        <v>335</v>
      </c>
      <c r="BL143" s="86">
        <f>BK143*BK142</f>
        <v>904.50000000000011</v>
      </c>
      <c r="BM143" s="86">
        <v>216</v>
      </c>
      <c r="BN143" s="86">
        <f>BM143*BM142</f>
        <v>583.20000000000005</v>
      </c>
      <c r="BO143" s="86">
        <v>201</v>
      </c>
      <c r="BP143" s="86">
        <f>BO143*BO142</f>
        <v>603</v>
      </c>
      <c r="BQ143" s="86">
        <v>181</v>
      </c>
      <c r="BR143" s="86">
        <f>BQ143*BQ142</f>
        <v>524.9</v>
      </c>
      <c r="BS143" s="86">
        <v>141</v>
      </c>
      <c r="BT143" s="86">
        <f>BS143*BS142</f>
        <v>423</v>
      </c>
      <c r="BU143" s="86">
        <v>185</v>
      </c>
      <c r="BV143" s="86">
        <f>BU143*BU142</f>
        <v>499.50000000000006</v>
      </c>
      <c r="BW143" s="86">
        <v>164</v>
      </c>
      <c r="BX143" s="86">
        <f>BW143*BW142</f>
        <v>508.40000000000003</v>
      </c>
      <c r="BY143" s="86">
        <v>161</v>
      </c>
      <c r="BZ143" s="86">
        <f>BY143*BY142</f>
        <v>483</v>
      </c>
      <c r="CA143" s="86">
        <v>10</v>
      </c>
      <c r="CB143" s="86">
        <f>CA143*CA142</f>
        <v>22</v>
      </c>
      <c r="CC143" s="86"/>
      <c r="CD143" s="86">
        <f>CC143*CC142</f>
        <v>0</v>
      </c>
      <c r="CE143" s="86"/>
      <c r="CF143" s="86">
        <f>CE143*CE142</f>
        <v>0</v>
      </c>
      <c r="CG143" s="86"/>
      <c r="CH143" s="86">
        <f>CG143*CG142</f>
        <v>0</v>
      </c>
      <c r="CI143" s="86"/>
      <c r="CJ143" s="86">
        <f>CI143*CI142</f>
        <v>0</v>
      </c>
      <c r="CK143" s="86"/>
      <c r="CL143" s="86">
        <f>CK143*CK142</f>
        <v>0</v>
      </c>
      <c r="CM143" s="86"/>
      <c r="CN143" s="86">
        <f>CM143*CM142</f>
        <v>0</v>
      </c>
      <c r="CO143" s="86"/>
      <c r="CP143" s="86">
        <f>CO143*CO142</f>
        <v>0</v>
      </c>
      <c r="CQ143" s="86">
        <v>123</v>
      </c>
      <c r="CR143" s="86">
        <f>CQ143*CQ142</f>
        <v>295.2</v>
      </c>
      <c r="CS143" s="86">
        <v>191</v>
      </c>
      <c r="CT143" s="86">
        <f>CS143*CS142</f>
        <v>515.70000000000005</v>
      </c>
      <c r="CU143" s="86">
        <v>136</v>
      </c>
      <c r="CV143" s="86">
        <f>CU143*CU142</f>
        <v>367.20000000000005</v>
      </c>
      <c r="CW143" s="86">
        <v>128</v>
      </c>
      <c r="CX143" s="86">
        <f>CW143*CW142</f>
        <v>345.6</v>
      </c>
      <c r="CY143" s="86">
        <v>160</v>
      </c>
      <c r="CZ143" s="86">
        <f>CY143*CY142</f>
        <v>464</v>
      </c>
      <c r="DA143" s="86">
        <v>207</v>
      </c>
      <c r="DB143" s="86">
        <f>DA143*DA142</f>
        <v>621</v>
      </c>
      <c r="DC143" s="86">
        <v>147</v>
      </c>
      <c r="DD143" s="86">
        <f>DC143*DC142</f>
        <v>470.40000000000003</v>
      </c>
      <c r="DE143" s="86">
        <v>199</v>
      </c>
      <c r="DF143" s="86">
        <f>DE143*DE142</f>
        <v>577.1</v>
      </c>
      <c r="DG143" s="86">
        <v>234</v>
      </c>
      <c r="DH143" s="86">
        <f>DG143*DG142</f>
        <v>631.80000000000007</v>
      </c>
      <c r="DI143" s="86">
        <v>172</v>
      </c>
      <c r="DJ143" s="86">
        <f>DI143*DI142</f>
        <v>481.59999999999997</v>
      </c>
      <c r="DK143" s="86">
        <v>172</v>
      </c>
      <c r="DL143" s="86">
        <f>DK143*DK142</f>
        <v>481.59999999999997</v>
      </c>
      <c r="DM143" s="86">
        <v>395</v>
      </c>
      <c r="DN143" s="86">
        <f>DM143*DM142</f>
        <v>1106</v>
      </c>
      <c r="DO143" s="86">
        <v>374</v>
      </c>
      <c r="DP143" s="86">
        <f>DO143*DO142</f>
        <v>1084.5999999999999</v>
      </c>
      <c r="DQ143" s="86">
        <v>324</v>
      </c>
      <c r="DR143" s="86">
        <f>DQ143*DQ142</f>
        <v>939.6</v>
      </c>
      <c r="DS143" s="86">
        <v>301</v>
      </c>
      <c r="DT143" s="86">
        <f>DS143*DS142</f>
        <v>903</v>
      </c>
      <c r="DU143" s="301"/>
      <c r="DV143" s="301"/>
      <c r="DW143" s="301"/>
      <c r="DX143" s="301"/>
      <c r="DY143" s="301"/>
      <c r="DZ143" s="301"/>
      <c r="EA143" s="301"/>
      <c r="EB143" s="301"/>
      <c r="EC143" s="301"/>
      <c r="ED143" s="301"/>
      <c r="EE143" s="301"/>
      <c r="EF143" s="301"/>
      <c r="EG143" s="301"/>
      <c r="EH143" s="301"/>
      <c r="EI143" s="301"/>
      <c r="EJ143" s="301"/>
      <c r="EK143" s="301"/>
      <c r="EL143" s="301"/>
      <c r="EM143" s="301"/>
      <c r="EN143" s="86">
        <v>1431</v>
      </c>
      <c r="EO143" s="86">
        <f>EN143*EN142</f>
        <v>3720.6</v>
      </c>
      <c r="EP143" s="86">
        <v>478</v>
      </c>
      <c r="EQ143" s="86">
        <f>EP143*EP142</f>
        <v>1195</v>
      </c>
      <c r="ER143" s="86">
        <v>572</v>
      </c>
      <c r="ES143" s="86">
        <f>ER143*ER142</f>
        <v>1544.4</v>
      </c>
      <c r="ET143" s="86">
        <v>681</v>
      </c>
      <c r="EU143" s="86">
        <f>ET143*ET142</f>
        <v>1566.3</v>
      </c>
      <c r="EV143" s="86">
        <v>798</v>
      </c>
      <c r="EW143" s="86">
        <f>EV143*EV142</f>
        <v>1835.3999999999999</v>
      </c>
      <c r="EX143" s="86">
        <v>704</v>
      </c>
      <c r="EY143" s="86">
        <f>EX143*EX142</f>
        <v>1548.8000000000002</v>
      </c>
      <c r="EZ143" s="86">
        <v>526</v>
      </c>
      <c r="FA143" s="86">
        <f>EZ143*EZ142</f>
        <v>1104.6000000000001</v>
      </c>
      <c r="FB143" s="86">
        <v>532</v>
      </c>
      <c r="FC143" s="86">
        <f>FB143*FB142</f>
        <v>1276.8</v>
      </c>
      <c r="FD143" s="86">
        <v>380</v>
      </c>
      <c r="FE143" s="86">
        <f>FD143*FD142</f>
        <v>1026</v>
      </c>
      <c r="FF143" s="86">
        <v>520</v>
      </c>
      <c r="FG143" s="86">
        <f>FF143*FF142</f>
        <v>1300</v>
      </c>
      <c r="FH143" s="86">
        <v>549</v>
      </c>
      <c r="FI143" s="86">
        <f>FH143*FH142</f>
        <v>1317.6</v>
      </c>
      <c r="FJ143" s="86">
        <v>439</v>
      </c>
      <c r="FK143" s="86">
        <f>FJ143*FJ142</f>
        <v>1053.5999999999999</v>
      </c>
      <c r="FL143" s="86">
        <v>274</v>
      </c>
      <c r="FM143" s="86">
        <f>FL143*FL142</f>
        <v>630.19999999999993</v>
      </c>
      <c r="FN143" s="86">
        <v>337</v>
      </c>
      <c r="FO143" s="86">
        <f>FN143*FN142</f>
        <v>775.09999999999991</v>
      </c>
      <c r="FP143" s="86">
        <v>197</v>
      </c>
      <c r="FQ143" s="86">
        <f>FP143*FP142</f>
        <v>527.96</v>
      </c>
      <c r="FR143" s="301"/>
      <c r="FS143" s="301"/>
      <c r="FT143" s="301"/>
      <c r="FU143" s="309"/>
      <c r="FV143" s="309"/>
      <c r="FW143" s="309"/>
      <c r="FX143" s="309"/>
      <c r="FY143" s="309"/>
      <c r="FZ143" s="309"/>
      <c r="GA143" s="309"/>
      <c r="GB143" s="309"/>
      <c r="GC143" s="309"/>
      <c r="GD143" s="309"/>
      <c r="GE143" s="309"/>
      <c r="GF143" s="309"/>
      <c r="GG143" s="309"/>
    </row>
    <row r="144" spans="1:189" ht="15" customHeight="1" outlineLevel="2" x14ac:dyDescent="0.3">
      <c r="A144" s="85"/>
      <c r="B144" s="301"/>
      <c r="C144" s="301"/>
      <c r="D144" s="301"/>
      <c r="E144" s="301"/>
      <c r="F144" s="301"/>
      <c r="G144" s="5" t="s">
        <v>117</v>
      </c>
      <c r="H144" s="5"/>
      <c r="I144" s="284">
        <f>I339</f>
        <v>0</v>
      </c>
      <c r="J144" s="281"/>
      <c r="K144" s="284">
        <v>3377</v>
      </c>
      <c r="L144" s="281"/>
      <c r="M144" s="284">
        <v>2266</v>
      </c>
      <c r="N144" s="281"/>
      <c r="O144" s="284">
        <v>1994</v>
      </c>
      <c r="P144" s="281"/>
      <c r="Q144" s="284">
        <v>2574</v>
      </c>
      <c r="R144" s="281"/>
      <c r="S144" s="284">
        <v>2510</v>
      </c>
      <c r="T144" s="281"/>
      <c r="U144" s="284">
        <f t="shared" si="376"/>
        <v>2939</v>
      </c>
      <c r="V144" s="281"/>
      <c r="W144" s="284">
        <f t="shared" si="377"/>
        <v>0</v>
      </c>
      <c r="X144" s="281"/>
      <c r="Y144" s="284">
        <f t="shared" si="378"/>
        <v>0</v>
      </c>
      <c r="Z144" s="281"/>
      <c r="AA144" s="284">
        <f t="shared" si="379"/>
        <v>0</v>
      </c>
      <c r="AB144" s="281"/>
      <c r="AC144" s="284">
        <f t="shared" si="380"/>
        <v>0</v>
      </c>
      <c r="AD144" s="281"/>
      <c r="AE144" s="284">
        <f t="shared" si="381"/>
        <v>0</v>
      </c>
      <c r="AF144" s="281"/>
      <c r="AG144" s="284">
        <f t="shared" si="382"/>
        <v>0</v>
      </c>
      <c r="AH144" s="281"/>
      <c r="AI144" s="284">
        <f t="shared" si="383"/>
        <v>0</v>
      </c>
      <c r="AJ144" s="281"/>
      <c r="AK144" s="284">
        <f t="shared" si="384"/>
        <v>0</v>
      </c>
      <c r="AL144" s="281"/>
      <c r="AM144" s="284">
        <f t="shared" si="385"/>
        <v>0</v>
      </c>
      <c r="AN144" s="281"/>
      <c r="AO144" s="284">
        <f>AO339</f>
        <v>0</v>
      </c>
      <c r="AP144" s="281"/>
      <c r="AQ144" s="284">
        <f>AQ339</f>
        <v>0</v>
      </c>
      <c r="AR144" s="281"/>
      <c r="AS144" s="284">
        <f>AS339</f>
        <v>0</v>
      </c>
      <c r="AT144" s="281"/>
      <c r="AU144" s="284">
        <f>AU339</f>
        <v>0</v>
      </c>
      <c r="AV144" s="281"/>
      <c r="AW144" s="284">
        <f>AW339</f>
        <v>0</v>
      </c>
      <c r="AX144" s="281"/>
      <c r="AY144" s="284">
        <f>AY339</f>
        <v>0</v>
      </c>
      <c r="AZ144" s="281"/>
      <c r="BA144" s="284">
        <f>BA339</f>
        <v>0</v>
      </c>
      <c r="BB144" s="281"/>
      <c r="BC144" s="284">
        <f>BC339</f>
        <v>0</v>
      </c>
      <c r="BD144" s="281"/>
      <c r="BE144" s="284">
        <f>BE339</f>
        <v>0</v>
      </c>
      <c r="BF144" s="281"/>
      <c r="BG144" s="284">
        <f>BG339</f>
        <v>0</v>
      </c>
      <c r="BH144" s="281"/>
      <c r="BI144" s="284">
        <f>BI339</f>
        <v>0</v>
      </c>
      <c r="BJ144" s="281"/>
      <c r="BK144" s="284">
        <f>BK339</f>
        <v>0</v>
      </c>
      <c r="BL144" s="281"/>
      <c r="BM144" s="284">
        <f>BM339</f>
        <v>0</v>
      </c>
      <c r="BN144" s="281"/>
      <c r="BO144" s="284">
        <f>BO339</f>
        <v>516</v>
      </c>
      <c r="BP144" s="281"/>
      <c r="BQ144" s="284">
        <v>472</v>
      </c>
      <c r="BR144" s="281"/>
      <c r="BS144" s="284">
        <v>357</v>
      </c>
      <c r="BT144" s="281"/>
      <c r="BU144" s="284">
        <v>493</v>
      </c>
      <c r="BV144" s="281"/>
      <c r="BW144" s="284">
        <v>431</v>
      </c>
      <c r="BX144" s="281"/>
      <c r="BY144" s="284">
        <v>419</v>
      </c>
      <c r="BZ144" s="281"/>
      <c r="CA144" s="284">
        <v>30</v>
      </c>
      <c r="CB144" s="281"/>
      <c r="CC144" s="284"/>
      <c r="CD144" s="281"/>
      <c r="CE144" s="284"/>
      <c r="CF144" s="281"/>
      <c r="CG144" s="284"/>
      <c r="CH144" s="281"/>
      <c r="CI144" s="284"/>
      <c r="CJ144" s="281"/>
      <c r="CK144" s="284"/>
      <c r="CL144" s="281"/>
      <c r="CM144" s="284"/>
      <c r="CN144" s="281"/>
      <c r="CO144" s="284"/>
      <c r="CP144" s="281"/>
      <c r="CQ144" s="284">
        <v>328</v>
      </c>
      <c r="CR144" s="281"/>
      <c r="CS144" s="284">
        <v>505</v>
      </c>
      <c r="CT144" s="281"/>
      <c r="CU144" s="284">
        <v>360</v>
      </c>
      <c r="CV144" s="281"/>
      <c r="CW144" s="284">
        <v>334</v>
      </c>
      <c r="CX144" s="281"/>
      <c r="CY144" s="284">
        <v>417</v>
      </c>
      <c r="CZ144" s="281"/>
      <c r="DA144" s="284">
        <v>534</v>
      </c>
      <c r="DB144" s="281"/>
      <c r="DC144" s="284">
        <v>373</v>
      </c>
      <c r="DD144" s="281"/>
      <c r="DE144" s="284">
        <v>512</v>
      </c>
      <c r="DF144" s="281"/>
      <c r="DG144" s="284">
        <v>612</v>
      </c>
      <c r="DH144" s="281"/>
      <c r="DI144" s="284">
        <v>450</v>
      </c>
      <c r="DJ144" s="281"/>
      <c r="DK144" s="284">
        <v>449</v>
      </c>
      <c r="DL144" s="281"/>
      <c r="DM144" s="284">
        <v>1022</v>
      </c>
      <c r="DN144" s="281"/>
      <c r="DO144" s="284">
        <v>959</v>
      </c>
      <c r="DP144" s="281"/>
      <c r="DQ144" s="284">
        <v>830</v>
      </c>
      <c r="DR144" s="281"/>
      <c r="DS144" s="284">
        <v>800</v>
      </c>
      <c r="DT144" s="281"/>
      <c r="DU144" s="301"/>
      <c r="DV144" s="301"/>
      <c r="DW144" s="301"/>
      <c r="DX144" s="301"/>
      <c r="DY144" s="301"/>
      <c r="DZ144" s="301"/>
      <c r="EA144" s="301"/>
      <c r="EB144" s="301"/>
      <c r="EC144" s="301"/>
      <c r="ED144" s="301"/>
      <c r="EE144" s="301"/>
      <c r="EF144" s="301"/>
      <c r="EG144" s="301"/>
      <c r="EH144" s="301"/>
      <c r="EI144" s="301"/>
      <c r="EJ144" s="301"/>
      <c r="EK144" s="301"/>
      <c r="EL144" s="301"/>
      <c r="EM144" s="301"/>
      <c r="EN144" s="284">
        <v>1431</v>
      </c>
      <c r="EO144" s="281"/>
      <c r="EP144" s="284">
        <v>1312</v>
      </c>
      <c r="EQ144" s="281"/>
      <c r="ER144" s="284">
        <v>1518</v>
      </c>
      <c r="ES144" s="281"/>
      <c r="ET144" s="284">
        <v>1877</v>
      </c>
      <c r="EU144" s="281"/>
      <c r="EV144" s="284">
        <v>2143</v>
      </c>
      <c r="EW144" s="281"/>
      <c r="EX144" s="284">
        <v>1943</v>
      </c>
      <c r="EY144" s="281"/>
      <c r="EZ144" s="284">
        <v>1482</v>
      </c>
      <c r="FA144" s="281"/>
      <c r="FB144" s="284">
        <v>1482</v>
      </c>
      <c r="FC144" s="281"/>
      <c r="FD144" s="284">
        <v>1074</v>
      </c>
      <c r="FE144" s="281"/>
      <c r="FF144" s="284">
        <v>1468</v>
      </c>
      <c r="FG144" s="281"/>
      <c r="FH144" s="284">
        <v>1518</v>
      </c>
      <c r="FI144" s="281"/>
      <c r="FJ144" s="284">
        <v>1188</v>
      </c>
      <c r="FK144" s="281"/>
      <c r="FL144" s="284">
        <v>1081</v>
      </c>
      <c r="FM144" s="281"/>
      <c r="FN144" s="284">
        <v>2497</v>
      </c>
      <c r="FO144" s="281"/>
      <c r="FP144" s="284">
        <v>1580</v>
      </c>
      <c r="FQ144" s="281"/>
      <c r="FR144" s="301"/>
      <c r="FS144" s="301"/>
      <c r="FT144" s="301"/>
      <c r="FU144" s="309"/>
      <c r="FV144" s="309"/>
      <c r="FW144" s="309"/>
      <c r="FX144" s="309"/>
      <c r="FY144" s="309"/>
      <c r="FZ144" s="309"/>
      <c r="GA144" s="309"/>
      <c r="GB144" s="309"/>
      <c r="GC144" s="309"/>
      <c r="GD144" s="309"/>
      <c r="GE144" s="309"/>
      <c r="GF144" s="309"/>
      <c r="GG144" s="309"/>
    </row>
    <row r="145" spans="1:189" ht="15" customHeight="1" outlineLevel="2" x14ac:dyDescent="0.3">
      <c r="A145" s="85"/>
      <c r="B145" s="302"/>
      <c r="C145" s="302"/>
      <c r="D145" s="302"/>
      <c r="E145" s="302"/>
      <c r="F145" s="302"/>
      <c r="G145" s="5" t="s">
        <v>118</v>
      </c>
      <c r="H145" s="5"/>
      <c r="I145" s="284">
        <f>SUM(K145:AH145)</f>
        <v>119017</v>
      </c>
      <c r="J145" s="281"/>
      <c r="K145" s="284">
        <f>K115</f>
        <v>15244</v>
      </c>
      <c r="L145" s="281"/>
      <c r="M145" s="284">
        <f>M115</f>
        <v>11378</v>
      </c>
      <c r="N145" s="281"/>
      <c r="O145" s="284">
        <f>O115</f>
        <v>11485</v>
      </c>
      <c r="P145" s="281"/>
      <c r="Q145" s="284">
        <f>Q115</f>
        <v>11212</v>
      </c>
      <c r="R145" s="281"/>
      <c r="S145" s="284">
        <f>S115</f>
        <v>9081</v>
      </c>
      <c r="T145" s="281"/>
      <c r="U145" s="284">
        <f>U115</f>
        <v>7241</v>
      </c>
      <c r="V145" s="281"/>
      <c r="W145" s="284">
        <f>W115</f>
        <v>8923</v>
      </c>
      <c r="X145" s="281"/>
      <c r="Y145" s="284">
        <f>Y115</f>
        <v>9279</v>
      </c>
      <c r="Z145" s="281"/>
      <c r="AA145" s="284">
        <f>AA115</f>
        <v>9311</v>
      </c>
      <c r="AB145" s="281"/>
      <c r="AC145" s="284">
        <f>AC115</f>
        <v>10527</v>
      </c>
      <c r="AD145" s="281"/>
      <c r="AE145" s="284">
        <f>AE115</f>
        <v>7835</v>
      </c>
      <c r="AF145" s="281"/>
      <c r="AG145" s="284">
        <f>AG115</f>
        <v>7501</v>
      </c>
      <c r="AH145" s="281"/>
      <c r="AI145" s="284">
        <f>AI115</f>
        <v>8360</v>
      </c>
      <c r="AJ145" s="281"/>
      <c r="AK145" s="284">
        <f>AK115</f>
        <v>6636</v>
      </c>
      <c r="AL145" s="281"/>
      <c r="AM145" s="284">
        <f>AM115</f>
        <v>7243</v>
      </c>
      <c r="AN145" s="281"/>
      <c r="AO145" s="284">
        <f>AO115</f>
        <v>9136</v>
      </c>
      <c r="AP145" s="281"/>
      <c r="AQ145" s="284">
        <f>AQ115</f>
        <v>11279</v>
      </c>
      <c r="AR145" s="281"/>
      <c r="AS145" s="284">
        <f>AS115</f>
        <v>9653</v>
      </c>
      <c r="AT145" s="281"/>
      <c r="AU145" s="284">
        <f>AU115</f>
        <v>9888</v>
      </c>
      <c r="AV145" s="281"/>
      <c r="AW145" s="284">
        <f>AW115</f>
        <v>6730</v>
      </c>
      <c r="AX145" s="281"/>
      <c r="AY145" s="284">
        <f>AY115</f>
        <v>5192</v>
      </c>
      <c r="AZ145" s="281"/>
      <c r="BA145" s="284">
        <f>BA115</f>
        <v>5219</v>
      </c>
      <c r="BB145" s="281"/>
      <c r="BC145" s="284">
        <f>BC115</f>
        <v>5212</v>
      </c>
      <c r="BD145" s="281"/>
      <c r="BE145" s="284">
        <f>BE115</f>
        <v>6738</v>
      </c>
      <c r="BF145" s="281"/>
      <c r="BG145" s="284">
        <f>BG115</f>
        <v>6447</v>
      </c>
      <c r="BH145" s="281"/>
      <c r="BI145" s="284">
        <f>BI115</f>
        <v>5712</v>
      </c>
      <c r="BJ145" s="281"/>
      <c r="BK145" s="284">
        <f>BK115</f>
        <v>7548</v>
      </c>
      <c r="BL145" s="281"/>
      <c r="BM145" s="284">
        <f>BM115</f>
        <v>7300</v>
      </c>
      <c r="BN145" s="281"/>
      <c r="BO145" s="284">
        <f>BO115</f>
        <v>6992</v>
      </c>
      <c r="BP145" s="281"/>
      <c r="BQ145" s="284">
        <f>BQ115</f>
        <v>7053</v>
      </c>
      <c r="BR145" s="281"/>
      <c r="BS145" s="284">
        <f>BS115</f>
        <v>6585</v>
      </c>
      <c r="BT145" s="281"/>
      <c r="BU145" s="284">
        <f>BU115</f>
        <v>6758</v>
      </c>
      <c r="BV145" s="281"/>
      <c r="BW145" s="284">
        <f>BW115</f>
        <v>7214</v>
      </c>
      <c r="BX145" s="281"/>
      <c r="BY145" s="284">
        <f>BY115</f>
        <v>8080</v>
      </c>
      <c r="BZ145" s="281"/>
      <c r="CA145" s="284">
        <f>CA115</f>
        <v>7544</v>
      </c>
      <c r="CB145" s="281"/>
      <c r="CC145" s="284">
        <f>CC115</f>
        <v>8195</v>
      </c>
      <c r="CD145" s="281"/>
      <c r="CE145" s="284">
        <f>CE115</f>
        <v>7011</v>
      </c>
      <c r="CF145" s="281"/>
      <c r="CG145" s="284">
        <f>CG115</f>
        <v>7131</v>
      </c>
      <c r="CH145" s="281"/>
      <c r="CI145" s="284">
        <f>CI115</f>
        <v>6051</v>
      </c>
      <c r="CJ145" s="281"/>
      <c r="CK145" s="284">
        <f>CK115</f>
        <v>7087</v>
      </c>
      <c r="CL145" s="281"/>
      <c r="CM145" s="284">
        <f>CM115</f>
        <v>8006</v>
      </c>
      <c r="CN145" s="281"/>
      <c r="CO145" s="284">
        <f>CO115</f>
        <v>7289</v>
      </c>
      <c r="CP145" s="281"/>
      <c r="CQ145" s="284">
        <f>CQ115</f>
        <v>8615</v>
      </c>
      <c r="CR145" s="281"/>
      <c r="CS145" s="284">
        <f>CS115</f>
        <v>10274</v>
      </c>
      <c r="CT145" s="281"/>
      <c r="CU145" s="284">
        <f>CU115</f>
        <v>9306</v>
      </c>
      <c r="CV145" s="281"/>
      <c r="CW145" s="284">
        <f>CW115</f>
        <v>10325</v>
      </c>
      <c r="CX145" s="281"/>
      <c r="CY145" s="284">
        <f>CY115</f>
        <v>11361</v>
      </c>
      <c r="CZ145" s="281"/>
      <c r="DA145" s="284">
        <f>DA115</f>
        <v>11936</v>
      </c>
      <c r="DB145" s="281"/>
      <c r="DC145" s="284">
        <f>DC115</f>
        <v>6942</v>
      </c>
      <c r="DD145" s="281"/>
      <c r="DE145" s="284">
        <f>DE115</f>
        <v>6450</v>
      </c>
      <c r="DF145" s="281"/>
      <c r="DG145" s="284">
        <f>DG115</f>
        <v>7747</v>
      </c>
      <c r="DH145" s="281"/>
      <c r="DI145" s="284">
        <f>DI115</f>
        <v>5625</v>
      </c>
      <c r="DJ145" s="281"/>
      <c r="DK145" s="284">
        <f>DK115</f>
        <v>7129</v>
      </c>
      <c r="DL145" s="281"/>
      <c r="DM145" s="284">
        <f>DM115</f>
        <v>6544</v>
      </c>
      <c r="DN145" s="281"/>
      <c r="DO145" s="284">
        <f>DO115</f>
        <v>5556</v>
      </c>
      <c r="DP145" s="281"/>
      <c r="DQ145" s="284">
        <f>DQ115</f>
        <v>6510</v>
      </c>
      <c r="DR145" s="281"/>
      <c r="DS145" s="284">
        <f>DS115</f>
        <v>6095</v>
      </c>
      <c r="DT145" s="281"/>
      <c r="DU145" s="302"/>
      <c r="DV145" s="302"/>
      <c r="DW145" s="302"/>
      <c r="DX145" s="302"/>
      <c r="DY145" s="302"/>
      <c r="DZ145" s="302"/>
      <c r="EA145" s="302"/>
      <c r="EB145" s="302"/>
      <c r="EC145" s="302"/>
      <c r="ED145" s="302"/>
      <c r="EE145" s="302"/>
      <c r="EF145" s="302"/>
      <c r="EG145" s="302"/>
      <c r="EH145" s="302"/>
      <c r="EI145" s="302"/>
      <c r="EJ145" s="302"/>
      <c r="EK145" s="302"/>
      <c r="EL145" s="302"/>
      <c r="EM145" s="302"/>
      <c r="EN145" s="284">
        <f>EN115</f>
        <v>7012</v>
      </c>
      <c r="EO145" s="281"/>
      <c r="EP145" s="284">
        <f>EP115</f>
        <v>6636</v>
      </c>
      <c r="EQ145" s="281"/>
      <c r="ER145" s="284">
        <f>ER115</f>
        <v>6543</v>
      </c>
      <c r="ES145" s="281"/>
      <c r="ET145" s="284">
        <f>ET115</f>
        <v>7903</v>
      </c>
      <c r="EU145" s="281"/>
      <c r="EV145" s="284">
        <f>EV115</f>
        <v>7903</v>
      </c>
      <c r="EW145" s="281"/>
      <c r="EX145" s="284">
        <f>EX115</f>
        <v>7890</v>
      </c>
      <c r="EY145" s="281"/>
      <c r="EZ145" s="284">
        <f>EZ115</f>
        <v>8885</v>
      </c>
      <c r="FA145" s="281"/>
      <c r="FB145" s="284">
        <f>FB115</f>
        <v>9170</v>
      </c>
      <c r="FC145" s="281"/>
      <c r="FD145" s="284">
        <f>FD115</f>
        <v>6872</v>
      </c>
      <c r="FE145" s="281"/>
      <c r="FF145" s="284">
        <f>FF115</f>
        <v>8401</v>
      </c>
      <c r="FG145" s="281"/>
      <c r="FH145" s="284">
        <f>FH115</f>
        <v>8011</v>
      </c>
      <c r="FI145" s="281"/>
      <c r="FJ145" s="284">
        <f>FJ115</f>
        <v>7546</v>
      </c>
      <c r="FK145" s="281"/>
      <c r="FL145" s="284">
        <f>FL115</f>
        <v>6970</v>
      </c>
      <c r="FM145" s="281"/>
      <c r="FN145" s="284">
        <f>FN115</f>
        <v>6489</v>
      </c>
      <c r="FO145" s="281"/>
      <c r="FP145" s="284">
        <v>6460</v>
      </c>
      <c r="FQ145" s="281"/>
      <c r="FR145" s="302"/>
      <c r="FS145" s="302"/>
      <c r="FT145" s="302"/>
      <c r="FU145" s="310"/>
      <c r="FV145" s="310"/>
      <c r="FW145" s="310"/>
      <c r="FX145" s="310"/>
      <c r="FY145" s="310"/>
      <c r="FZ145" s="310"/>
      <c r="GA145" s="310"/>
      <c r="GB145" s="310"/>
      <c r="GC145" s="310"/>
      <c r="GD145" s="310"/>
      <c r="GE145" s="310"/>
      <c r="GF145" s="310"/>
      <c r="GG145" s="310"/>
    </row>
    <row r="146" spans="1:189" ht="8.25" customHeight="1" outlineLevel="1" x14ac:dyDescent="0.3">
      <c r="A146" s="1"/>
      <c r="B146" s="18"/>
      <c r="C146" s="18"/>
      <c r="D146" s="18"/>
      <c r="E146" s="18"/>
      <c r="F146" s="18"/>
      <c r="G146" s="3"/>
      <c r="H146" s="3"/>
      <c r="I146" s="19"/>
      <c r="J146" s="20"/>
      <c r="K146" s="19"/>
      <c r="L146" s="20"/>
      <c r="M146" s="19"/>
      <c r="N146" s="20"/>
      <c r="O146" s="19"/>
      <c r="P146" s="20"/>
      <c r="Q146" s="19"/>
      <c r="R146" s="20"/>
      <c r="S146" s="19"/>
      <c r="T146" s="20"/>
      <c r="U146" s="19"/>
      <c r="V146" s="20"/>
      <c r="W146" s="19"/>
      <c r="X146" s="20"/>
      <c r="Y146" s="19"/>
      <c r="Z146" s="20"/>
      <c r="AA146" s="19"/>
      <c r="AB146" s="20"/>
      <c r="AC146" s="19"/>
      <c r="AD146" s="20"/>
      <c r="AE146" s="19"/>
      <c r="AF146" s="20"/>
      <c r="AG146" s="19"/>
      <c r="AH146" s="20"/>
      <c r="AI146" s="19"/>
      <c r="AJ146" s="20"/>
      <c r="AK146" s="19"/>
      <c r="AL146" s="20"/>
      <c r="AM146" s="19"/>
      <c r="AN146" s="20"/>
      <c r="AO146" s="19"/>
      <c r="AP146" s="20"/>
      <c r="AQ146" s="19"/>
      <c r="AR146" s="20"/>
      <c r="AS146" s="19"/>
      <c r="AT146" s="20"/>
      <c r="AU146" s="19"/>
      <c r="AV146" s="20"/>
      <c r="AW146" s="19"/>
      <c r="AX146" s="20"/>
      <c r="AY146" s="19"/>
      <c r="AZ146" s="20"/>
      <c r="BA146" s="19"/>
      <c r="BB146" s="20"/>
      <c r="BC146" s="19"/>
      <c r="BD146" s="20"/>
      <c r="BE146" s="19"/>
      <c r="BF146" s="20"/>
      <c r="BG146" s="19"/>
      <c r="BH146" s="20"/>
      <c r="BI146" s="19"/>
      <c r="BJ146" s="20"/>
      <c r="BK146" s="19"/>
      <c r="BL146" s="20"/>
      <c r="BM146" s="19"/>
      <c r="BN146" s="20"/>
      <c r="BO146" s="19"/>
      <c r="BP146" s="20"/>
      <c r="BQ146" s="19"/>
      <c r="BR146" s="20"/>
      <c r="BS146" s="19"/>
      <c r="BT146" s="20"/>
      <c r="BU146" s="19"/>
      <c r="BV146" s="20"/>
      <c r="BW146" s="19"/>
      <c r="BX146" s="20"/>
      <c r="BY146" s="19"/>
      <c r="BZ146" s="20"/>
      <c r="CA146" s="19"/>
      <c r="CB146" s="20"/>
      <c r="CC146" s="19"/>
      <c r="CD146" s="20"/>
      <c r="CE146" s="19"/>
      <c r="CF146" s="20"/>
      <c r="CG146" s="19"/>
      <c r="CH146" s="20"/>
      <c r="CI146" s="19"/>
      <c r="CJ146" s="20"/>
      <c r="CK146" s="19"/>
      <c r="CL146" s="20"/>
      <c r="CM146" s="19"/>
      <c r="CN146" s="20"/>
      <c r="CO146" s="19"/>
      <c r="CP146" s="20"/>
      <c r="CQ146" s="19"/>
      <c r="CR146" s="20"/>
      <c r="CS146" s="19"/>
      <c r="CT146" s="20"/>
      <c r="CU146" s="19"/>
      <c r="CV146" s="20"/>
      <c r="CW146" s="19"/>
      <c r="CX146" s="20"/>
      <c r="CY146" s="19"/>
      <c r="CZ146" s="20"/>
      <c r="DA146" s="19"/>
      <c r="DB146" s="20"/>
      <c r="DC146" s="19"/>
      <c r="DD146" s="20"/>
      <c r="DE146" s="19"/>
      <c r="DF146" s="20"/>
      <c r="DG146" s="19"/>
      <c r="DH146" s="20"/>
      <c r="DI146" s="19"/>
      <c r="DJ146" s="20"/>
      <c r="DK146" s="19"/>
      <c r="DL146" s="20"/>
      <c r="DM146" s="19"/>
      <c r="DN146" s="20"/>
      <c r="DO146" s="19"/>
      <c r="DP146" s="20"/>
      <c r="DQ146" s="19"/>
      <c r="DR146" s="20"/>
      <c r="DS146" s="19"/>
      <c r="DT146" s="20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19"/>
      <c r="EO146" s="20"/>
      <c r="EP146" s="19"/>
      <c r="EQ146" s="20"/>
      <c r="ER146" s="19"/>
      <c r="ES146" s="20"/>
      <c r="ET146" s="19"/>
      <c r="EU146" s="20"/>
      <c r="EV146" s="19"/>
      <c r="EW146" s="20"/>
      <c r="EX146" s="19"/>
      <c r="EY146" s="20"/>
      <c r="EZ146" s="19"/>
      <c r="FA146" s="20"/>
      <c r="FB146" s="19"/>
      <c r="FC146" s="20"/>
      <c r="FD146" s="19"/>
      <c r="FE146" s="20"/>
      <c r="FF146" s="19"/>
      <c r="FG146" s="20"/>
      <c r="FH146" s="19"/>
      <c r="FI146" s="20"/>
      <c r="FJ146" s="19"/>
      <c r="FK146" s="20"/>
      <c r="FL146" s="19"/>
      <c r="FM146" s="20"/>
      <c r="FN146" s="19"/>
      <c r="FO146" s="20"/>
      <c r="FP146" s="19"/>
      <c r="FQ146" s="20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</row>
    <row r="147" spans="1:189" ht="15" hidden="1" customHeight="1" outlineLevel="1" x14ac:dyDescent="0.3">
      <c r="A147" s="63"/>
      <c r="B147" s="426" t="s">
        <v>119</v>
      </c>
      <c r="C147" s="313" t="s">
        <v>80</v>
      </c>
      <c r="D147" s="313" t="s">
        <v>96</v>
      </c>
      <c r="E147" s="313" t="s">
        <v>120</v>
      </c>
      <c r="F147" s="313" t="s">
        <v>114</v>
      </c>
      <c r="G147" s="5" t="s">
        <v>28</v>
      </c>
      <c r="H147" s="5"/>
      <c r="I147" s="357">
        <v>3.5</v>
      </c>
      <c r="J147" s="281"/>
      <c r="K147" s="459"/>
      <c r="L147" s="281"/>
      <c r="M147" s="459"/>
      <c r="N147" s="281"/>
      <c r="O147" s="459"/>
      <c r="P147" s="281"/>
      <c r="Q147" s="459"/>
      <c r="R147" s="281"/>
      <c r="S147" s="459"/>
      <c r="T147" s="281"/>
      <c r="U147" s="459"/>
      <c r="V147" s="281"/>
      <c r="W147" s="357">
        <v>3.5</v>
      </c>
      <c r="X147" s="281"/>
      <c r="Y147" s="357">
        <v>3.5</v>
      </c>
      <c r="Z147" s="281"/>
      <c r="AA147" s="357">
        <v>3.5</v>
      </c>
      <c r="AB147" s="281"/>
      <c r="AC147" s="357">
        <v>3.5</v>
      </c>
      <c r="AD147" s="281"/>
      <c r="AE147" s="357">
        <v>3.5</v>
      </c>
      <c r="AF147" s="281"/>
      <c r="AG147" s="357">
        <v>3.5</v>
      </c>
      <c r="AH147" s="281"/>
      <c r="AI147" s="357">
        <v>3.5</v>
      </c>
      <c r="AJ147" s="281"/>
      <c r="AK147" s="357">
        <v>3.5</v>
      </c>
      <c r="AL147" s="281"/>
      <c r="AM147" s="357">
        <v>3.5</v>
      </c>
      <c r="AN147" s="281"/>
      <c r="AO147" s="357">
        <v>3.5</v>
      </c>
      <c r="AP147" s="281"/>
      <c r="AQ147" s="357">
        <v>3.5</v>
      </c>
      <c r="AR147" s="281"/>
      <c r="AS147" s="462">
        <v>3.5</v>
      </c>
      <c r="AT147" s="281"/>
      <c r="AU147" s="462">
        <v>3.5</v>
      </c>
      <c r="AV147" s="281"/>
      <c r="AW147" s="357">
        <v>3.5</v>
      </c>
      <c r="AX147" s="281"/>
      <c r="AY147" s="357">
        <v>3.5</v>
      </c>
      <c r="AZ147" s="281"/>
      <c r="BA147" s="357">
        <v>3.5</v>
      </c>
      <c r="BB147" s="281"/>
      <c r="BC147" s="357">
        <v>3.5</v>
      </c>
      <c r="BD147" s="281"/>
      <c r="BE147" s="357">
        <v>3.5</v>
      </c>
      <c r="BF147" s="281"/>
      <c r="BG147" s="357">
        <v>3.5</v>
      </c>
      <c r="BH147" s="281"/>
      <c r="BI147" s="357">
        <v>3.5</v>
      </c>
      <c r="BJ147" s="281"/>
      <c r="BK147" s="357">
        <v>3.5</v>
      </c>
      <c r="BL147" s="281"/>
      <c r="BM147" s="357">
        <v>3.5</v>
      </c>
      <c r="BN147" s="281"/>
      <c r="BO147" s="357">
        <v>3.5</v>
      </c>
      <c r="BP147" s="281"/>
      <c r="BQ147" s="357">
        <v>3.5</v>
      </c>
      <c r="BR147" s="281"/>
      <c r="BS147" s="357">
        <v>3.5</v>
      </c>
      <c r="BT147" s="281"/>
      <c r="BU147" s="357">
        <v>3.5</v>
      </c>
      <c r="BV147" s="281"/>
      <c r="BW147" s="357">
        <v>3.5</v>
      </c>
      <c r="BX147" s="281"/>
      <c r="BY147" s="357">
        <v>3.5</v>
      </c>
      <c r="BZ147" s="281"/>
      <c r="CA147" s="357">
        <v>3.5</v>
      </c>
      <c r="CB147" s="281"/>
      <c r="CC147" s="357">
        <v>3.5</v>
      </c>
      <c r="CD147" s="281"/>
      <c r="CE147" s="357">
        <v>3.5</v>
      </c>
      <c r="CF147" s="281"/>
      <c r="CG147" s="357">
        <v>3.5</v>
      </c>
      <c r="CH147" s="281"/>
      <c r="CI147" s="357">
        <v>3.5</v>
      </c>
      <c r="CJ147" s="281"/>
      <c r="CK147" s="357">
        <v>3.5</v>
      </c>
      <c r="CL147" s="281"/>
      <c r="CM147" s="357">
        <v>3.5</v>
      </c>
      <c r="CN147" s="281"/>
      <c r="CO147" s="357">
        <v>3.5</v>
      </c>
      <c r="CP147" s="281"/>
      <c r="CQ147" s="357">
        <v>3.5</v>
      </c>
      <c r="CR147" s="281"/>
      <c r="CS147" s="357">
        <v>3.5</v>
      </c>
      <c r="CT147" s="281"/>
      <c r="CU147" s="357">
        <v>3.5</v>
      </c>
      <c r="CV147" s="281"/>
      <c r="CW147" s="357">
        <v>3.5</v>
      </c>
      <c r="CX147" s="281"/>
      <c r="CY147" s="357">
        <v>3.5</v>
      </c>
      <c r="CZ147" s="281"/>
      <c r="DA147" s="357">
        <v>3.5</v>
      </c>
      <c r="DB147" s="281"/>
      <c r="DC147" s="357">
        <v>3.5</v>
      </c>
      <c r="DD147" s="281"/>
      <c r="DE147" s="357">
        <v>3.5</v>
      </c>
      <c r="DF147" s="281"/>
      <c r="DG147" s="357">
        <v>3.5</v>
      </c>
      <c r="DH147" s="281"/>
      <c r="DI147" s="357">
        <v>3.5</v>
      </c>
      <c r="DJ147" s="281"/>
      <c r="DK147" s="357">
        <v>3.5</v>
      </c>
      <c r="DL147" s="281"/>
      <c r="DM147" s="357">
        <v>3.5</v>
      </c>
      <c r="DN147" s="281"/>
      <c r="DO147" s="357">
        <v>3.5</v>
      </c>
      <c r="DP147" s="281"/>
      <c r="DQ147" s="357">
        <v>3.5</v>
      </c>
      <c r="DR147" s="281"/>
      <c r="DS147" s="357">
        <v>3.5</v>
      </c>
      <c r="DT147" s="281"/>
      <c r="DU147" s="311" t="s">
        <v>29</v>
      </c>
      <c r="DV147" s="311" t="s">
        <v>29</v>
      </c>
      <c r="DW147" s="311" t="s">
        <v>87</v>
      </c>
      <c r="DX147" s="311" t="s">
        <v>87</v>
      </c>
      <c r="DY147" s="311" t="s">
        <v>87</v>
      </c>
      <c r="DZ147" s="311" t="s">
        <v>87</v>
      </c>
      <c r="EA147" s="311" t="s">
        <v>87</v>
      </c>
      <c r="EB147" s="311" t="s">
        <v>87</v>
      </c>
      <c r="EC147" s="311" t="s">
        <v>87</v>
      </c>
      <c r="ED147" s="311" t="s">
        <v>87</v>
      </c>
      <c r="EE147" s="311"/>
      <c r="EF147" s="311"/>
      <c r="EG147" s="311"/>
      <c r="EH147" s="311"/>
      <c r="EI147" s="311"/>
      <c r="EJ147" s="311"/>
      <c r="EK147" s="311"/>
      <c r="EL147" s="311"/>
      <c r="EM147" s="311"/>
      <c r="EN147" s="357">
        <v>3.5</v>
      </c>
      <c r="EO147" s="281"/>
      <c r="EP147" s="357">
        <v>3.5</v>
      </c>
      <c r="EQ147" s="281"/>
      <c r="ER147" s="357">
        <v>3.5</v>
      </c>
      <c r="ES147" s="281"/>
      <c r="ET147" s="357">
        <v>3.5</v>
      </c>
      <c r="EU147" s="281"/>
      <c r="EV147" s="357">
        <v>3.5</v>
      </c>
      <c r="EW147" s="281"/>
      <c r="EX147" s="357">
        <v>3.5</v>
      </c>
      <c r="EY147" s="281"/>
      <c r="EZ147" s="357">
        <v>3.5</v>
      </c>
      <c r="FA147" s="281"/>
      <c r="FB147" s="357">
        <v>3.5</v>
      </c>
      <c r="FC147" s="281"/>
      <c r="FD147" s="357">
        <v>3.5</v>
      </c>
      <c r="FE147" s="281"/>
      <c r="FF147" s="357">
        <v>3.5</v>
      </c>
      <c r="FG147" s="281"/>
      <c r="FH147" s="357">
        <v>3.5</v>
      </c>
      <c r="FI147" s="281"/>
      <c r="FJ147" s="357">
        <v>3.5</v>
      </c>
      <c r="FK147" s="281"/>
      <c r="FL147" s="357">
        <v>3.5</v>
      </c>
      <c r="FM147" s="281"/>
      <c r="FN147" s="357">
        <v>3.5</v>
      </c>
      <c r="FO147" s="281"/>
      <c r="FP147" s="357">
        <v>3.5</v>
      </c>
      <c r="FQ147" s="281"/>
      <c r="FR147" s="311"/>
      <c r="FS147" s="311"/>
      <c r="FT147" s="311"/>
      <c r="FU147" s="311"/>
      <c r="FV147" s="311"/>
      <c r="FW147" s="311"/>
      <c r="FX147" s="311"/>
      <c r="FY147" s="311"/>
      <c r="FZ147" s="311"/>
      <c r="GA147" s="311"/>
      <c r="GB147" s="311"/>
      <c r="GC147" s="311"/>
      <c r="GD147" s="311"/>
      <c r="GE147" s="311"/>
      <c r="GF147" s="311"/>
      <c r="GG147" s="311"/>
    </row>
    <row r="148" spans="1:189" ht="4.5" hidden="1" customHeight="1" outlineLevel="1" x14ac:dyDescent="0.3">
      <c r="A148" s="1"/>
      <c r="B148" s="301"/>
      <c r="C148" s="301"/>
      <c r="D148" s="301"/>
      <c r="E148" s="301"/>
      <c r="F148" s="301"/>
      <c r="G148" s="5"/>
      <c r="H148" s="5"/>
      <c r="I148" s="328"/>
      <c r="J148" s="281"/>
      <c r="K148" s="429"/>
      <c r="L148" s="281"/>
      <c r="M148" s="429"/>
      <c r="N148" s="281"/>
      <c r="O148" s="429"/>
      <c r="P148" s="281"/>
      <c r="Q148" s="429"/>
      <c r="R148" s="281"/>
      <c r="S148" s="429"/>
      <c r="T148" s="281"/>
      <c r="U148" s="429"/>
      <c r="V148" s="281"/>
      <c r="W148" s="328"/>
      <c r="X148" s="281"/>
      <c r="Y148" s="328"/>
      <c r="Z148" s="281"/>
      <c r="AA148" s="328"/>
      <c r="AB148" s="281"/>
      <c r="AC148" s="328"/>
      <c r="AD148" s="281"/>
      <c r="AE148" s="328"/>
      <c r="AF148" s="281"/>
      <c r="AG148" s="328"/>
      <c r="AH148" s="281"/>
      <c r="AI148" s="328"/>
      <c r="AJ148" s="281"/>
      <c r="AK148" s="328"/>
      <c r="AL148" s="281"/>
      <c r="AM148" s="328"/>
      <c r="AN148" s="281"/>
      <c r="AO148" s="328"/>
      <c r="AP148" s="281"/>
      <c r="AQ148" s="328"/>
      <c r="AR148" s="281"/>
      <c r="AS148" s="428"/>
      <c r="AT148" s="281"/>
      <c r="AU148" s="428"/>
      <c r="AV148" s="281"/>
      <c r="AW148" s="328"/>
      <c r="AX148" s="281"/>
      <c r="AY148" s="328"/>
      <c r="AZ148" s="281"/>
      <c r="BA148" s="328"/>
      <c r="BB148" s="281"/>
      <c r="BC148" s="328"/>
      <c r="BD148" s="281"/>
      <c r="BE148" s="328"/>
      <c r="BF148" s="281"/>
      <c r="BG148" s="328"/>
      <c r="BH148" s="281"/>
      <c r="BI148" s="328"/>
      <c r="BJ148" s="281"/>
      <c r="BK148" s="328"/>
      <c r="BL148" s="281"/>
      <c r="BM148" s="328"/>
      <c r="BN148" s="281"/>
      <c r="BO148" s="328"/>
      <c r="BP148" s="281"/>
      <c r="BQ148" s="328"/>
      <c r="BR148" s="281"/>
      <c r="BS148" s="328"/>
      <c r="BT148" s="281"/>
      <c r="BU148" s="328"/>
      <c r="BV148" s="281"/>
      <c r="BW148" s="328"/>
      <c r="BX148" s="281"/>
      <c r="BY148" s="328"/>
      <c r="BZ148" s="281"/>
      <c r="CA148" s="328"/>
      <c r="CB148" s="281"/>
      <c r="CC148" s="328"/>
      <c r="CD148" s="281"/>
      <c r="CE148" s="328"/>
      <c r="CF148" s="281"/>
      <c r="CG148" s="328"/>
      <c r="CH148" s="281"/>
      <c r="CI148" s="328"/>
      <c r="CJ148" s="281"/>
      <c r="CK148" s="328"/>
      <c r="CL148" s="281"/>
      <c r="CM148" s="328"/>
      <c r="CN148" s="281"/>
      <c r="CO148" s="328"/>
      <c r="CP148" s="281"/>
      <c r="CQ148" s="328"/>
      <c r="CR148" s="281"/>
      <c r="CS148" s="328"/>
      <c r="CT148" s="281"/>
      <c r="CU148" s="328"/>
      <c r="CV148" s="281"/>
      <c r="CW148" s="328"/>
      <c r="CX148" s="281"/>
      <c r="CY148" s="328"/>
      <c r="CZ148" s="281"/>
      <c r="DA148" s="328"/>
      <c r="DB148" s="281"/>
      <c r="DC148" s="328"/>
      <c r="DD148" s="281"/>
      <c r="DE148" s="328"/>
      <c r="DF148" s="281"/>
      <c r="DG148" s="328"/>
      <c r="DH148" s="281"/>
      <c r="DI148" s="328"/>
      <c r="DJ148" s="281"/>
      <c r="DK148" s="328"/>
      <c r="DL148" s="281"/>
      <c r="DM148" s="328"/>
      <c r="DN148" s="281"/>
      <c r="DO148" s="328"/>
      <c r="DP148" s="281"/>
      <c r="DQ148" s="328"/>
      <c r="DR148" s="281"/>
      <c r="DS148" s="328"/>
      <c r="DT148" s="281"/>
      <c r="DU148" s="301"/>
      <c r="DV148" s="301"/>
      <c r="DW148" s="301"/>
      <c r="DX148" s="301"/>
      <c r="DY148" s="301"/>
      <c r="DZ148" s="301"/>
      <c r="EA148" s="301"/>
      <c r="EB148" s="301"/>
      <c r="EC148" s="301"/>
      <c r="ED148" s="301"/>
      <c r="EE148" s="301"/>
      <c r="EF148" s="301"/>
      <c r="EG148" s="301"/>
      <c r="EH148" s="301"/>
      <c r="EI148" s="301"/>
      <c r="EJ148" s="301"/>
      <c r="EK148" s="301"/>
      <c r="EL148" s="301"/>
      <c r="EM148" s="301"/>
      <c r="EN148" s="328"/>
      <c r="EO148" s="281"/>
      <c r="EP148" s="328"/>
      <c r="EQ148" s="281"/>
      <c r="ER148" s="328"/>
      <c r="ES148" s="281"/>
      <c r="ET148" s="328"/>
      <c r="EU148" s="281"/>
      <c r="EV148" s="328"/>
      <c r="EW148" s="281"/>
      <c r="EX148" s="328"/>
      <c r="EY148" s="281"/>
      <c r="EZ148" s="328"/>
      <c r="FA148" s="281"/>
      <c r="FB148" s="328"/>
      <c r="FC148" s="281"/>
      <c r="FD148" s="328"/>
      <c r="FE148" s="281"/>
      <c r="FF148" s="328"/>
      <c r="FG148" s="281"/>
      <c r="FH148" s="328"/>
      <c r="FI148" s="281"/>
      <c r="FJ148" s="328"/>
      <c r="FK148" s="281"/>
      <c r="FL148" s="328"/>
      <c r="FM148" s="281"/>
      <c r="FN148" s="328"/>
      <c r="FO148" s="281"/>
      <c r="FP148" s="328"/>
      <c r="FQ148" s="281"/>
      <c r="FR148" s="301"/>
      <c r="FS148" s="301"/>
      <c r="FT148" s="301"/>
      <c r="FU148" s="301"/>
      <c r="FV148" s="301"/>
      <c r="FW148" s="301"/>
      <c r="FX148" s="301"/>
      <c r="FY148" s="301"/>
      <c r="FZ148" s="301"/>
      <c r="GA148" s="301"/>
      <c r="GB148" s="301"/>
      <c r="GC148" s="301"/>
      <c r="GD148" s="301"/>
      <c r="GE148" s="301"/>
      <c r="GF148" s="301"/>
      <c r="GG148" s="301"/>
    </row>
    <row r="149" spans="1:189" ht="15" hidden="1" customHeight="1" outlineLevel="1" x14ac:dyDescent="0.3">
      <c r="A149" s="1"/>
      <c r="B149" s="301"/>
      <c r="C149" s="301"/>
      <c r="D149" s="301"/>
      <c r="E149" s="301"/>
      <c r="F149" s="301"/>
      <c r="G149" s="5" t="s">
        <v>30</v>
      </c>
      <c r="H149" s="5"/>
      <c r="I149" s="341">
        <f>AVERAGE(K149:AH149)</f>
        <v>3.7066666666666666</v>
      </c>
      <c r="J149" s="281"/>
      <c r="K149" s="462"/>
      <c r="L149" s="281"/>
      <c r="M149" s="462"/>
      <c r="N149" s="281"/>
      <c r="O149" s="462"/>
      <c r="P149" s="281"/>
      <c r="Q149" s="462"/>
      <c r="R149" s="281"/>
      <c r="S149" s="462"/>
      <c r="T149" s="281"/>
      <c r="U149" s="462"/>
      <c r="V149" s="281"/>
      <c r="W149" s="357">
        <v>3.64</v>
      </c>
      <c r="X149" s="281"/>
      <c r="Y149" s="357">
        <v>3.7</v>
      </c>
      <c r="Z149" s="281"/>
      <c r="AA149" s="357">
        <v>3.8</v>
      </c>
      <c r="AB149" s="281"/>
      <c r="AC149" s="357">
        <v>3.7</v>
      </c>
      <c r="AD149" s="281"/>
      <c r="AE149" s="357">
        <v>3.7</v>
      </c>
      <c r="AF149" s="281"/>
      <c r="AG149" s="357">
        <v>3.7</v>
      </c>
      <c r="AH149" s="281"/>
      <c r="AI149" s="357">
        <v>3.7</v>
      </c>
      <c r="AJ149" s="281"/>
      <c r="AK149" s="357">
        <v>3.7</v>
      </c>
      <c r="AL149" s="281"/>
      <c r="AM149" s="357">
        <v>3.6</v>
      </c>
      <c r="AN149" s="281"/>
      <c r="AO149" s="357">
        <v>3.4</v>
      </c>
      <c r="AP149" s="281"/>
      <c r="AQ149" s="357">
        <v>3.7</v>
      </c>
      <c r="AR149" s="281"/>
      <c r="AS149" s="462"/>
      <c r="AT149" s="281"/>
      <c r="AU149" s="462"/>
      <c r="AV149" s="281"/>
      <c r="AW149" s="357">
        <v>3.9</v>
      </c>
      <c r="AX149" s="281"/>
      <c r="AY149" s="357">
        <v>3.6</v>
      </c>
      <c r="AZ149" s="281"/>
      <c r="BA149" s="357">
        <v>3.6</v>
      </c>
      <c r="BB149" s="281"/>
      <c r="BC149" s="357">
        <v>3.5</v>
      </c>
      <c r="BD149" s="281"/>
      <c r="BE149" s="357">
        <v>3.6</v>
      </c>
      <c r="BF149" s="281"/>
      <c r="BG149" s="357">
        <v>3.7</v>
      </c>
      <c r="BH149" s="281"/>
      <c r="BI149" s="357">
        <v>3.6</v>
      </c>
      <c r="BJ149" s="281"/>
      <c r="BK149" s="357">
        <v>3.7</v>
      </c>
      <c r="BL149" s="281"/>
      <c r="BM149" s="357">
        <v>3.7</v>
      </c>
      <c r="BN149" s="281"/>
      <c r="BO149" s="357">
        <v>3.7</v>
      </c>
      <c r="BP149" s="281"/>
      <c r="BQ149" s="357">
        <v>3.7</v>
      </c>
      <c r="BR149" s="281"/>
      <c r="BS149" s="357">
        <v>3.8</v>
      </c>
      <c r="BT149" s="281"/>
      <c r="BU149" s="357">
        <v>3.8</v>
      </c>
      <c r="BV149" s="281"/>
      <c r="BW149" s="357">
        <v>3.8</v>
      </c>
      <c r="BX149" s="281"/>
      <c r="BY149" s="357">
        <v>3.7</v>
      </c>
      <c r="BZ149" s="281"/>
      <c r="CA149" s="357">
        <v>3.8</v>
      </c>
      <c r="CB149" s="281"/>
      <c r="CC149" s="357">
        <v>3.7</v>
      </c>
      <c r="CD149" s="281"/>
      <c r="CE149" s="357">
        <v>4</v>
      </c>
      <c r="CF149" s="281"/>
      <c r="CG149" s="357"/>
      <c r="CH149" s="281"/>
      <c r="CI149" s="357"/>
      <c r="CJ149" s="281"/>
      <c r="CK149" s="357"/>
      <c r="CL149" s="281"/>
      <c r="CM149" s="357"/>
      <c r="CN149" s="281"/>
      <c r="CO149" s="357"/>
      <c r="CP149" s="281"/>
      <c r="CQ149" s="357"/>
      <c r="CR149" s="281"/>
      <c r="CS149" s="357"/>
      <c r="CT149" s="281"/>
      <c r="CU149" s="357"/>
      <c r="CV149" s="281"/>
      <c r="CW149" s="357"/>
      <c r="CX149" s="281"/>
      <c r="CY149" s="357"/>
      <c r="CZ149" s="281"/>
      <c r="DA149" s="357"/>
      <c r="DB149" s="281"/>
      <c r="DC149" s="357"/>
      <c r="DD149" s="281"/>
      <c r="DE149" s="357"/>
      <c r="DF149" s="281"/>
      <c r="DG149" s="357"/>
      <c r="DH149" s="281"/>
      <c r="DI149" s="357"/>
      <c r="DJ149" s="281"/>
      <c r="DK149" s="357"/>
      <c r="DL149" s="281"/>
      <c r="DM149" s="357"/>
      <c r="DN149" s="281"/>
      <c r="DO149" s="357"/>
      <c r="DP149" s="281"/>
      <c r="DQ149" s="357"/>
      <c r="DR149" s="281"/>
      <c r="DS149" s="357"/>
      <c r="DT149" s="281"/>
      <c r="DU149" s="301"/>
      <c r="DV149" s="301"/>
      <c r="DW149" s="301"/>
      <c r="DX149" s="301"/>
      <c r="DY149" s="301"/>
      <c r="DZ149" s="301"/>
      <c r="EA149" s="301"/>
      <c r="EB149" s="301"/>
      <c r="EC149" s="301"/>
      <c r="ED149" s="301"/>
      <c r="EE149" s="301"/>
      <c r="EF149" s="301"/>
      <c r="EG149" s="301"/>
      <c r="EH149" s="301"/>
      <c r="EI149" s="301"/>
      <c r="EJ149" s="301"/>
      <c r="EK149" s="301"/>
      <c r="EL149" s="301"/>
      <c r="EM149" s="301"/>
      <c r="EN149" s="357"/>
      <c r="EO149" s="281"/>
      <c r="EP149" s="357"/>
      <c r="EQ149" s="281"/>
      <c r="ER149" s="357"/>
      <c r="ES149" s="281"/>
      <c r="ET149" s="357"/>
      <c r="EU149" s="281"/>
      <c r="EV149" s="357"/>
      <c r="EW149" s="281"/>
      <c r="EX149" s="357"/>
      <c r="EY149" s="281"/>
      <c r="EZ149" s="357"/>
      <c r="FA149" s="281"/>
      <c r="FB149" s="357"/>
      <c r="FC149" s="281"/>
      <c r="FD149" s="357"/>
      <c r="FE149" s="281"/>
      <c r="FF149" s="357"/>
      <c r="FG149" s="281"/>
      <c r="FH149" s="357"/>
      <c r="FI149" s="281"/>
      <c r="FJ149" s="357"/>
      <c r="FK149" s="281"/>
      <c r="FL149" s="357"/>
      <c r="FM149" s="281"/>
      <c r="FN149" s="357"/>
      <c r="FO149" s="281"/>
      <c r="FP149" s="357"/>
      <c r="FQ149" s="281"/>
      <c r="FR149" s="301"/>
      <c r="FS149" s="301"/>
      <c r="FT149" s="301"/>
      <c r="FU149" s="301"/>
      <c r="FV149" s="301"/>
      <c r="FW149" s="301"/>
      <c r="FX149" s="301"/>
      <c r="FY149" s="301"/>
      <c r="FZ149" s="301"/>
      <c r="GA149" s="301"/>
      <c r="GB149" s="301"/>
      <c r="GC149" s="301"/>
      <c r="GD149" s="301"/>
      <c r="GE149" s="301"/>
      <c r="GF149" s="301"/>
      <c r="GG149" s="301"/>
    </row>
    <row r="150" spans="1:189" ht="15" hidden="1" customHeight="1" outlineLevel="1" x14ac:dyDescent="0.3">
      <c r="A150" s="1"/>
      <c r="B150" s="301"/>
      <c r="C150" s="301"/>
      <c r="D150" s="301"/>
      <c r="E150" s="301"/>
      <c r="F150" s="301"/>
      <c r="G150" s="5" t="s">
        <v>121</v>
      </c>
      <c r="H150" s="5"/>
      <c r="I150" s="23">
        <f>AG150+AE150+AC150+AA150+Y150+W150+U150+S150+O150+M150+K150</f>
        <v>7267</v>
      </c>
      <c r="J150" s="86">
        <f>I149*I150</f>
        <v>26936.346666666665</v>
      </c>
      <c r="K150" s="428"/>
      <c r="L150" s="281"/>
      <c r="M150" s="428"/>
      <c r="N150" s="281"/>
      <c r="O150" s="428"/>
      <c r="P150" s="281"/>
      <c r="Q150" s="428"/>
      <c r="R150" s="281"/>
      <c r="S150" s="428"/>
      <c r="T150" s="281"/>
      <c r="U150" s="428"/>
      <c r="V150" s="281"/>
      <c r="W150" s="86">
        <v>1086</v>
      </c>
      <c r="X150" s="86">
        <f>W150*W149</f>
        <v>3953.04</v>
      </c>
      <c r="Y150" s="86">
        <v>1219</v>
      </c>
      <c r="Z150" s="86">
        <f>Y150*Y149</f>
        <v>4510.3</v>
      </c>
      <c r="AA150" s="86">
        <v>1393</v>
      </c>
      <c r="AB150" s="86">
        <f>AA150*AA149</f>
        <v>5293.4</v>
      </c>
      <c r="AC150" s="86">
        <v>1601</v>
      </c>
      <c r="AD150" s="86">
        <f>AC150*AC149</f>
        <v>5923.7000000000007</v>
      </c>
      <c r="AE150" s="86">
        <v>1083</v>
      </c>
      <c r="AF150" s="86">
        <f>AE150*AE149</f>
        <v>4007.1000000000004</v>
      </c>
      <c r="AG150" s="86">
        <v>885</v>
      </c>
      <c r="AH150" s="86">
        <f>AG150*AG149</f>
        <v>3274.5</v>
      </c>
      <c r="AI150" s="86">
        <v>868</v>
      </c>
      <c r="AJ150" s="86">
        <f>AI150*AI149</f>
        <v>3211.6000000000004</v>
      </c>
      <c r="AK150" s="86">
        <v>476</v>
      </c>
      <c r="AL150" s="86">
        <f>AK150*AK149</f>
        <v>1761.2</v>
      </c>
      <c r="AM150" s="86">
        <v>650</v>
      </c>
      <c r="AN150" s="86">
        <f>AM150*AM149</f>
        <v>2340</v>
      </c>
      <c r="AO150" s="86">
        <v>173</v>
      </c>
      <c r="AP150" s="86">
        <f>AO150*AO149</f>
        <v>588.19999999999993</v>
      </c>
      <c r="AQ150" s="86">
        <v>70</v>
      </c>
      <c r="AR150" s="86">
        <f>AQ150*AQ149</f>
        <v>259</v>
      </c>
      <c r="AS150" s="87"/>
      <c r="AT150" s="87">
        <f>AS150*AS149</f>
        <v>0</v>
      </c>
      <c r="AU150" s="87"/>
      <c r="AV150" s="87">
        <f>AU150*AU149</f>
        <v>0</v>
      </c>
      <c r="AW150" s="86">
        <v>55</v>
      </c>
      <c r="AX150" s="86">
        <f>AW150*AW149</f>
        <v>214.5</v>
      </c>
      <c r="AY150" s="86">
        <v>173</v>
      </c>
      <c r="AZ150" s="86">
        <f>AY150*AY149</f>
        <v>622.80000000000007</v>
      </c>
      <c r="BA150" s="86">
        <v>106</v>
      </c>
      <c r="BB150" s="86">
        <f>BA150*BA149</f>
        <v>381.6</v>
      </c>
      <c r="BC150" s="86">
        <v>34</v>
      </c>
      <c r="BD150" s="86">
        <f>BC150*BC149</f>
        <v>119</v>
      </c>
      <c r="BE150" s="86">
        <v>808</v>
      </c>
      <c r="BF150" s="86">
        <f>BE150*BE149</f>
        <v>2908.8</v>
      </c>
      <c r="BG150" s="86">
        <v>654</v>
      </c>
      <c r="BH150" s="86">
        <f>BG150*BG149</f>
        <v>2419.8000000000002</v>
      </c>
      <c r="BI150" s="86">
        <v>535</v>
      </c>
      <c r="BJ150" s="86">
        <f>BI150*BI149</f>
        <v>1926</v>
      </c>
      <c r="BK150" s="86">
        <v>670</v>
      </c>
      <c r="BL150" s="86">
        <f>BK150*BK149</f>
        <v>2479</v>
      </c>
      <c r="BM150" s="86">
        <v>567</v>
      </c>
      <c r="BN150" s="86">
        <f>BM150*BM149</f>
        <v>2097.9</v>
      </c>
      <c r="BO150" s="86">
        <v>946</v>
      </c>
      <c r="BP150" s="86">
        <f>BO150*BO149</f>
        <v>3500.2000000000003</v>
      </c>
      <c r="BQ150" s="86">
        <v>875</v>
      </c>
      <c r="BR150" s="86">
        <f>BQ150*BQ149</f>
        <v>3237.5</v>
      </c>
      <c r="BS150" s="86">
        <v>664</v>
      </c>
      <c r="BT150" s="86">
        <f>BS150*BS149</f>
        <v>2523.1999999999998</v>
      </c>
      <c r="BU150" s="86">
        <v>878</v>
      </c>
      <c r="BV150" s="86">
        <f>BU150*BU149</f>
        <v>3336.3999999999996</v>
      </c>
      <c r="BW150" s="86">
        <v>1012</v>
      </c>
      <c r="BX150" s="86">
        <f>BW150*BW149</f>
        <v>3845.6</v>
      </c>
      <c r="BY150" s="86">
        <v>1032</v>
      </c>
      <c r="BZ150" s="86">
        <f>BY150*BY149</f>
        <v>3818.4</v>
      </c>
      <c r="CA150" s="86">
        <v>1047</v>
      </c>
      <c r="CB150" s="86">
        <f>CA150*CA149</f>
        <v>3978.6</v>
      </c>
      <c r="CC150" s="86">
        <v>373</v>
      </c>
      <c r="CD150" s="86">
        <f>CC150*CC149</f>
        <v>1380.1000000000001</v>
      </c>
      <c r="CE150" s="86">
        <v>52</v>
      </c>
      <c r="CF150" s="86">
        <f>CE150*CE149</f>
        <v>208</v>
      </c>
      <c r="CG150" s="86"/>
      <c r="CH150" s="86">
        <f>CG150*CG149</f>
        <v>0</v>
      </c>
      <c r="CI150" s="86"/>
      <c r="CJ150" s="86">
        <f>CI150*CI149</f>
        <v>0</v>
      </c>
      <c r="CK150" s="86"/>
      <c r="CL150" s="86">
        <f>CK150*CK149</f>
        <v>0</v>
      </c>
      <c r="CM150" s="86"/>
      <c r="CN150" s="86">
        <f>CM150*CM149</f>
        <v>0</v>
      </c>
      <c r="CO150" s="86"/>
      <c r="CP150" s="86">
        <f>CO150*CO149</f>
        <v>0</v>
      </c>
      <c r="CQ150" s="86"/>
      <c r="CR150" s="86">
        <f>CQ150*CQ149</f>
        <v>0</v>
      </c>
      <c r="CS150" s="86"/>
      <c r="CT150" s="86">
        <f>CS150*CS149</f>
        <v>0</v>
      </c>
      <c r="CU150" s="86"/>
      <c r="CV150" s="86">
        <f>CU150*CU149</f>
        <v>0</v>
      </c>
      <c r="CW150" s="86"/>
      <c r="CX150" s="86">
        <f>CW150*CW149</f>
        <v>0</v>
      </c>
      <c r="CY150" s="86"/>
      <c r="CZ150" s="86">
        <f>CY150*CY149</f>
        <v>0</v>
      </c>
      <c r="DA150" s="86"/>
      <c r="DB150" s="86">
        <f>DA150*DA149</f>
        <v>0</v>
      </c>
      <c r="DC150" s="86"/>
      <c r="DD150" s="86">
        <f>DC150*DC149</f>
        <v>0</v>
      </c>
      <c r="DE150" s="86"/>
      <c r="DF150" s="86">
        <f>DE150*DE149</f>
        <v>0</v>
      </c>
      <c r="DG150" s="86"/>
      <c r="DH150" s="86">
        <f>DG150*DG149</f>
        <v>0</v>
      </c>
      <c r="DI150" s="86"/>
      <c r="DJ150" s="86">
        <f>DI150*DI149</f>
        <v>0</v>
      </c>
      <c r="DK150" s="86"/>
      <c r="DL150" s="86">
        <f>DK150*DK149</f>
        <v>0</v>
      </c>
      <c r="DM150" s="86"/>
      <c r="DN150" s="86">
        <f>DM150*DM149</f>
        <v>0</v>
      </c>
      <c r="DO150" s="86"/>
      <c r="DP150" s="86">
        <f>DO150*DO149</f>
        <v>0</v>
      </c>
      <c r="DQ150" s="86"/>
      <c r="DR150" s="86">
        <f>DQ150*DQ149</f>
        <v>0</v>
      </c>
      <c r="DS150" s="86"/>
      <c r="DT150" s="86">
        <f>DS150*DS149</f>
        <v>0</v>
      </c>
      <c r="DU150" s="301"/>
      <c r="DV150" s="301"/>
      <c r="DW150" s="301"/>
      <c r="DX150" s="301"/>
      <c r="DY150" s="301"/>
      <c r="DZ150" s="301"/>
      <c r="EA150" s="301"/>
      <c r="EB150" s="301"/>
      <c r="EC150" s="301"/>
      <c r="ED150" s="301"/>
      <c r="EE150" s="301"/>
      <c r="EF150" s="301"/>
      <c r="EG150" s="301"/>
      <c r="EH150" s="301"/>
      <c r="EI150" s="301"/>
      <c r="EJ150" s="301"/>
      <c r="EK150" s="301"/>
      <c r="EL150" s="301"/>
      <c r="EM150" s="301"/>
      <c r="EN150" s="86"/>
      <c r="EO150" s="86">
        <f>EN150*EN149</f>
        <v>0</v>
      </c>
      <c r="EP150" s="86"/>
      <c r="EQ150" s="86">
        <f>EP150*EP149</f>
        <v>0</v>
      </c>
      <c r="ER150" s="86"/>
      <c r="ES150" s="86">
        <f>ER150*ER149</f>
        <v>0</v>
      </c>
      <c r="ET150" s="86"/>
      <c r="EU150" s="86">
        <f>ET150*ET149</f>
        <v>0</v>
      </c>
      <c r="EV150" s="86"/>
      <c r="EW150" s="86">
        <f>EV150*EV149</f>
        <v>0</v>
      </c>
      <c r="EX150" s="86"/>
      <c r="EY150" s="86">
        <f>EX150*EX149</f>
        <v>0</v>
      </c>
      <c r="EZ150" s="86"/>
      <c r="FA150" s="86">
        <f>EZ150*EZ149</f>
        <v>0</v>
      </c>
      <c r="FB150" s="86"/>
      <c r="FC150" s="86">
        <f>FB150*FB149</f>
        <v>0</v>
      </c>
      <c r="FD150" s="86"/>
      <c r="FE150" s="86">
        <f>FD150*FD149</f>
        <v>0</v>
      </c>
      <c r="FF150" s="86"/>
      <c r="FG150" s="86">
        <f>FF150*FF149</f>
        <v>0</v>
      </c>
      <c r="FH150" s="86"/>
      <c r="FI150" s="86">
        <f>FH150*FH149</f>
        <v>0</v>
      </c>
      <c r="FJ150" s="86"/>
      <c r="FK150" s="86">
        <f>FJ150*FJ149</f>
        <v>0</v>
      </c>
      <c r="FL150" s="86"/>
      <c r="FM150" s="86">
        <f>FL150*FL149</f>
        <v>0</v>
      </c>
      <c r="FN150" s="86"/>
      <c r="FO150" s="86">
        <f>FN150*FN149</f>
        <v>0</v>
      </c>
      <c r="FP150" s="86"/>
      <c r="FQ150" s="86">
        <f>FP150*FP149</f>
        <v>0</v>
      </c>
      <c r="FR150" s="301"/>
      <c r="FS150" s="301"/>
      <c r="FT150" s="301"/>
      <c r="FU150" s="301"/>
      <c r="FV150" s="301"/>
      <c r="FW150" s="301"/>
      <c r="FX150" s="301"/>
      <c r="FY150" s="301"/>
      <c r="FZ150" s="301"/>
      <c r="GA150" s="301"/>
      <c r="GB150" s="301"/>
      <c r="GC150" s="301"/>
      <c r="GD150" s="301"/>
      <c r="GE150" s="301"/>
      <c r="GF150" s="301"/>
      <c r="GG150" s="301"/>
    </row>
    <row r="151" spans="1:189" ht="15" hidden="1" customHeight="1" outlineLevel="2" x14ac:dyDescent="0.3">
      <c r="A151" s="1"/>
      <c r="B151" s="302"/>
      <c r="C151" s="302"/>
      <c r="D151" s="302"/>
      <c r="E151" s="302"/>
      <c r="F151" s="302"/>
      <c r="G151" s="5" t="s">
        <v>122</v>
      </c>
      <c r="H151" s="5"/>
      <c r="I151" s="284">
        <f>SUM(K151:AH151)</f>
        <v>40532</v>
      </c>
      <c r="J151" s="281"/>
      <c r="K151" s="428"/>
      <c r="L151" s="281"/>
      <c r="M151" s="428"/>
      <c r="N151" s="281"/>
      <c r="O151" s="428"/>
      <c r="P151" s="281"/>
      <c r="Q151" s="428"/>
      <c r="R151" s="281"/>
      <c r="S151" s="428"/>
      <c r="T151" s="281"/>
      <c r="U151" s="428"/>
      <c r="V151" s="281"/>
      <c r="W151" s="284">
        <v>7335</v>
      </c>
      <c r="X151" s="281"/>
      <c r="Y151" s="284">
        <v>7606</v>
      </c>
      <c r="Z151" s="281"/>
      <c r="AA151" s="284">
        <v>6927</v>
      </c>
      <c r="AB151" s="281"/>
      <c r="AC151" s="284">
        <v>7385</v>
      </c>
      <c r="AD151" s="281"/>
      <c r="AE151" s="284">
        <v>5844</v>
      </c>
      <c r="AF151" s="281"/>
      <c r="AG151" s="284">
        <v>5435</v>
      </c>
      <c r="AH151" s="281"/>
      <c r="AI151" s="284">
        <v>5240</v>
      </c>
      <c r="AJ151" s="281"/>
      <c r="AK151" s="284">
        <v>3545</v>
      </c>
      <c r="AL151" s="281"/>
      <c r="AM151" s="284">
        <v>2507</v>
      </c>
      <c r="AN151" s="281"/>
      <c r="AO151" s="284">
        <v>732</v>
      </c>
      <c r="AP151" s="281"/>
      <c r="AQ151" s="284">
        <v>252</v>
      </c>
      <c r="AR151" s="281"/>
      <c r="AS151" s="428"/>
      <c r="AT151" s="281"/>
      <c r="AU151" s="428"/>
      <c r="AV151" s="281"/>
      <c r="AW151" s="358">
        <v>244</v>
      </c>
      <c r="AX151" s="281"/>
      <c r="AY151" s="358">
        <v>647</v>
      </c>
      <c r="AZ151" s="281"/>
      <c r="BA151" s="358">
        <v>326</v>
      </c>
      <c r="BB151" s="281"/>
      <c r="BC151" s="358">
        <v>566</v>
      </c>
      <c r="BD151" s="281"/>
      <c r="BE151" s="358">
        <v>1983</v>
      </c>
      <c r="BF151" s="281"/>
      <c r="BG151" s="358">
        <v>1863</v>
      </c>
      <c r="BH151" s="281"/>
      <c r="BI151" s="358">
        <v>1783</v>
      </c>
      <c r="BJ151" s="281"/>
      <c r="BK151" s="358">
        <v>2414</v>
      </c>
      <c r="BL151" s="281"/>
      <c r="BM151" s="358">
        <v>2376</v>
      </c>
      <c r="BN151" s="281"/>
      <c r="BO151" s="358">
        <v>2433</v>
      </c>
      <c r="BP151" s="281"/>
      <c r="BQ151" s="358">
        <v>2202</v>
      </c>
      <c r="BR151" s="281"/>
      <c r="BS151" s="358">
        <v>1577</v>
      </c>
      <c r="BT151" s="281"/>
      <c r="BU151" s="358">
        <v>1892</v>
      </c>
      <c r="BV151" s="281"/>
      <c r="BW151" s="358">
        <v>2307</v>
      </c>
      <c r="BX151" s="281"/>
      <c r="BY151" s="358">
        <v>2099</v>
      </c>
      <c r="BZ151" s="281"/>
      <c r="CA151" s="358">
        <v>2425</v>
      </c>
      <c r="CB151" s="281"/>
      <c r="CC151" s="358">
        <v>869</v>
      </c>
      <c r="CD151" s="281"/>
      <c r="CE151" s="358">
        <v>109</v>
      </c>
      <c r="CF151" s="281"/>
      <c r="CG151" s="358"/>
      <c r="CH151" s="281"/>
      <c r="CI151" s="358"/>
      <c r="CJ151" s="281"/>
      <c r="CK151" s="358"/>
      <c r="CL151" s="281"/>
      <c r="CM151" s="358"/>
      <c r="CN151" s="281"/>
      <c r="CO151" s="358"/>
      <c r="CP151" s="281"/>
      <c r="CQ151" s="358"/>
      <c r="CR151" s="281"/>
      <c r="CS151" s="358"/>
      <c r="CT151" s="281"/>
      <c r="CU151" s="358"/>
      <c r="CV151" s="281"/>
      <c r="CW151" s="358"/>
      <c r="CX151" s="281"/>
      <c r="CY151" s="358"/>
      <c r="CZ151" s="281"/>
      <c r="DA151" s="358"/>
      <c r="DB151" s="281"/>
      <c r="DC151" s="358"/>
      <c r="DD151" s="281"/>
      <c r="DE151" s="358"/>
      <c r="DF151" s="281"/>
      <c r="DG151" s="358"/>
      <c r="DH151" s="281"/>
      <c r="DI151" s="358"/>
      <c r="DJ151" s="281"/>
      <c r="DK151" s="358"/>
      <c r="DL151" s="281"/>
      <c r="DM151" s="358"/>
      <c r="DN151" s="281"/>
      <c r="DO151" s="358"/>
      <c r="DP151" s="281"/>
      <c r="DQ151" s="358"/>
      <c r="DR151" s="281"/>
      <c r="DS151" s="358"/>
      <c r="DT151" s="281"/>
      <c r="DU151" s="302"/>
      <c r="DV151" s="302"/>
      <c r="DW151" s="302"/>
      <c r="DX151" s="302"/>
      <c r="DY151" s="302"/>
      <c r="DZ151" s="302"/>
      <c r="EA151" s="302"/>
      <c r="EB151" s="302"/>
      <c r="EC151" s="302"/>
      <c r="ED151" s="302"/>
      <c r="EE151" s="302"/>
      <c r="EF151" s="302"/>
      <c r="EG151" s="302"/>
      <c r="EH151" s="302"/>
      <c r="EI151" s="302"/>
      <c r="EJ151" s="302"/>
      <c r="EK151" s="302"/>
      <c r="EL151" s="302"/>
      <c r="EM151" s="302"/>
      <c r="EN151" s="358"/>
      <c r="EO151" s="281"/>
      <c r="EP151" s="358"/>
      <c r="EQ151" s="281"/>
      <c r="ER151" s="358"/>
      <c r="ES151" s="281"/>
      <c r="ET151" s="358"/>
      <c r="EU151" s="281"/>
      <c r="EV151" s="358"/>
      <c r="EW151" s="281"/>
      <c r="EX151" s="358"/>
      <c r="EY151" s="281"/>
      <c r="EZ151" s="358"/>
      <c r="FA151" s="281"/>
      <c r="FB151" s="358"/>
      <c r="FC151" s="281"/>
      <c r="FD151" s="358"/>
      <c r="FE151" s="281"/>
      <c r="FF151" s="358"/>
      <c r="FG151" s="281"/>
      <c r="FH151" s="358"/>
      <c r="FI151" s="281"/>
      <c r="FJ151" s="358"/>
      <c r="FK151" s="281"/>
      <c r="FL151" s="358"/>
      <c r="FM151" s="281"/>
      <c r="FN151" s="358"/>
      <c r="FO151" s="281"/>
      <c r="FP151" s="358"/>
      <c r="FQ151" s="281"/>
      <c r="FR151" s="302"/>
      <c r="FS151" s="302"/>
      <c r="FT151" s="302"/>
      <c r="FU151" s="302"/>
      <c r="FV151" s="302"/>
      <c r="FW151" s="302"/>
      <c r="FX151" s="302"/>
      <c r="FY151" s="302"/>
      <c r="FZ151" s="302"/>
      <c r="GA151" s="302"/>
      <c r="GB151" s="302"/>
      <c r="GC151" s="302"/>
      <c r="GD151" s="302"/>
      <c r="GE151" s="302"/>
      <c r="GF151" s="302"/>
      <c r="GG151" s="302"/>
    </row>
    <row r="152" spans="1:189" ht="15" customHeight="1" outlineLevel="2" x14ac:dyDescent="0.3">
      <c r="A152" s="1"/>
      <c r="B152" s="18"/>
      <c r="C152" s="18"/>
      <c r="D152" s="18"/>
      <c r="E152" s="18"/>
      <c r="F152" s="18"/>
      <c r="G152" s="3"/>
      <c r="H152" s="3"/>
      <c r="I152" s="20"/>
      <c r="J152" s="20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88"/>
      <c r="AT152" s="88"/>
      <c r="AU152" s="88"/>
      <c r="AV152" s="88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</row>
    <row r="153" spans="1:189" ht="15" customHeight="1" outlineLevel="2" x14ac:dyDescent="0.3">
      <c r="A153" s="1"/>
      <c r="B153" s="313" t="s">
        <v>123</v>
      </c>
      <c r="C153" s="313" t="s">
        <v>80</v>
      </c>
      <c r="D153" s="313" t="s">
        <v>96</v>
      </c>
      <c r="E153" s="313" t="s">
        <v>120</v>
      </c>
      <c r="F153" s="313" t="s">
        <v>114</v>
      </c>
      <c r="G153" s="5" t="s">
        <v>28</v>
      </c>
      <c r="H153" s="5"/>
      <c r="I153" s="357">
        <v>3.5</v>
      </c>
      <c r="J153" s="281"/>
      <c r="K153" s="459"/>
      <c r="L153" s="281"/>
      <c r="M153" s="459"/>
      <c r="N153" s="281"/>
      <c r="O153" s="459"/>
      <c r="P153" s="281"/>
      <c r="Q153" s="459"/>
      <c r="R153" s="281"/>
      <c r="S153" s="459"/>
      <c r="T153" s="281"/>
      <c r="U153" s="459"/>
      <c r="V153" s="281"/>
      <c r="W153" s="357">
        <v>3.5</v>
      </c>
      <c r="X153" s="281"/>
      <c r="Y153" s="357">
        <v>3.5</v>
      </c>
      <c r="Z153" s="281"/>
      <c r="AA153" s="357">
        <v>3.5</v>
      </c>
      <c r="AB153" s="281"/>
      <c r="AC153" s="357">
        <v>3.5</v>
      </c>
      <c r="AD153" s="281"/>
      <c r="AE153" s="357">
        <v>3.5</v>
      </c>
      <c r="AF153" s="281"/>
      <c r="AG153" s="357">
        <v>3.5</v>
      </c>
      <c r="AH153" s="281"/>
      <c r="AI153" s="357">
        <v>3.5</v>
      </c>
      <c r="AJ153" s="281"/>
      <c r="AK153" s="357">
        <v>3.5</v>
      </c>
      <c r="AL153" s="281"/>
      <c r="AM153" s="357">
        <v>3.5</v>
      </c>
      <c r="AN153" s="281"/>
      <c r="AO153" s="357">
        <v>3.5</v>
      </c>
      <c r="AP153" s="281"/>
      <c r="AQ153" s="357">
        <v>3.5</v>
      </c>
      <c r="AR153" s="281"/>
      <c r="AS153" s="462">
        <v>3.5</v>
      </c>
      <c r="AT153" s="281"/>
      <c r="AU153" s="462">
        <v>3.5</v>
      </c>
      <c r="AV153" s="281"/>
      <c r="AW153" s="357">
        <v>3.5</v>
      </c>
      <c r="AX153" s="281"/>
      <c r="AY153" s="357">
        <v>3.5</v>
      </c>
      <c r="AZ153" s="281"/>
      <c r="BA153" s="357">
        <v>3.5</v>
      </c>
      <c r="BB153" s="281"/>
      <c r="BC153" s="357">
        <v>3.5</v>
      </c>
      <c r="BD153" s="281"/>
      <c r="BE153" s="357">
        <v>3.5</v>
      </c>
      <c r="BF153" s="281"/>
      <c r="BG153" s="357">
        <v>3</v>
      </c>
      <c r="BH153" s="281"/>
      <c r="BI153" s="357">
        <v>3</v>
      </c>
      <c r="BJ153" s="281"/>
      <c r="BK153" s="357">
        <v>3</v>
      </c>
      <c r="BL153" s="281"/>
      <c r="BM153" s="357">
        <v>3</v>
      </c>
      <c r="BN153" s="281"/>
      <c r="BO153" s="357">
        <v>3</v>
      </c>
      <c r="BP153" s="281"/>
      <c r="BQ153" s="357">
        <v>3</v>
      </c>
      <c r="BR153" s="281"/>
      <c r="BS153" s="357">
        <v>3</v>
      </c>
      <c r="BT153" s="281"/>
      <c r="BU153" s="357">
        <v>3</v>
      </c>
      <c r="BV153" s="281"/>
      <c r="BW153" s="357">
        <v>3</v>
      </c>
      <c r="BX153" s="281"/>
      <c r="BY153" s="357">
        <v>3</v>
      </c>
      <c r="BZ153" s="281"/>
      <c r="CA153" s="357">
        <v>3</v>
      </c>
      <c r="CB153" s="281"/>
      <c r="CC153" s="357">
        <v>3</v>
      </c>
      <c r="CD153" s="281"/>
      <c r="CE153" s="357">
        <v>3</v>
      </c>
      <c r="CF153" s="281"/>
      <c r="CG153" s="357">
        <v>3</v>
      </c>
      <c r="CH153" s="281"/>
      <c r="CI153" s="357">
        <v>3</v>
      </c>
      <c r="CJ153" s="281"/>
      <c r="CK153" s="357">
        <v>3</v>
      </c>
      <c r="CL153" s="281"/>
      <c r="CM153" s="357">
        <v>3</v>
      </c>
      <c r="CN153" s="281"/>
      <c r="CO153" s="357">
        <v>3</v>
      </c>
      <c r="CP153" s="281"/>
      <c r="CQ153" s="357">
        <v>3</v>
      </c>
      <c r="CR153" s="281"/>
      <c r="CS153" s="357">
        <v>3</v>
      </c>
      <c r="CT153" s="281"/>
      <c r="CU153" s="357">
        <v>3</v>
      </c>
      <c r="CV153" s="281"/>
      <c r="CW153" s="357">
        <v>3</v>
      </c>
      <c r="CX153" s="281"/>
      <c r="CY153" s="357">
        <v>3</v>
      </c>
      <c r="CZ153" s="281"/>
      <c r="DA153" s="357">
        <v>3</v>
      </c>
      <c r="DB153" s="281"/>
      <c r="DC153" s="357">
        <v>3</v>
      </c>
      <c r="DD153" s="281"/>
      <c r="DE153" s="357">
        <v>3</v>
      </c>
      <c r="DF153" s="281"/>
      <c r="DG153" s="357">
        <v>3</v>
      </c>
      <c r="DH153" s="281"/>
      <c r="DI153" s="357">
        <v>3</v>
      </c>
      <c r="DJ153" s="281"/>
      <c r="DK153" s="357">
        <v>3</v>
      </c>
      <c r="DL153" s="281"/>
      <c r="DM153" s="357">
        <v>3</v>
      </c>
      <c r="DN153" s="281"/>
      <c r="DO153" s="357">
        <v>3</v>
      </c>
      <c r="DP153" s="281"/>
      <c r="DQ153" s="357">
        <v>3</v>
      </c>
      <c r="DR153" s="281"/>
      <c r="DS153" s="357">
        <v>3</v>
      </c>
      <c r="DT153" s="281"/>
      <c r="DU153" s="311" t="s">
        <v>29</v>
      </c>
      <c r="DV153" s="311" t="s">
        <v>29</v>
      </c>
      <c r="DW153" s="311" t="s">
        <v>29</v>
      </c>
      <c r="DX153" s="311" t="s">
        <v>29</v>
      </c>
      <c r="DY153" s="311" t="s">
        <v>29</v>
      </c>
      <c r="DZ153" s="311" t="s">
        <v>29</v>
      </c>
      <c r="EA153" s="311" t="s">
        <v>29</v>
      </c>
      <c r="EB153" s="311" t="s">
        <v>29</v>
      </c>
      <c r="EC153" s="311" t="s">
        <v>29</v>
      </c>
      <c r="ED153" s="311" t="s">
        <v>29</v>
      </c>
      <c r="EE153" s="311" t="s">
        <v>29</v>
      </c>
      <c r="EF153" s="311" t="s">
        <v>29</v>
      </c>
      <c r="EG153" s="311" t="s">
        <v>29</v>
      </c>
      <c r="EH153" s="311" t="s">
        <v>29</v>
      </c>
      <c r="EI153" s="311" t="s">
        <v>29</v>
      </c>
      <c r="EJ153" s="311" t="s">
        <v>29</v>
      </c>
      <c r="EK153" s="311" t="s">
        <v>29</v>
      </c>
      <c r="EL153" s="311" t="s">
        <v>29</v>
      </c>
      <c r="EM153" s="311"/>
      <c r="EN153" s="357">
        <v>3</v>
      </c>
      <c r="EO153" s="281"/>
      <c r="EP153" s="357">
        <v>3</v>
      </c>
      <c r="EQ153" s="281"/>
      <c r="ER153" s="357">
        <v>3</v>
      </c>
      <c r="ES153" s="281"/>
      <c r="ET153" s="357">
        <v>3</v>
      </c>
      <c r="EU153" s="281"/>
      <c r="EV153" s="357">
        <v>3</v>
      </c>
      <c r="EW153" s="281"/>
      <c r="EX153" s="357">
        <v>3</v>
      </c>
      <c r="EY153" s="281"/>
      <c r="EZ153" s="357">
        <v>3</v>
      </c>
      <c r="FA153" s="281"/>
      <c r="FB153" s="357">
        <v>3</v>
      </c>
      <c r="FC153" s="281"/>
      <c r="FD153" s="357">
        <v>3</v>
      </c>
      <c r="FE153" s="281"/>
      <c r="FF153" s="357">
        <v>3</v>
      </c>
      <c r="FG153" s="281"/>
      <c r="FH153" s="357">
        <v>3</v>
      </c>
      <c r="FI153" s="281"/>
      <c r="FJ153" s="357">
        <v>3</v>
      </c>
      <c r="FK153" s="281"/>
      <c r="FL153" s="357">
        <v>3</v>
      </c>
      <c r="FM153" s="281"/>
      <c r="FN153" s="357">
        <v>3</v>
      </c>
      <c r="FO153" s="281"/>
      <c r="FP153" s="357">
        <v>3</v>
      </c>
      <c r="FQ153" s="281"/>
      <c r="FR153" s="311" t="s">
        <v>29</v>
      </c>
      <c r="FS153" s="311" t="s">
        <v>29</v>
      </c>
      <c r="FT153" s="311" t="s">
        <v>29</v>
      </c>
      <c r="FU153" s="311" t="s">
        <v>29</v>
      </c>
      <c r="FV153" s="311" t="s">
        <v>29</v>
      </c>
      <c r="FW153" s="311" t="s">
        <v>29</v>
      </c>
      <c r="FX153" s="311" t="s">
        <v>29</v>
      </c>
      <c r="FY153" s="311" t="s">
        <v>29</v>
      </c>
      <c r="FZ153" s="311" t="s">
        <v>29</v>
      </c>
      <c r="GA153" s="311" t="s">
        <v>29</v>
      </c>
      <c r="GB153" s="311" t="s">
        <v>29</v>
      </c>
      <c r="GC153" s="311" t="s">
        <v>29</v>
      </c>
      <c r="GD153" s="311" t="s">
        <v>29</v>
      </c>
      <c r="GE153" s="311" t="s">
        <v>29</v>
      </c>
      <c r="GF153" s="311" t="s">
        <v>29</v>
      </c>
      <c r="GG153" s="311" t="s">
        <v>29</v>
      </c>
    </row>
    <row r="154" spans="1:189" ht="4.5" customHeight="1" outlineLevel="2" x14ac:dyDescent="0.3">
      <c r="A154" s="1"/>
      <c r="B154" s="301"/>
      <c r="C154" s="301"/>
      <c r="D154" s="301"/>
      <c r="E154" s="301"/>
      <c r="F154" s="301"/>
      <c r="G154" s="5"/>
      <c r="H154" s="5"/>
      <c r="I154" s="328"/>
      <c r="J154" s="281"/>
      <c r="K154" s="429"/>
      <c r="L154" s="281"/>
      <c r="M154" s="429"/>
      <c r="N154" s="281"/>
      <c r="O154" s="429"/>
      <c r="P154" s="281"/>
      <c r="Q154" s="429"/>
      <c r="R154" s="281"/>
      <c r="S154" s="429"/>
      <c r="T154" s="281"/>
      <c r="U154" s="429"/>
      <c r="V154" s="281"/>
      <c r="W154" s="328"/>
      <c r="X154" s="281"/>
      <c r="Y154" s="328"/>
      <c r="Z154" s="281"/>
      <c r="AA154" s="328"/>
      <c r="AB154" s="281"/>
      <c r="AC154" s="328"/>
      <c r="AD154" s="281"/>
      <c r="AE154" s="328"/>
      <c r="AF154" s="281"/>
      <c r="AG154" s="328"/>
      <c r="AH154" s="281"/>
      <c r="AI154" s="328"/>
      <c r="AJ154" s="281"/>
      <c r="AK154" s="328"/>
      <c r="AL154" s="281"/>
      <c r="AM154" s="328"/>
      <c r="AN154" s="281"/>
      <c r="AO154" s="328"/>
      <c r="AP154" s="281"/>
      <c r="AQ154" s="328"/>
      <c r="AR154" s="281"/>
      <c r="AS154" s="428"/>
      <c r="AT154" s="281"/>
      <c r="AU154" s="428"/>
      <c r="AV154" s="281"/>
      <c r="AW154" s="328"/>
      <c r="AX154" s="281"/>
      <c r="AY154" s="328"/>
      <c r="AZ154" s="281"/>
      <c r="BA154" s="328"/>
      <c r="BB154" s="281"/>
      <c r="BC154" s="328"/>
      <c r="BD154" s="281"/>
      <c r="BE154" s="328"/>
      <c r="BF154" s="281"/>
      <c r="BG154" s="328"/>
      <c r="BH154" s="281"/>
      <c r="BI154" s="328"/>
      <c r="BJ154" s="281"/>
      <c r="BK154" s="328"/>
      <c r="BL154" s="281"/>
      <c r="BM154" s="328"/>
      <c r="BN154" s="281"/>
      <c r="BO154" s="328"/>
      <c r="BP154" s="281"/>
      <c r="BQ154" s="328"/>
      <c r="BR154" s="281"/>
      <c r="BS154" s="328"/>
      <c r="BT154" s="281"/>
      <c r="BU154" s="371"/>
      <c r="BV154" s="281"/>
      <c r="BW154" s="371"/>
      <c r="BX154" s="281"/>
      <c r="BY154" s="371"/>
      <c r="BZ154" s="281"/>
      <c r="CA154" s="371"/>
      <c r="CB154" s="281"/>
      <c r="CC154" s="371"/>
      <c r="CD154" s="281"/>
      <c r="CE154" s="371"/>
      <c r="CF154" s="281"/>
      <c r="CG154" s="371"/>
      <c r="CH154" s="281"/>
      <c r="CI154" s="371"/>
      <c r="CJ154" s="281"/>
      <c r="CK154" s="371"/>
      <c r="CL154" s="281"/>
      <c r="CM154" s="371"/>
      <c r="CN154" s="281"/>
      <c r="CO154" s="371"/>
      <c r="CP154" s="281"/>
      <c r="CQ154" s="328"/>
      <c r="CR154" s="281"/>
      <c r="CS154" s="371"/>
      <c r="CT154" s="281"/>
      <c r="CU154" s="328"/>
      <c r="CV154" s="281"/>
      <c r="CW154" s="328"/>
      <c r="CX154" s="281"/>
      <c r="CY154" s="328"/>
      <c r="CZ154" s="281"/>
      <c r="DA154" s="328"/>
      <c r="DB154" s="281"/>
      <c r="DC154" s="328"/>
      <c r="DD154" s="281"/>
      <c r="DE154" s="328"/>
      <c r="DF154" s="281"/>
      <c r="DG154" s="351"/>
      <c r="DH154" s="281"/>
      <c r="DI154" s="351"/>
      <c r="DJ154" s="281"/>
      <c r="DK154" s="328"/>
      <c r="DL154" s="281"/>
      <c r="DM154" s="328"/>
      <c r="DN154" s="281"/>
      <c r="DO154" s="328"/>
      <c r="DP154" s="281"/>
      <c r="DQ154" s="328"/>
      <c r="DR154" s="281"/>
      <c r="DS154" s="328"/>
      <c r="DT154" s="281"/>
      <c r="DU154" s="301"/>
      <c r="DV154" s="301"/>
      <c r="DW154" s="301"/>
      <c r="DX154" s="301"/>
      <c r="DY154" s="301"/>
      <c r="DZ154" s="301"/>
      <c r="EA154" s="301"/>
      <c r="EB154" s="301"/>
      <c r="EC154" s="301"/>
      <c r="ED154" s="301"/>
      <c r="EE154" s="301"/>
      <c r="EF154" s="301"/>
      <c r="EG154" s="301"/>
      <c r="EH154" s="301"/>
      <c r="EI154" s="301"/>
      <c r="EJ154" s="301"/>
      <c r="EK154" s="301"/>
      <c r="EL154" s="301"/>
      <c r="EM154" s="301"/>
      <c r="EN154" s="328"/>
      <c r="EO154" s="281"/>
      <c r="EP154" s="351"/>
      <c r="EQ154" s="281"/>
      <c r="ER154" s="351"/>
      <c r="ES154" s="281"/>
      <c r="ET154" s="351"/>
      <c r="EU154" s="281"/>
      <c r="EV154" s="351"/>
      <c r="EW154" s="281"/>
      <c r="EX154" s="351"/>
      <c r="EY154" s="281"/>
      <c r="EZ154" s="351"/>
      <c r="FA154" s="281"/>
      <c r="FB154" s="351"/>
      <c r="FC154" s="281"/>
      <c r="FD154" s="351"/>
      <c r="FE154" s="281"/>
      <c r="FF154" s="351"/>
      <c r="FG154" s="281"/>
      <c r="FH154" s="351"/>
      <c r="FI154" s="281"/>
      <c r="FJ154" s="351"/>
      <c r="FK154" s="281"/>
      <c r="FL154" s="351"/>
      <c r="FM154" s="281"/>
      <c r="FN154" s="359"/>
      <c r="FO154" s="360"/>
      <c r="FP154" s="359"/>
      <c r="FQ154" s="360"/>
      <c r="FR154" s="301"/>
      <c r="FS154" s="301"/>
      <c r="FT154" s="301"/>
      <c r="FU154" s="301"/>
      <c r="FV154" s="301"/>
      <c r="FW154" s="301"/>
      <c r="FX154" s="301"/>
      <c r="FY154" s="301"/>
      <c r="FZ154" s="301"/>
      <c r="GA154" s="301"/>
      <c r="GB154" s="301"/>
      <c r="GC154" s="301"/>
      <c r="GD154" s="301"/>
      <c r="GE154" s="301"/>
      <c r="GF154" s="301"/>
      <c r="GG154" s="301"/>
    </row>
    <row r="155" spans="1:189" ht="15" customHeight="1" outlineLevel="2" x14ac:dyDescent="0.3">
      <c r="A155" s="1"/>
      <c r="B155" s="301"/>
      <c r="C155" s="301"/>
      <c r="D155" s="301"/>
      <c r="E155" s="301"/>
      <c r="F155" s="301"/>
      <c r="G155" s="5" t="s">
        <v>30</v>
      </c>
      <c r="H155" s="5"/>
      <c r="I155" s="341">
        <f>AVERAGE(K155:AH155)</f>
        <v>3.7066666666666666</v>
      </c>
      <c r="J155" s="281"/>
      <c r="K155" s="462"/>
      <c r="L155" s="281"/>
      <c r="M155" s="462"/>
      <c r="N155" s="281"/>
      <c r="O155" s="462"/>
      <c r="P155" s="281"/>
      <c r="Q155" s="462"/>
      <c r="R155" s="281"/>
      <c r="S155" s="462"/>
      <c r="T155" s="281"/>
      <c r="U155" s="462"/>
      <c r="V155" s="281"/>
      <c r="W155" s="357">
        <v>3.64</v>
      </c>
      <c r="X155" s="281"/>
      <c r="Y155" s="357">
        <v>3.7</v>
      </c>
      <c r="Z155" s="281"/>
      <c r="AA155" s="357">
        <v>3.8</v>
      </c>
      <c r="AB155" s="281"/>
      <c r="AC155" s="357">
        <v>3.7</v>
      </c>
      <c r="AD155" s="281"/>
      <c r="AE155" s="357">
        <v>3.7</v>
      </c>
      <c r="AF155" s="281"/>
      <c r="AG155" s="357">
        <v>3.7</v>
      </c>
      <c r="AH155" s="281"/>
      <c r="AI155" s="357">
        <v>3.7</v>
      </c>
      <c r="AJ155" s="281"/>
      <c r="AK155" s="357">
        <v>3.7</v>
      </c>
      <c r="AL155" s="281"/>
      <c r="AM155" s="357">
        <v>3.6</v>
      </c>
      <c r="AN155" s="281"/>
      <c r="AO155" s="357">
        <v>3.4</v>
      </c>
      <c r="AP155" s="281"/>
      <c r="AQ155" s="357">
        <v>3.7</v>
      </c>
      <c r="AR155" s="281"/>
      <c r="AS155" s="462"/>
      <c r="AT155" s="281"/>
      <c r="AU155" s="462"/>
      <c r="AV155" s="281"/>
      <c r="AW155" s="357">
        <v>3.9</v>
      </c>
      <c r="AX155" s="281"/>
      <c r="AY155" s="357">
        <v>3.6</v>
      </c>
      <c r="AZ155" s="281"/>
      <c r="BA155" s="357">
        <v>3.6</v>
      </c>
      <c r="BB155" s="281"/>
      <c r="BC155" s="357">
        <v>3.5</v>
      </c>
      <c r="BD155" s="281"/>
      <c r="BE155" s="357">
        <v>3.6</v>
      </c>
      <c r="BF155" s="281"/>
      <c r="BG155" s="357"/>
      <c r="BH155" s="281"/>
      <c r="BI155" s="357"/>
      <c r="BJ155" s="281"/>
      <c r="BK155" s="357"/>
      <c r="BL155" s="281"/>
      <c r="BM155" s="357"/>
      <c r="BN155" s="281"/>
      <c r="BO155" s="357"/>
      <c r="BP155" s="281"/>
      <c r="BQ155" s="357"/>
      <c r="BR155" s="281"/>
      <c r="BS155" s="357"/>
      <c r="BT155" s="281"/>
      <c r="BU155" s="357">
        <v>2.5</v>
      </c>
      <c r="BV155" s="281"/>
      <c r="BW155" s="357">
        <v>2.6</v>
      </c>
      <c r="BX155" s="281"/>
      <c r="BY155" s="357">
        <v>2.5</v>
      </c>
      <c r="BZ155" s="281"/>
      <c r="CA155" s="357">
        <v>2.6</v>
      </c>
      <c r="CB155" s="281"/>
      <c r="CC155" s="357">
        <v>2.5</v>
      </c>
      <c r="CD155" s="281"/>
      <c r="CE155" s="357">
        <v>2.4</v>
      </c>
      <c r="CF155" s="281"/>
      <c r="CG155" s="357">
        <v>2.4</v>
      </c>
      <c r="CH155" s="281"/>
      <c r="CI155" s="357">
        <v>2.5</v>
      </c>
      <c r="CJ155" s="281"/>
      <c r="CK155" s="357">
        <v>2.5</v>
      </c>
      <c r="CL155" s="281"/>
      <c r="CM155" s="357">
        <v>2.7</v>
      </c>
      <c r="CN155" s="281"/>
      <c r="CO155" s="357">
        <v>2.9</v>
      </c>
      <c r="CP155" s="281"/>
      <c r="CQ155" s="357">
        <v>3</v>
      </c>
      <c r="CR155" s="281"/>
      <c r="CS155" s="357">
        <v>2.9</v>
      </c>
      <c r="CT155" s="281"/>
      <c r="CU155" s="357">
        <v>3.2</v>
      </c>
      <c r="CV155" s="281"/>
      <c r="CW155" s="357">
        <v>3.3</v>
      </c>
      <c r="CX155" s="281"/>
      <c r="CY155" s="357">
        <v>3.3</v>
      </c>
      <c r="CZ155" s="281"/>
      <c r="DA155" s="357">
        <v>3.3</v>
      </c>
      <c r="DB155" s="281"/>
      <c r="DC155" s="357">
        <v>3.4</v>
      </c>
      <c r="DD155" s="281"/>
      <c r="DE155" s="357">
        <v>3.2</v>
      </c>
      <c r="DF155" s="281"/>
      <c r="DG155" s="357">
        <v>2.9</v>
      </c>
      <c r="DH155" s="281"/>
      <c r="DI155" s="357">
        <v>2.9</v>
      </c>
      <c r="DJ155" s="281"/>
      <c r="DK155" s="357">
        <v>3.5</v>
      </c>
      <c r="DL155" s="281"/>
      <c r="DM155" s="357">
        <v>3.1</v>
      </c>
      <c r="DN155" s="281"/>
      <c r="DO155" s="357">
        <v>3.1</v>
      </c>
      <c r="DP155" s="281"/>
      <c r="DQ155" s="357">
        <v>3.1</v>
      </c>
      <c r="DR155" s="281"/>
      <c r="DS155" s="357">
        <v>3</v>
      </c>
      <c r="DT155" s="281"/>
      <c r="DU155" s="301"/>
      <c r="DV155" s="301"/>
      <c r="DW155" s="301"/>
      <c r="DX155" s="301"/>
      <c r="DY155" s="301"/>
      <c r="DZ155" s="301"/>
      <c r="EA155" s="301"/>
      <c r="EB155" s="301"/>
      <c r="EC155" s="301"/>
      <c r="ED155" s="301"/>
      <c r="EE155" s="301"/>
      <c r="EF155" s="301"/>
      <c r="EG155" s="301"/>
      <c r="EH155" s="301"/>
      <c r="EI155" s="301"/>
      <c r="EJ155" s="301"/>
      <c r="EK155" s="301"/>
      <c r="EL155" s="301"/>
      <c r="EM155" s="301"/>
      <c r="EN155" s="357">
        <v>3</v>
      </c>
      <c r="EO155" s="281"/>
      <c r="EP155" s="357">
        <v>2.9</v>
      </c>
      <c r="EQ155" s="281"/>
      <c r="ER155" s="357">
        <v>2.7</v>
      </c>
      <c r="ES155" s="281"/>
      <c r="ET155" s="357">
        <v>2.4</v>
      </c>
      <c r="EU155" s="281"/>
      <c r="EV155" s="357">
        <v>2.6</v>
      </c>
      <c r="EW155" s="281"/>
      <c r="EX155" s="357">
        <v>2.4</v>
      </c>
      <c r="EY155" s="281"/>
      <c r="EZ155" s="357">
        <v>2.5</v>
      </c>
      <c r="FA155" s="281"/>
      <c r="FB155" s="357">
        <v>2.2000000000000002</v>
      </c>
      <c r="FC155" s="281"/>
      <c r="FD155" s="357">
        <v>2.2000000000000002</v>
      </c>
      <c r="FE155" s="281"/>
      <c r="FF155" s="357">
        <v>2.1</v>
      </c>
      <c r="FG155" s="281"/>
      <c r="FH155" s="357">
        <v>2.1</v>
      </c>
      <c r="FI155" s="281"/>
      <c r="FJ155" s="357">
        <v>2.4</v>
      </c>
      <c r="FK155" s="281"/>
      <c r="FL155" s="357">
        <v>2.6</v>
      </c>
      <c r="FM155" s="281"/>
      <c r="FN155" s="357">
        <v>3</v>
      </c>
      <c r="FO155" s="281"/>
      <c r="FP155" s="357">
        <v>3.81</v>
      </c>
      <c r="FQ155" s="281"/>
      <c r="FR155" s="301"/>
      <c r="FS155" s="301"/>
      <c r="FT155" s="301"/>
      <c r="FU155" s="301"/>
      <c r="FV155" s="301"/>
      <c r="FW155" s="301"/>
      <c r="FX155" s="301"/>
      <c r="FY155" s="301"/>
      <c r="FZ155" s="301"/>
      <c r="GA155" s="301"/>
      <c r="GB155" s="301"/>
      <c r="GC155" s="301"/>
      <c r="GD155" s="301"/>
      <c r="GE155" s="301"/>
      <c r="GF155" s="301"/>
      <c r="GG155" s="301"/>
    </row>
    <row r="156" spans="1:189" ht="15" customHeight="1" outlineLevel="2" x14ac:dyDescent="0.3">
      <c r="A156" s="1"/>
      <c r="B156" s="301"/>
      <c r="C156" s="301"/>
      <c r="D156" s="301"/>
      <c r="E156" s="301"/>
      <c r="F156" s="301"/>
      <c r="G156" s="5" t="s">
        <v>124</v>
      </c>
      <c r="H156" s="5"/>
      <c r="I156" s="23">
        <f>AG156+AE156+AC156+AA156+Y156+W156+U156+S156+O156+M156+K156</f>
        <v>7267</v>
      </c>
      <c r="J156" s="86">
        <f>I155*I156</f>
        <v>26936.346666666665</v>
      </c>
      <c r="K156" s="428"/>
      <c r="L156" s="281"/>
      <c r="M156" s="428"/>
      <c r="N156" s="281"/>
      <c r="O156" s="428"/>
      <c r="P156" s="281"/>
      <c r="Q156" s="428"/>
      <c r="R156" s="281"/>
      <c r="S156" s="428"/>
      <c r="T156" s="281"/>
      <c r="U156" s="428"/>
      <c r="V156" s="281"/>
      <c r="W156" s="86">
        <v>1086</v>
      </c>
      <c r="X156" s="86">
        <f>W156*W155</f>
        <v>3953.04</v>
      </c>
      <c r="Y156" s="86">
        <v>1219</v>
      </c>
      <c r="Z156" s="86">
        <f>Y156*Y155</f>
        <v>4510.3</v>
      </c>
      <c r="AA156" s="86">
        <v>1393</v>
      </c>
      <c r="AB156" s="86">
        <f>AA156*AA155</f>
        <v>5293.4</v>
      </c>
      <c r="AC156" s="86">
        <v>1601</v>
      </c>
      <c r="AD156" s="86">
        <f>AC156*AC155</f>
        <v>5923.7000000000007</v>
      </c>
      <c r="AE156" s="86">
        <v>1083</v>
      </c>
      <c r="AF156" s="86">
        <f>AE156*AE155</f>
        <v>4007.1000000000004</v>
      </c>
      <c r="AG156" s="86">
        <v>885</v>
      </c>
      <c r="AH156" s="86">
        <f>AG156*AG155</f>
        <v>3274.5</v>
      </c>
      <c r="AI156" s="86">
        <v>868</v>
      </c>
      <c r="AJ156" s="86">
        <f>AI156*AI155</f>
        <v>3211.6000000000004</v>
      </c>
      <c r="AK156" s="86">
        <v>476</v>
      </c>
      <c r="AL156" s="86">
        <f>AK156*AK155</f>
        <v>1761.2</v>
      </c>
      <c r="AM156" s="86">
        <v>650</v>
      </c>
      <c r="AN156" s="86">
        <f>AM156*AM155</f>
        <v>2340</v>
      </c>
      <c r="AO156" s="86">
        <v>173</v>
      </c>
      <c r="AP156" s="86">
        <f>AO156*AO155</f>
        <v>588.19999999999993</v>
      </c>
      <c r="AQ156" s="86">
        <v>70</v>
      </c>
      <c r="AR156" s="86">
        <f>AQ156*AQ155</f>
        <v>259</v>
      </c>
      <c r="AS156" s="87"/>
      <c r="AT156" s="87">
        <f>AS156*AS155</f>
        <v>0</v>
      </c>
      <c r="AU156" s="87"/>
      <c r="AV156" s="87">
        <f>AU156*AU155</f>
        <v>0</v>
      </c>
      <c r="AW156" s="86">
        <v>55</v>
      </c>
      <c r="AX156" s="86">
        <f>AW156*AW155</f>
        <v>214.5</v>
      </c>
      <c r="AY156" s="86">
        <v>173</v>
      </c>
      <c r="AZ156" s="86">
        <f>AY156*AY155</f>
        <v>622.80000000000007</v>
      </c>
      <c r="BA156" s="86">
        <v>106</v>
      </c>
      <c r="BB156" s="86">
        <f>BA156*BA155</f>
        <v>381.6</v>
      </c>
      <c r="BC156" s="86">
        <v>34</v>
      </c>
      <c r="BD156" s="86">
        <f>BC156*BC155</f>
        <v>119</v>
      </c>
      <c r="BE156" s="86">
        <v>808</v>
      </c>
      <c r="BF156" s="86">
        <f>BE156*BE155</f>
        <v>2908.8</v>
      </c>
      <c r="BG156" s="86"/>
      <c r="BH156" s="86">
        <f>BG156*BG155</f>
        <v>0</v>
      </c>
      <c r="BI156" s="86"/>
      <c r="BJ156" s="86">
        <f>BI156*BI155</f>
        <v>0</v>
      </c>
      <c r="BK156" s="86"/>
      <c r="BL156" s="86">
        <f>BK156*BK155</f>
        <v>0</v>
      </c>
      <c r="BM156" s="86"/>
      <c r="BN156" s="86">
        <f>BM156*BM155</f>
        <v>0</v>
      </c>
      <c r="BO156" s="86"/>
      <c r="BP156" s="86">
        <f>BO156*BO155</f>
        <v>0</v>
      </c>
      <c r="BQ156" s="86"/>
      <c r="BR156" s="86">
        <f>BQ156*BQ155</f>
        <v>0</v>
      </c>
      <c r="BS156" s="86"/>
      <c r="BT156" s="86">
        <f>BS156*BS155</f>
        <v>0</v>
      </c>
      <c r="BU156" s="86">
        <v>3158</v>
      </c>
      <c r="BV156" s="86">
        <f>BU156*BU155</f>
        <v>7895</v>
      </c>
      <c r="BW156" s="86">
        <v>4254</v>
      </c>
      <c r="BX156" s="86">
        <f>BW156*BW155</f>
        <v>11060.4</v>
      </c>
      <c r="BY156" s="86">
        <v>4646</v>
      </c>
      <c r="BZ156" s="86">
        <f>BY156*BY155</f>
        <v>11615</v>
      </c>
      <c r="CA156" s="86">
        <v>5348</v>
      </c>
      <c r="CB156" s="86">
        <f>CA156*CA155</f>
        <v>13904.800000000001</v>
      </c>
      <c r="CC156" s="86">
        <v>6529</v>
      </c>
      <c r="CD156" s="86">
        <f>CC156*CC155</f>
        <v>16322.5</v>
      </c>
      <c r="CE156" s="86">
        <v>7579</v>
      </c>
      <c r="CF156" s="86">
        <f>CE156*CE155</f>
        <v>18189.599999999999</v>
      </c>
      <c r="CG156" s="86">
        <v>7199</v>
      </c>
      <c r="CH156" s="86">
        <f>CG156*CG155</f>
        <v>17277.599999999999</v>
      </c>
      <c r="CI156" s="86">
        <v>7677</v>
      </c>
      <c r="CJ156" s="86">
        <f>CI156*CI155</f>
        <v>19192.5</v>
      </c>
      <c r="CK156" s="86">
        <v>3314</v>
      </c>
      <c r="CL156" s="86">
        <f>CK156*CK155</f>
        <v>8285</v>
      </c>
      <c r="CM156" s="86">
        <v>5848</v>
      </c>
      <c r="CN156" s="86">
        <f>CM156*CM155</f>
        <v>15789.6</v>
      </c>
      <c r="CO156" s="86">
        <v>3819</v>
      </c>
      <c r="CP156" s="86">
        <f>CO156*CO155</f>
        <v>11075.1</v>
      </c>
      <c r="CQ156" s="86">
        <v>2328</v>
      </c>
      <c r="CR156" s="86">
        <f>CQ156*CQ155</f>
        <v>6984</v>
      </c>
      <c r="CS156" s="86">
        <v>3149</v>
      </c>
      <c r="CT156" s="86">
        <f>CS156*CS155</f>
        <v>9132.1</v>
      </c>
      <c r="CU156" s="86">
        <v>2882</v>
      </c>
      <c r="CV156" s="86">
        <f>CU156*CU155</f>
        <v>9222.4</v>
      </c>
      <c r="CW156" s="86">
        <v>2109</v>
      </c>
      <c r="CX156" s="86">
        <f>CW156*CW155</f>
        <v>6959.7</v>
      </c>
      <c r="CY156" s="86">
        <v>2144</v>
      </c>
      <c r="CZ156" s="86">
        <f>CY156*CY155</f>
        <v>7075.2</v>
      </c>
      <c r="DA156" s="86">
        <v>1758</v>
      </c>
      <c r="DB156" s="86">
        <f>DA156*DA155</f>
        <v>5801.4</v>
      </c>
      <c r="DC156" s="86">
        <v>1182</v>
      </c>
      <c r="DD156" s="86">
        <f>DC156*DC155</f>
        <v>4018.7999999999997</v>
      </c>
      <c r="DE156" s="86">
        <v>1549</v>
      </c>
      <c r="DF156" s="86">
        <f>DE156*DE155</f>
        <v>4956.8</v>
      </c>
      <c r="DG156" s="86">
        <v>2309</v>
      </c>
      <c r="DH156" s="86">
        <f>DG156*DG155</f>
        <v>6696.0999999999995</v>
      </c>
      <c r="DI156" s="86">
        <v>1832</v>
      </c>
      <c r="DJ156" s="86">
        <f>DI156*DI155</f>
        <v>5312.8</v>
      </c>
      <c r="DK156" s="86">
        <v>2027</v>
      </c>
      <c r="DL156" s="86">
        <f>DK156*DK155</f>
        <v>7094.5</v>
      </c>
      <c r="DM156" s="86">
        <v>2055</v>
      </c>
      <c r="DN156" s="86">
        <f>DM156*DM155</f>
        <v>6370.5</v>
      </c>
      <c r="DO156" s="86">
        <v>2108</v>
      </c>
      <c r="DP156" s="86">
        <f>DO156*DO155</f>
        <v>6534.8</v>
      </c>
      <c r="DQ156" s="86">
        <v>2492</v>
      </c>
      <c r="DR156" s="86">
        <f>DQ156*DQ155</f>
        <v>7725.2</v>
      </c>
      <c r="DS156" s="86">
        <v>1705</v>
      </c>
      <c r="DT156" s="86">
        <f>DS156*DS155</f>
        <v>5115</v>
      </c>
      <c r="DU156" s="301"/>
      <c r="DV156" s="301"/>
      <c r="DW156" s="301"/>
      <c r="DX156" s="301"/>
      <c r="DY156" s="301"/>
      <c r="DZ156" s="301"/>
      <c r="EA156" s="301"/>
      <c r="EB156" s="301"/>
      <c r="EC156" s="301"/>
      <c r="ED156" s="301"/>
      <c r="EE156" s="301"/>
      <c r="EF156" s="301"/>
      <c r="EG156" s="301"/>
      <c r="EH156" s="301"/>
      <c r="EI156" s="301"/>
      <c r="EJ156" s="301"/>
      <c r="EK156" s="301"/>
      <c r="EL156" s="301"/>
      <c r="EM156" s="301"/>
      <c r="EN156" s="86">
        <v>1443</v>
      </c>
      <c r="EO156" s="86">
        <f>EN156*EN155</f>
        <v>4329</v>
      </c>
      <c r="EP156" s="86">
        <v>1881</v>
      </c>
      <c r="EQ156" s="86">
        <f>EP156*EP155</f>
        <v>5454.9</v>
      </c>
      <c r="ER156" s="86">
        <v>2028</v>
      </c>
      <c r="ES156" s="86">
        <f>ER156*ER155</f>
        <v>5475.6</v>
      </c>
      <c r="ET156" s="86">
        <v>2460</v>
      </c>
      <c r="EU156" s="86">
        <f>ET156*ET155</f>
        <v>5904</v>
      </c>
      <c r="EV156" s="86">
        <v>319</v>
      </c>
      <c r="EW156" s="86">
        <f>EV156*EV155</f>
        <v>829.4</v>
      </c>
      <c r="EX156" s="86">
        <v>1292</v>
      </c>
      <c r="EY156" s="86">
        <f>EX156*EX155</f>
        <v>3100.7999999999997</v>
      </c>
      <c r="EZ156" s="86">
        <v>342</v>
      </c>
      <c r="FA156" s="86">
        <f>EZ156*EZ155</f>
        <v>855</v>
      </c>
      <c r="FB156" s="86">
        <v>337</v>
      </c>
      <c r="FC156" s="86">
        <f>FB156*FB155</f>
        <v>741.40000000000009</v>
      </c>
      <c r="FD156" s="86">
        <v>191</v>
      </c>
      <c r="FE156" s="86">
        <f>FD156*FD155</f>
        <v>420.20000000000005</v>
      </c>
      <c r="FF156" s="86">
        <v>190</v>
      </c>
      <c r="FG156" s="86">
        <f>FF156*FF155</f>
        <v>399</v>
      </c>
      <c r="FH156" s="86">
        <v>291</v>
      </c>
      <c r="FI156" s="86">
        <f>FH156*FH155</f>
        <v>611.1</v>
      </c>
      <c r="FJ156" s="86">
        <v>587</v>
      </c>
      <c r="FK156" s="86">
        <f>FJ156*FJ155</f>
        <v>1408.8</v>
      </c>
      <c r="FL156" s="86">
        <v>891</v>
      </c>
      <c r="FM156" s="86">
        <f>FL156*FL155</f>
        <v>2316.6</v>
      </c>
      <c r="FN156" s="86">
        <v>666</v>
      </c>
      <c r="FO156" s="86">
        <f>FN156*FN155</f>
        <v>1998</v>
      </c>
      <c r="FP156" s="86">
        <v>766</v>
      </c>
      <c r="FQ156" s="86">
        <f>FP156*FP155</f>
        <v>2918.46</v>
      </c>
      <c r="FR156" s="301"/>
      <c r="FS156" s="301"/>
      <c r="FT156" s="301"/>
      <c r="FU156" s="301"/>
      <c r="FV156" s="301"/>
      <c r="FW156" s="301"/>
      <c r="FX156" s="301"/>
      <c r="FY156" s="301"/>
      <c r="FZ156" s="301"/>
      <c r="GA156" s="301"/>
      <c r="GB156" s="301"/>
      <c r="GC156" s="301"/>
      <c r="GD156" s="301"/>
      <c r="GE156" s="301"/>
      <c r="GF156" s="301"/>
      <c r="GG156" s="301"/>
    </row>
    <row r="157" spans="1:189" ht="15" customHeight="1" outlineLevel="2" x14ac:dyDescent="0.3">
      <c r="A157" s="1"/>
      <c r="B157" s="302"/>
      <c r="C157" s="302"/>
      <c r="D157" s="302"/>
      <c r="E157" s="302"/>
      <c r="F157" s="302"/>
      <c r="G157" s="5" t="s">
        <v>122</v>
      </c>
      <c r="H157" s="5"/>
      <c r="I157" s="284">
        <f>SUM(K157:AH157)</f>
        <v>40532</v>
      </c>
      <c r="J157" s="281"/>
      <c r="K157" s="428"/>
      <c r="L157" s="281"/>
      <c r="M157" s="428"/>
      <c r="N157" s="281"/>
      <c r="O157" s="428"/>
      <c r="P157" s="281"/>
      <c r="Q157" s="428"/>
      <c r="R157" s="281"/>
      <c r="S157" s="428"/>
      <c r="T157" s="281"/>
      <c r="U157" s="428"/>
      <c r="V157" s="281"/>
      <c r="W157" s="284">
        <v>7335</v>
      </c>
      <c r="X157" s="281"/>
      <c r="Y157" s="284">
        <v>7606</v>
      </c>
      <c r="Z157" s="281"/>
      <c r="AA157" s="284">
        <v>6927</v>
      </c>
      <c r="AB157" s="281"/>
      <c r="AC157" s="284">
        <v>7385</v>
      </c>
      <c r="AD157" s="281"/>
      <c r="AE157" s="284">
        <v>5844</v>
      </c>
      <c r="AF157" s="281"/>
      <c r="AG157" s="284">
        <v>5435</v>
      </c>
      <c r="AH157" s="281"/>
      <c r="AI157" s="284">
        <v>5240</v>
      </c>
      <c r="AJ157" s="281"/>
      <c r="AK157" s="284">
        <v>3545</v>
      </c>
      <c r="AL157" s="281"/>
      <c r="AM157" s="284">
        <v>2507</v>
      </c>
      <c r="AN157" s="281"/>
      <c r="AO157" s="284">
        <v>732</v>
      </c>
      <c r="AP157" s="281"/>
      <c r="AQ157" s="284">
        <v>252</v>
      </c>
      <c r="AR157" s="281"/>
      <c r="AS157" s="428"/>
      <c r="AT157" s="281"/>
      <c r="AU157" s="428"/>
      <c r="AV157" s="281"/>
      <c r="AW157" s="358">
        <v>244</v>
      </c>
      <c r="AX157" s="281"/>
      <c r="AY157" s="358">
        <v>647</v>
      </c>
      <c r="AZ157" s="281"/>
      <c r="BA157" s="358">
        <v>326</v>
      </c>
      <c r="BB157" s="281"/>
      <c r="BC157" s="358">
        <v>566</v>
      </c>
      <c r="BD157" s="281"/>
      <c r="BE157" s="358">
        <v>1983</v>
      </c>
      <c r="BF157" s="281"/>
      <c r="BG157" s="358"/>
      <c r="BH157" s="281"/>
      <c r="BI157" s="358"/>
      <c r="BJ157" s="281"/>
      <c r="BK157" s="358"/>
      <c r="BL157" s="281"/>
      <c r="BM157" s="358"/>
      <c r="BN157" s="281"/>
      <c r="BO157" s="358"/>
      <c r="BP157" s="281"/>
      <c r="BQ157" s="358"/>
      <c r="BR157" s="281"/>
      <c r="BS157" s="358"/>
      <c r="BT157" s="281"/>
      <c r="BU157" s="358">
        <v>4185</v>
      </c>
      <c r="BV157" s="281"/>
      <c r="BW157" s="358">
        <v>5900</v>
      </c>
      <c r="BX157" s="281"/>
      <c r="BY157" s="358">
        <v>6439</v>
      </c>
      <c r="BZ157" s="281"/>
      <c r="CA157" s="358">
        <v>7066</v>
      </c>
      <c r="CB157" s="281"/>
      <c r="CC157" s="358">
        <v>8262</v>
      </c>
      <c r="CD157" s="281"/>
      <c r="CE157" s="358">
        <v>8404</v>
      </c>
      <c r="CF157" s="281"/>
      <c r="CG157" s="358">
        <v>9414</v>
      </c>
      <c r="CH157" s="281"/>
      <c r="CI157" s="358">
        <v>10697</v>
      </c>
      <c r="CJ157" s="281"/>
      <c r="CK157" s="358">
        <v>8298</v>
      </c>
      <c r="CL157" s="281"/>
      <c r="CM157" s="358">
        <v>5157</v>
      </c>
      <c r="CN157" s="281"/>
      <c r="CO157" s="358">
        <v>6934</v>
      </c>
      <c r="CP157" s="281"/>
      <c r="CQ157" s="358">
        <v>7168</v>
      </c>
      <c r="CR157" s="281"/>
      <c r="CS157" s="358">
        <v>6536</v>
      </c>
      <c r="CT157" s="281"/>
      <c r="CU157" s="358">
        <v>6556</v>
      </c>
      <c r="CV157" s="281"/>
      <c r="CW157" s="358">
        <v>6596</v>
      </c>
      <c r="CX157" s="281"/>
      <c r="CY157" s="358">
        <v>4989</v>
      </c>
      <c r="CZ157" s="281"/>
      <c r="DA157" s="358">
        <v>4230</v>
      </c>
      <c r="DB157" s="281"/>
      <c r="DC157" s="358">
        <v>2673</v>
      </c>
      <c r="DD157" s="281"/>
      <c r="DE157" s="358">
        <v>3140</v>
      </c>
      <c r="DF157" s="281"/>
      <c r="DG157" s="358">
        <v>4120</v>
      </c>
      <c r="DH157" s="281"/>
      <c r="DI157" s="358">
        <v>3105</v>
      </c>
      <c r="DJ157" s="281"/>
      <c r="DK157" s="358">
        <v>3973</v>
      </c>
      <c r="DL157" s="281"/>
      <c r="DM157" s="358">
        <v>3310</v>
      </c>
      <c r="DN157" s="281"/>
      <c r="DO157" s="358">
        <v>3548</v>
      </c>
      <c r="DP157" s="281"/>
      <c r="DQ157" s="358">
        <v>4204</v>
      </c>
      <c r="DR157" s="281"/>
      <c r="DS157" s="358">
        <v>2953</v>
      </c>
      <c r="DT157" s="281"/>
      <c r="DU157" s="302"/>
      <c r="DV157" s="302"/>
      <c r="DW157" s="302"/>
      <c r="DX157" s="302"/>
      <c r="DY157" s="302"/>
      <c r="DZ157" s="302"/>
      <c r="EA157" s="302"/>
      <c r="EB157" s="302"/>
      <c r="EC157" s="302"/>
      <c r="ED157" s="302"/>
      <c r="EE157" s="302"/>
      <c r="EF157" s="302"/>
      <c r="EG157" s="302"/>
      <c r="EH157" s="302"/>
      <c r="EI157" s="302"/>
      <c r="EJ157" s="302"/>
      <c r="EK157" s="302"/>
      <c r="EL157" s="302"/>
      <c r="EM157" s="302"/>
      <c r="EN157" s="358">
        <v>2559</v>
      </c>
      <c r="EO157" s="281"/>
      <c r="EP157" s="358">
        <v>2707</v>
      </c>
      <c r="EQ157" s="281"/>
      <c r="ER157" s="358">
        <v>2822</v>
      </c>
      <c r="ES157" s="281"/>
      <c r="ET157" s="358">
        <v>3540</v>
      </c>
      <c r="EU157" s="281"/>
      <c r="EV157" s="358">
        <v>510</v>
      </c>
      <c r="EW157" s="281"/>
      <c r="EX157" s="358">
        <v>2064</v>
      </c>
      <c r="EY157" s="281"/>
      <c r="EZ157" s="358">
        <v>1728</v>
      </c>
      <c r="FA157" s="281"/>
      <c r="FB157" s="358">
        <v>2760</v>
      </c>
      <c r="FC157" s="281"/>
      <c r="FD157" s="358">
        <v>1984</v>
      </c>
      <c r="FE157" s="281"/>
      <c r="FF157" s="358">
        <v>1805</v>
      </c>
      <c r="FG157" s="281"/>
      <c r="FH157" s="358">
        <v>1488</v>
      </c>
      <c r="FI157" s="281"/>
      <c r="FJ157" s="358">
        <v>2282</v>
      </c>
      <c r="FK157" s="281"/>
      <c r="FL157" s="358">
        <v>2540</v>
      </c>
      <c r="FM157" s="281"/>
      <c r="FN157" s="358">
        <v>1905</v>
      </c>
      <c r="FO157" s="281"/>
      <c r="FP157" s="358">
        <v>1323</v>
      </c>
      <c r="FQ157" s="281"/>
      <c r="FR157" s="302"/>
      <c r="FS157" s="302"/>
      <c r="FT157" s="302"/>
      <c r="FU157" s="302"/>
      <c r="FV157" s="302"/>
      <c r="FW157" s="302"/>
      <c r="FX157" s="302"/>
      <c r="FY157" s="302"/>
      <c r="FZ157" s="302"/>
      <c r="GA157" s="302"/>
      <c r="GB157" s="302"/>
      <c r="GC157" s="302"/>
      <c r="GD157" s="302"/>
      <c r="GE157" s="302"/>
      <c r="GF157" s="302"/>
      <c r="GG157" s="302"/>
    </row>
    <row r="158" spans="1:189" ht="8.25" customHeight="1" outlineLevel="1" x14ac:dyDescent="0.3">
      <c r="A158" s="1"/>
      <c r="B158" s="18"/>
      <c r="C158" s="18"/>
      <c r="D158" s="18"/>
      <c r="E158" s="18"/>
      <c r="F158" s="18"/>
      <c r="G158" s="3"/>
      <c r="H158" s="3"/>
      <c r="I158" s="19"/>
      <c r="J158" s="20"/>
      <c r="K158" s="19"/>
      <c r="L158" s="20"/>
      <c r="M158" s="19"/>
      <c r="N158" s="20"/>
      <c r="O158" s="19"/>
      <c r="P158" s="20"/>
      <c r="Q158" s="19"/>
      <c r="R158" s="20"/>
      <c r="S158" s="19"/>
      <c r="T158" s="20"/>
      <c r="U158" s="19"/>
      <c r="V158" s="20"/>
      <c r="W158" s="19"/>
      <c r="X158" s="20"/>
      <c r="Y158" s="19"/>
      <c r="Z158" s="20"/>
      <c r="AA158" s="19"/>
      <c r="AB158" s="20"/>
      <c r="AC158" s="19"/>
      <c r="AD158" s="20"/>
      <c r="AE158" s="19"/>
      <c r="AF158" s="20"/>
      <c r="AG158" s="19"/>
      <c r="AH158" s="20"/>
      <c r="AI158" s="19"/>
      <c r="AJ158" s="20"/>
      <c r="AK158" s="19"/>
      <c r="AL158" s="20"/>
      <c r="AM158" s="19"/>
      <c r="AN158" s="20"/>
      <c r="AO158" s="19"/>
      <c r="AP158" s="20"/>
      <c r="AQ158" s="19"/>
      <c r="AR158" s="20"/>
      <c r="AS158" s="19"/>
      <c r="AT158" s="20"/>
      <c r="AU158" s="19"/>
      <c r="AV158" s="20"/>
      <c r="AW158" s="19"/>
      <c r="AX158" s="20"/>
      <c r="AY158" s="19"/>
      <c r="AZ158" s="20"/>
      <c r="BA158" s="19"/>
      <c r="BB158" s="20"/>
      <c r="BC158" s="19"/>
      <c r="BD158" s="20"/>
      <c r="BE158" s="19"/>
      <c r="BF158" s="20"/>
      <c r="BG158" s="19"/>
      <c r="BH158" s="20"/>
      <c r="BI158" s="19"/>
      <c r="BJ158" s="20"/>
      <c r="BK158" s="19"/>
      <c r="BL158" s="20"/>
      <c r="BM158" s="19"/>
      <c r="BN158" s="20"/>
      <c r="BO158" s="19"/>
      <c r="BP158" s="20"/>
      <c r="BQ158" s="19"/>
      <c r="BR158" s="20"/>
      <c r="BS158" s="19"/>
      <c r="BT158" s="20"/>
      <c r="BU158" s="19"/>
      <c r="BV158" s="20"/>
      <c r="BW158" s="19"/>
      <c r="BX158" s="20"/>
      <c r="BY158" s="19"/>
      <c r="BZ158" s="20"/>
      <c r="CA158" s="19"/>
      <c r="CB158" s="20"/>
      <c r="CC158" s="19"/>
      <c r="CD158" s="20"/>
      <c r="CE158" s="19"/>
      <c r="CF158" s="20"/>
      <c r="CG158" s="19"/>
      <c r="CH158" s="20"/>
      <c r="CI158" s="19"/>
      <c r="CJ158" s="20"/>
      <c r="CK158" s="19"/>
      <c r="CL158" s="20"/>
      <c r="CM158" s="19"/>
      <c r="CN158" s="20"/>
      <c r="CO158" s="19"/>
      <c r="CP158" s="20"/>
      <c r="CQ158" s="19"/>
      <c r="CR158" s="20"/>
      <c r="CS158" s="19"/>
      <c r="CT158" s="20"/>
      <c r="CU158" s="19"/>
      <c r="CV158" s="20"/>
      <c r="CW158" s="19"/>
      <c r="CX158" s="20"/>
      <c r="CY158" s="19"/>
      <c r="CZ158" s="20"/>
      <c r="DA158" s="19"/>
      <c r="DB158" s="20"/>
      <c r="DC158" s="19"/>
      <c r="DD158" s="20"/>
      <c r="DE158" s="19"/>
      <c r="DF158" s="20"/>
      <c r="DG158" s="19"/>
      <c r="DH158" s="20"/>
      <c r="DI158" s="19"/>
      <c r="DJ158" s="20"/>
      <c r="DK158" s="19"/>
      <c r="DL158" s="20"/>
      <c r="DM158" s="19"/>
      <c r="DN158" s="20"/>
      <c r="DO158" s="19"/>
      <c r="DP158" s="20"/>
      <c r="DQ158" s="19"/>
      <c r="DR158" s="20"/>
      <c r="DS158" s="19"/>
      <c r="DT158" s="20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19"/>
      <c r="EO158" s="20"/>
      <c r="EP158" s="19"/>
      <c r="EQ158" s="20"/>
      <c r="ER158" s="19"/>
      <c r="ES158" s="20"/>
      <c r="ET158" s="19"/>
      <c r="EU158" s="20"/>
      <c r="EV158" s="19"/>
      <c r="EW158" s="20"/>
      <c r="EX158" s="19"/>
      <c r="EY158" s="20"/>
      <c r="EZ158" s="19"/>
      <c r="FA158" s="20"/>
      <c r="FB158" s="19"/>
      <c r="FC158" s="20"/>
      <c r="FD158" s="19"/>
      <c r="FE158" s="20"/>
      <c r="FF158" s="19"/>
      <c r="FG158" s="20"/>
      <c r="FH158" s="19"/>
      <c r="FI158" s="20"/>
      <c r="FJ158" s="19"/>
      <c r="FK158" s="20"/>
      <c r="FL158" s="19"/>
      <c r="FM158" s="20"/>
      <c r="FN158" s="19"/>
      <c r="FO158" s="20"/>
      <c r="FP158" s="19"/>
      <c r="FQ158" s="20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</row>
    <row r="159" spans="1:189" ht="15" customHeight="1" outlineLevel="1" x14ac:dyDescent="0.3">
      <c r="A159" s="63"/>
      <c r="B159" s="313" t="s">
        <v>125</v>
      </c>
      <c r="C159" s="313" t="s">
        <v>80</v>
      </c>
      <c r="D159" s="313" t="s">
        <v>96</v>
      </c>
      <c r="E159" s="313" t="s">
        <v>126</v>
      </c>
      <c r="F159" s="313" t="s">
        <v>114</v>
      </c>
      <c r="G159" s="5" t="s">
        <v>28</v>
      </c>
      <c r="H159" s="5"/>
      <c r="I159" s="357">
        <v>3</v>
      </c>
      <c r="J159" s="281"/>
      <c r="K159" s="357">
        <v>4</v>
      </c>
      <c r="L159" s="281"/>
      <c r="M159" s="357">
        <v>4</v>
      </c>
      <c r="N159" s="281"/>
      <c r="O159" s="357">
        <v>4</v>
      </c>
      <c r="P159" s="281"/>
      <c r="Q159" s="357">
        <v>4</v>
      </c>
      <c r="R159" s="281"/>
      <c r="S159" s="357">
        <v>4</v>
      </c>
      <c r="T159" s="281"/>
      <c r="U159" s="357">
        <v>3</v>
      </c>
      <c r="V159" s="281"/>
      <c r="W159" s="357">
        <v>3</v>
      </c>
      <c r="X159" s="281"/>
      <c r="Y159" s="357">
        <v>3</v>
      </c>
      <c r="Z159" s="281"/>
      <c r="AA159" s="357">
        <v>3</v>
      </c>
      <c r="AB159" s="281"/>
      <c r="AC159" s="357">
        <v>3</v>
      </c>
      <c r="AD159" s="281"/>
      <c r="AE159" s="357">
        <v>3</v>
      </c>
      <c r="AF159" s="281"/>
      <c r="AG159" s="357">
        <v>3</v>
      </c>
      <c r="AH159" s="281"/>
      <c r="AI159" s="357">
        <v>3</v>
      </c>
      <c r="AJ159" s="281"/>
      <c r="AK159" s="357">
        <v>3</v>
      </c>
      <c r="AL159" s="281"/>
      <c r="AM159" s="357">
        <v>3</v>
      </c>
      <c r="AN159" s="281"/>
      <c r="AO159" s="357">
        <v>3</v>
      </c>
      <c r="AP159" s="281"/>
      <c r="AQ159" s="357">
        <v>3</v>
      </c>
      <c r="AR159" s="281"/>
      <c r="AS159" s="357">
        <v>3</v>
      </c>
      <c r="AT159" s="281"/>
      <c r="AU159" s="357">
        <v>3</v>
      </c>
      <c r="AV159" s="281"/>
      <c r="AW159" s="357">
        <v>3</v>
      </c>
      <c r="AX159" s="281"/>
      <c r="AY159" s="357">
        <v>3</v>
      </c>
      <c r="AZ159" s="281"/>
      <c r="BA159" s="357">
        <v>3</v>
      </c>
      <c r="BB159" s="281"/>
      <c r="BC159" s="357">
        <v>3</v>
      </c>
      <c r="BD159" s="281"/>
      <c r="BE159" s="357">
        <v>3</v>
      </c>
      <c r="BF159" s="281"/>
      <c r="BG159" s="357">
        <v>3</v>
      </c>
      <c r="BH159" s="281"/>
      <c r="BI159" s="357">
        <v>3</v>
      </c>
      <c r="BJ159" s="281"/>
      <c r="BK159" s="357">
        <v>3</v>
      </c>
      <c r="BL159" s="281"/>
      <c r="BM159" s="357">
        <v>3</v>
      </c>
      <c r="BN159" s="281"/>
      <c r="BO159" s="357">
        <v>3</v>
      </c>
      <c r="BP159" s="281"/>
      <c r="BQ159" s="357">
        <v>3</v>
      </c>
      <c r="BR159" s="281"/>
      <c r="BS159" s="357">
        <v>3</v>
      </c>
      <c r="BT159" s="281"/>
      <c r="BU159" s="357">
        <v>3</v>
      </c>
      <c r="BV159" s="281"/>
      <c r="BW159" s="357">
        <v>3</v>
      </c>
      <c r="BX159" s="281"/>
      <c r="BY159" s="357">
        <v>3</v>
      </c>
      <c r="BZ159" s="281"/>
      <c r="CA159" s="357">
        <v>3</v>
      </c>
      <c r="CB159" s="281"/>
      <c r="CC159" s="357">
        <v>3</v>
      </c>
      <c r="CD159" s="281"/>
      <c r="CE159" s="357">
        <v>3</v>
      </c>
      <c r="CF159" s="281"/>
      <c r="CG159" s="357">
        <v>3</v>
      </c>
      <c r="CH159" s="281"/>
      <c r="CI159" s="357">
        <v>3</v>
      </c>
      <c r="CJ159" s="281"/>
      <c r="CK159" s="357">
        <v>3</v>
      </c>
      <c r="CL159" s="281"/>
      <c r="CM159" s="357">
        <v>3</v>
      </c>
      <c r="CN159" s="281"/>
      <c r="CO159" s="357">
        <v>3</v>
      </c>
      <c r="CP159" s="281"/>
      <c r="CQ159" s="357">
        <v>3</v>
      </c>
      <c r="CR159" s="281"/>
      <c r="CS159" s="357">
        <v>3</v>
      </c>
      <c r="CT159" s="281"/>
      <c r="CU159" s="357">
        <v>3</v>
      </c>
      <c r="CV159" s="281"/>
      <c r="CW159" s="357">
        <v>3</v>
      </c>
      <c r="CX159" s="281"/>
      <c r="CY159" s="357">
        <v>3</v>
      </c>
      <c r="CZ159" s="281"/>
      <c r="DA159" s="357">
        <v>3</v>
      </c>
      <c r="DB159" s="281"/>
      <c r="DC159" s="357">
        <v>3</v>
      </c>
      <c r="DD159" s="281"/>
      <c r="DE159" s="357">
        <v>3</v>
      </c>
      <c r="DF159" s="281"/>
      <c r="DG159" s="357">
        <v>3</v>
      </c>
      <c r="DH159" s="281"/>
      <c r="DI159" s="357">
        <v>3</v>
      </c>
      <c r="DJ159" s="281"/>
      <c r="DK159" s="357">
        <v>3</v>
      </c>
      <c r="DL159" s="281"/>
      <c r="DM159" s="357">
        <v>3</v>
      </c>
      <c r="DN159" s="281"/>
      <c r="DO159" s="357">
        <v>3</v>
      </c>
      <c r="DP159" s="281"/>
      <c r="DQ159" s="357">
        <v>3</v>
      </c>
      <c r="DR159" s="281"/>
      <c r="DS159" s="357">
        <v>3</v>
      </c>
      <c r="DT159" s="281"/>
      <c r="DU159" s="311" t="s">
        <v>87</v>
      </c>
      <c r="DV159" s="311" t="s">
        <v>87</v>
      </c>
      <c r="DW159" s="311" t="s">
        <v>87</v>
      </c>
      <c r="DX159" s="311" t="s">
        <v>87</v>
      </c>
      <c r="DY159" s="311" t="s">
        <v>29</v>
      </c>
      <c r="DZ159" s="311" t="s">
        <v>29</v>
      </c>
      <c r="EA159" s="311" t="s">
        <v>29</v>
      </c>
      <c r="EB159" s="311" t="s">
        <v>29</v>
      </c>
      <c r="EC159" s="311" t="s">
        <v>29</v>
      </c>
      <c r="ED159" s="311" t="s">
        <v>29</v>
      </c>
      <c r="EE159" s="311" t="s">
        <v>29</v>
      </c>
      <c r="EF159" s="311" t="s">
        <v>29</v>
      </c>
      <c r="EG159" s="311" t="s">
        <v>29</v>
      </c>
      <c r="EH159" s="311" t="s">
        <v>29</v>
      </c>
      <c r="EI159" s="311" t="s">
        <v>29</v>
      </c>
      <c r="EJ159" s="311" t="s">
        <v>29</v>
      </c>
      <c r="EK159" s="311" t="s">
        <v>29</v>
      </c>
      <c r="EL159" s="311" t="s">
        <v>29</v>
      </c>
      <c r="EM159" s="311"/>
      <c r="EN159" s="357">
        <v>3</v>
      </c>
      <c r="EO159" s="281"/>
      <c r="EP159" s="357">
        <v>3</v>
      </c>
      <c r="EQ159" s="281"/>
      <c r="ER159" s="357">
        <v>3</v>
      </c>
      <c r="ES159" s="281"/>
      <c r="ET159" s="357">
        <v>3</v>
      </c>
      <c r="EU159" s="281"/>
      <c r="EV159" s="357">
        <v>3</v>
      </c>
      <c r="EW159" s="281"/>
      <c r="EX159" s="357">
        <v>3</v>
      </c>
      <c r="EY159" s="281"/>
      <c r="EZ159" s="357">
        <v>3</v>
      </c>
      <c r="FA159" s="281"/>
      <c r="FB159" s="357">
        <v>3</v>
      </c>
      <c r="FC159" s="281"/>
      <c r="FD159" s="357">
        <v>3</v>
      </c>
      <c r="FE159" s="281"/>
      <c r="FF159" s="357">
        <v>3</v>
      </c>
      <c r="FG159" s="281"/>
      <c r="FH159" s="357">
        <v>3</v>
      </c>
      <c r="FI159" s="281"/>
      <c r="FJ159" s="357">
        <v>3</v>
      </c>
      <c r="FK159" s="281"/>
      <c r="FL159" s="357">
        <v>3</v>
      </c>
      <c r="FM159" s="281"/>
      <c r="FN159" s="357">
        <v>3</v>
      </c>
      <c r="FO159" s="281"/>
      <c r="FP159" s="357">
        <v>3</v>
      </c>
      <c r="FQ159" s="281"/>
      <c r="FR159" s="311" t="s">
        <v>29</v>
      </c>
      <c r="FS159" s="311" t="s">
        <v>29</v>
      </c>
      <c r="FT159" s="311" t="s">
        <v>29</v>
      </c>
      <c r="FU159" s="311" t="s">
        <v>29</v>
      </c>
      <c r="FV159" s="311" t="s">
        <v>29</v>
      </c>
      <c r="FW159" s="311" t="s">
        <v>29</v>
      </c>
      <c r="FX159" s="311" t="s">
        <v>29</v>
      </c>
      <c r="FY159" s="311" t="s">
        <v>29</v>
      </c>
      <c r="FZ159" s="311" t="s">
        <v>29</v>
      </c>
      <c r="GA159" s="311" t="s">
        <v>29</v>
      </c>
      <c r="GB159" s="311" t="s">
        <v>29</v>
      </c>
      <c r="GC159" s="311" t="s">
        <v>29</v>
      </c>
      <c r="GD159" s="311" t="s">
        <v>29</v>
      </c>
      <c r="GE159" s="311" t="s">
        <v>29</v>
      </c>
      <c r="GF159" s="311" t="s">
        <v>29</v>
      </c>
      <c r="GG159" s="311" t="s">
        <v>29</v>
      </c>
    </row>
    <row r="160" spans="1:189" ht="4.5" customHeight="1" outlineLevel="1" x14ac:dyDescent="0.3">
      <c r="A160" s="1"/>
      <c r="B160" s="301"/>
      <c r="C160" s="301"/>
      <c r="D160" s="301"/>
      <c r="E160" s="301"/>
      <c r="F160" s="301"/>
      <c r="G160" s="5"/>
      <c r="H160" s="5"/>
      <c r="I160" s="422"/>
      <c r="J160" s="281"/>
      <c r="K160" s="282"/>
      <c r="L160" s="281"/>
      <c r="M160" s="282"/>
      <c r="N160" s="281"/>
      <c r="O160" s="282"/>
      <c r="P160" s="281"/>
      <c r="Q160" s="282"/>
      <c r="R160" s="281"/>
      <c r="S160" s="282"/>
      <c r="T160" s="281"/>
      <c r="U160" s="422"/>
      <c r="V160" s="281"/>
      <c r="W160" s="422"/>
      <c r="X160" s="281"/>
      <c r="Y160" s="422"/>
      <c r="Z160" s="281"/>
      <c r="AA160" s="422"/>
      <c r="AB160" s="281"/>
      <c r="AC160" s="422"/>
      <c r="AD160" s="281"/>
      <c r="AE160" s="422"/>
      <c r="AF160" s="281"/>
      <c r="AG160" s="422"/>
      <c r="AH160" s="281"/>
      <c r="AI160" s="422"/>
      <c r="AJ160" s="281"/>
      <c r="AK160" s="422"/>
      <c r="AL160" s="281"/>
      <c r="AM160" s="422"/>
      <c r="AN160" s="281"/>
      <c r="AO160" s="422"/>
      <c r="AP160" s="281"/>
      <c r="AQ160" s="422"/>
      <c r="AR160" s="281"/>
      <c r="AS160" s="351"/>
      <c r="AT160" s="281"/>
      <c r="AU160" s="422"/>
      <c r="AV160" s="281"/>
      <c r="AW160" s="422"/>
      <c r="AX160" s="281"/>
      <c r="AY160" s="422"/>
      <c r="AZ160" s="281"/>
      <c r="BA160" s="422"/>
      <c r="BB160" s="281"/>
      <c r="BC160" s="422"/>
      <c r="BD160" s="281"/>
      <c r="BE160" s="422"/>
      <c r="BF160" s="281"/>
      <c r="BG160" s="422"/>
      <c r="BH160" s="281"/>
      <c r="BI160" s="422"/>
      <c r="BJ160" s="281"/>
      <c r="BK160" s="422"/>
      <c r="BL160" s="281"/>
      <c r="BM160" s="422"/>
      <c r="BN160" s="281"/>
      <c r="BO160" s="422"/>
      <c r="BP160" s="281"/>
      <c r="BQ160" s="422"/>
      <c r="BR160" s="281"/>
      <c r="BS160" s="422"/>
      <c r="BT160" s="281"/>
      <c r="BU160" s="422"/>
      <c r="BV160" s="281"/>
      <c r="BW160" s="422"/>
      <c r="BX160" s="281"/>
      <c r="BY160" s="422"/>
      <c r="BZ160" s="281"/>
      <c r="CA160" s="422"/>
      <c r="CB160" s="281"/>
      <c r="CC160" s="422"/>
      <c r="CD160" s="281"/>
      <c r="CE160" s="422"/>
      <c r="CF160" s="281"/>
      <c r="CG160" s="422"/>
      <c r="CH160" s="281"/>
      <c r="CI160" s="422"/>
      <c r="CJ160" s="281"/>
      <c r="CK160" s="371"/>
      <c r="CL160" s="281"/>
      <c r="CM160" s="371"/>
      <c r="CN160" s="281"/>
      <c r="CO160" s="371"/>
      <c r="CP160" s="281"/>
      <c r="CQ160" s="328"/>
      <c r="CR160" s="281"/>
      <c r="CS160" s="371"/>
      <c r="CT160" s="281"/>
      <c r="CU160" s="328"/>
      <c r="CV160" s="281"/>
      <c r="CW160" s="328"/>
      <c r="CX160" s="281"/>
      <c r="CY160" s="328"/>
      <c r="CZ160" s="281"/>
      <c r="DA160" s="328"/>
      <c r="DB160" s="281"/>
      <c r="DC160" s="328"/>
      <c r="DD160" s="281"/>
      <c r="DE160" s="328"/>
      <c r="DF160" s="281"/>
      <c r="DG160" s="351"/>
      <c r="DH160" s="281"/>
      <c r="DI160" s="351"/>
      <c r="DJ160" s="281"/>
      <c r="DK160" s="328"/>
      <c r="DL160" s="281"/>
      <c r="DM160" s="351"/>
      <c r="DN160" s="281"/>
      <c r="DO160" s="351"/>
      <c r="DP160" s="281"/>
      <c r="DQ160" s="328"/>
      <c r="DR160" s="281"/>
      <c r="DS160" s="351"/>
      <c r="DT160" s="281"/>
      <c r="DU160" s="301"/>
      <c r="DV160" s="301"/>
      <c r="DW160" s="301"/>
      <c r="DX160" s="301"/>
      <c r="DY160" s="301"/>
      <c r="DZ160" s="301"/>
      <c r="EA160" s="301"/>
      <c r="EB160" s="301"/>
      <c r="EC160" s="301"/>
      <c r="ED160" s="301"/>
      <c r="EE160" s="301"/>
      <c r="EF160" s="301"/>
      <c r="EG160" s="301"/>
      <c r="EH160" s="301"/>
      <c r="EI160" s="301"/>
      <c r="EJ160" s="301"/>
      <c r="EK160" s="301"/>
      <c r="EL160" s="301"/>
      <c r="EM160" s="301"/>
      <c r="EN160" s="328"/>
      <c r="EO160" s="281"/>
      <c r="EP160" s="328"/>
      <c r="EQ160" s="281"/>
      <c r="ER160" s="351"/>
      <c r="ES160" s="281"/>
      <c r="ET160" s="351"/>
      <c r="EU160" s="281"/>
      <c r="EV160" s="351"/>
      <c r="EW160" s="281"/>
      <c r="EX160" s="351"/>
      <c r="EY160" s="281"/>
      <c r="EZ160" s="328"/>
      <c r="FA160" s="281"/>
      <c r="FB160" s="328"/>
      <c r="FC160" s="281"/>
      <c r="FD160" s="328"/>
      <c r="FE160" s="281"/>
      <c r="FF160" s="328"/>
      <c r="FG160" s="281"/>
      <c r="FH160" s="328"/>
      <c r="FI160" s="281"/>
      <c r="FJ160" s="328"/>
      <c r="FK160" s="281"/>
      <c r="FL160" s="351"/>
      <c r="FM160" s="281"/>
      <c r="FN160" s="361"/>
      <c r="FO160" s="362"/>
      <c r="FP160" s="361"/>
      <c r="FQ160" s="362"/>
      <c r="FR160" s="301"/>
      <c r="FS160" s="301"/>
      <c r="FT160" s="301"/>
      <c r="FU160" s="301"/>
      <c r="FV160" s="301"/>
      <c r="FW160" s="301"/>
      <c r="FX160" s="301"/>
      <c r="FY160" s="301"/>
      <c r="FZ160" s="301"/>
      <c r="GA160" s="301"/>
      <c r="GB160" s="301"/>
      <c r="GC160" s="392"/>
      <c r="GD160" s="392"/>
      <c r="GE160" s="392"/>
      <c r="GF160" s="301"/>
      <c r="GG160" s="301"/>
    </row>
    <row r="161" spans="1:189" ht="15" customHeight="1" outlineLevel="1" x14ac:dyDescent="0.3">
      <c r="A161" s="1"/>
      <c r="B161" s="301"/>
      <c r="C161" s="301"/>
      <c r="D161" s="301"/>
      <c r="E161" s="301"/>
      <c r="F161" s="301"/>
      <c r="G161" s="5" t="s">
        <v>30</v>
      </c>
      <c r="H161" s="5"/>
      <c r="I161" s="341">
        <f>AVERAGE(K161:AH161)</f>
        <v>3.2999999999999994</v>
      </c>
      <c r="J161" s="281"/>
      <c r="K161" s="357">
        <v>3.5</v>
      </c>
      <c r="L161" s="281"/>
      <c r="M161" s="357">
        <v>3.3</v>
      </c>
      <c r="N161" s="281"/>
      <c r="O161" s="357">
        <v>3.3</v>
      </c>
      <c r="P161" s="281"/>
      <c r="Q161" s="357">
        <v>3.5</v>
      </c>
      <c r="R161" s="281"/>
      <c r="S161" s="357">
        <v>3.71</v>
      </c>
      <c r="T161" s="281"/>
      <c r="U161" s="357">
        <v>3</v>
      </c>
      <c r="V161" s="281"/>
      <c r="W161" s="357">
        <v>3.2</v>
      </c>
      <c r="X161" s="281"/>
      <c r="Y161" s="357">
        <v>3.1</v>
      </c>
      <c r="Z161" s="281"/>
      <c r="AA161" s="357">
        <v>3.26</v>
      </c>
      <c r="AB161" s="281"/>
      <c r="AC161" s="357">
        <v>3.23</v>
      </c>
      <c r="AD161" s="281"/>
      <c r="AE161" s="357">
        <v>3.2</v>
      </c>
      <c r="AF161" s="281"/>
      <c r="AG161" s="357">
        <v>3.3</v>
      </c>
      <c r="AH161" s="281"/>
      <c r="AI161" s="357">
        <v>3.2</v>
      </c>
      <c r="AJ161" s="281"/>
      <c r="AK161" s="357">
        <v>3.1</v>
      </c>
      <c r="AL161" s="281"/>
      <c r="AM161" s="357">
        <v>3.1</v>
      </c>
      <c r="AN161" s="281"/>
      <c r="AO161" s="357">
        <v>3.1</v>
      </c>
      <c r="AP161" s="281"/>
      <c r="AQ161" s="357">
        <v>3.1</v>
      </c>
      <c r="AR161" s="281"/>
      <c r="AS161" s="357">
        <v>2.9</v>
      </c>
      <c r="AT161" s="281"/>
      <c r="AU161" s="357">
        <v>3.2</v>
      </c>
      <c r="AV161" s="281"/>
      <c r="AW161" s="357">
        <v>3</v>
      </c>
      <c r="AX161" s="281"/>
      <c r="AY161" s="357">
        <v>3</v>
      </c>
      <c r="AZ161" s="281"/>
      <c r="BA161" s="357">
        <v>3.1</v>
      </c>
      <c r="BB161" s="281"/>
      <c r="BC161" s="357">
        <v>3</v>
      </c>
      <c r="BD161" s="281"/>
      <c r="BE161" s="357">
        <v>3</v>
      </c>
      <c r="BF161" s="281"/>
      <c r="BG161" s="357">
        <v>3.2</v>
      </c>
      <c r="BH161" s="281"/>
      <c r="BI161" s="357">
        <v>3.4</v>
      </c>
      <c r="BJ161" s="281"/>
      <c r="BK161" s="357">
        <v>3.5</v>
      </c>
      <c r="BL161" s="281"/>
      <c r="BM161" s="357">
        <v>3.3</v>
      </c>
      <c r="BN161" s="281"/>
      <c r="BO161" s="357">
        <v>3.5</v>
      </c>
      <c r="BP161" s="281"/>
      <c r="BQ161" s="357">
        <v>3.5</v>
      </c>
      <c r="BR161" s="281"/>
      <c r="BS161" s="357">
        <v>3.4</v>
      </c>
      <c r="BT161" s="281"/>
      <c r="BU161" s="357">
        <v>3.4</v>
      </c>
      <c r="BV161" s="281"/>
      <c r="BW161" s="357">
        <v>3.3</v>
      </c>
      <c r="BX161" s="281"/>
      <c r="BY161" s="357">
        <v>3.6</v>
      </c>
      <c r="BZ161" s="281"/>
      <c r="CA161" s="357">
        <v>0</v>
      </c>
      <c r="CB161" s="281"/>
      <c r="CC161" s="357">
        <v>0</v>
      </c>
      <c r="CD161" s="281"/>
      <c r="CE161" s="357">
        <v>0</v>
      </c>
      <c r="CF161" s="281"/>
      <c r="CG161" s="357">
        <v>0</v>
      </c>
      <c r="CH161" s="281"/>
      <c r="CI161" s="357">
        <v>0</v>
      </c>
      <c r="CJ161" s="281"/>
      <c r="CK161" s="357">
        <v>2.4</v>
      </c>
      <c r="CL161" s="281"/>
      <c r="CM161" s="357">
        <v>2.8</v>
      </c>
      <c r="CN161" s="281"/>
      <c r="CO161" s="357">
        <v>2.8</v>
      </c>
      <c r="CP161" s="281"/>
      <c r="CQ161" s="357">
        <v>3.1</v>
      </c>
      <c r="CR161" s="281"/>
      <c r="CS161" s="357">
        <v>2.8</v>
      </c>
      <c r="CT161" s="281"/>
      <c r="CU161" s="357">
        <v>3.2</v>
      </c>
      <c r="CV161" s="281"/>
      <c r="CW161" s="357">
        <v>3.3</v>
      </c>
      <c r="CX161" s="281"/>
      <c r="CY161" s="357">
        <v>3.3</v>
      </c>
      <c r="CZ161" s="281"/>
      <c r="DA161" s="357">
        <v>3.3</v>
      </c>
      <c r="DB161" s="281"/>
      <c r="DC161" s="357">
        <v>3.5</v>
      </c>
      <c r="DD161" s="281"/>
      <c r="DE161" s="357">
        <v>3.1</v>
      </c>
      <c r="DF161" s="281"/>
      <c r="DG161" s="357">
        <v>2.9</v>
      </c>
      <c r="DH161" s="281"/>
      <c r="DI161" s="357">
        <v>2.9</v>
      </c>
      <c r="DJ161" s="281"/>
      <c r="DK161" s="357">
        <v>3.6</v>
      </c>
      <c r="DL161" s="281"/>
      <c r="DM161" s="357">
        <v>2.9</v>
      </c>
      <c r="DN161" s="281"/>
      <c r="DO161" s="357">
        <v>2.9</v>
      </c>
      <c r="DP161" s="281"/>
      <c r="DQ161" s="357">
        <v>3</v>
      </c>
      <c r="DR161" s="281"/>
      <c r="DS161" s="357">
        <v>2.9</v>
      </c>
      <c r="DT161" s="281"/>
      <c r="DU161" s="301"/>
      <c r="DV161" s="301"/>
      <c r="DW161" s="301"/>
      <c r="DX161" s="301"/>
      <c r="DY161" s="301"/>
      <c r="DZ161" s="301"/>
      <c r="EA161" s="301"/>
      <c r="EB161" s="301"/>
      <c r="EC161" s="301"/>
      <c r="ED161" s="301"/>
      <c r="EE161" s="301"/>
      <c r="EF161" s="301"/>
      <c r="EG161" s="301"/>
      <c r="EH161" s="301"/>
      <c r="EI161" s="301"/>
      <c r="EJ161" s="301"/>
      <c r="EK161" s="301"/>
      <c r="EL161" s="301"/>
      <c r="EM161" s="301"/>
      <c r="EN161" s="357">
        <v>3</v>
      </c>
      <c r="EO161" s="281"/>
      <c r="EP161" s="357">
        <v>3</v>
      </c>
      <c r="EQ161" s="281"/>
      <c r="ER161" s="357">
        <v>2.9</v>
      </c>
      <c r="ES161" s="281"/>
      <c r="ET161" s="357">
        <v>2.1</v>
      </c>
      <c r="EU161" s="281"/>
      <c r="EV161" s="357">
        <v>2.1</v>
      </c>
      <c r="EW161" s="281"/>
      <c r="EX161" s="357">
        <v>2.7</v>
      </c>
      <c r="EY161" s="281"/>
      <c r="EZ161" s="357">
        <v>3</v>
      </c>
      <c r="FA161" s="281"/>
      <c r="FB161" s="357">
        <v>0</v>
      </c>
      <c r="FC161" s="281"/>
      <c r="FD161" s="357">
        <v>0</v>
      </c>
      <c r="FE161" s="281"/>
      <c r="FF161" s="357">
        <v>0</v>
      </c>
      <c r="FG161" s="281"/>
      <c r="FH161" s="357">
        <v>0</v>
      </c>
      <c r="FI161" s="281"/>
      <c r="FJ161" s="357">
        <v>3</v>
      </c>
      <c r="FK161" s="281"/>
      <c r="FL161" s="357">
        <v>2.6</v>
      </c>
      <c r="FM161" s="281"/>
      <c r="FN161" s="357">
        <v>3.1</v>
      </c>
      <c r="FO161" s="281"/>
      <c r="FP161" s="357">
        <v>4.0599999999999996</v>
      </c>
      <c r="FQ161" s="281"/>
      <c r="FR161" s="301"/>
      <c r="FS161" s="301"/>
      <c r="FT161" s="301"/>
      <c r="FU161" s="301"/>
      <c r="FV161" s="301"/>
      <c r="FW161" s="301"/>
      <c r="FX161" s="301"/>
      <c r="FY161" s="301"/>
      <c r="FZ161" s="301"/>
      <c r="GA161" s="301"/>
      <c r="GB161" s="301"/>
      <c r="GC161" s="392"/>
      <c r="GD161" s="392"/>
      <c r="GE161" s="392"/>
      <c r="GF161" s="301"/>
      <c r="GG161" s="301"/>
    </row>
    <row r="162" spans="1:189" ht="15" customHeight="1" outlineLevel="1" x14ac:dyDescent="0.3">
      <c r="A162" s="1"/>
      <c r="B162" s="301"/>
      <c r="C162" s="301"/>
      <c r="D162" s="301"/>
      <c r="E162" s="301"/>
      <c r="F162" s="301"/>
      <c r="G162" s="5" t="s">
        <v>127</v>
      </c>
      <c r="H162" s="5"/>
      <c r="I162" s="23">
        <f>AG162+AE162+AC162+AA162+Y162+W162+U162+S162+O162+M162+K162</f>
        <v>16254</v>
      </c>
      <c r="J162" s="86">
        <f>I161*I162</f>
        <v>53638.19999999999</v>
      </c>
      <c r="K162" s="86">
        <v>1504</v>
      </c>
      <c r="L162" s="86">
        <f>K162*K161</f>
        <v>5264</v>
      </c>
      <c r="M162" s="86">
        <v>1152</v>
      </c>
      <c r="N162" s="86">
        <f>M162*M161</f>
        <v>3801.6</v>
      </c>
      <c r="O162" s="86">
        <v>1259</v>
      </c>
      <c r="P162" s="86">
        <f>O162*O161</f>
        <v>4154.7</v>
      </c>
      <c r="Q162" s="86">
        <v>1248</v>
      </c>
      <c r="R162" s="86">
        <f>Q162*Q161</f>
        <v>4368</v>
      </c>
      <c r="S162" s="86">
        <v>1643</v>
      </c>
      <c r="T162" s="86">
        <f>S162*S161</f>
        <v>6095.53</v>
      </c>
      <c r="U162" s="86">
        <v>990</v>
      </c>
      <c r="V162" s="86">
        <f>U162*U161</f>
        <v>2970</v>
      </c>
      <c r="W162" s="86">
        <v>2181</v>
      </c>
      <c r="X162" s="86">
        <f>W162*W161</f>
        <v>6979.2000000000007</v>
      </c>
      <c r="Y162" s="86">
        <v>1337</v>
      </c>
      <c r="Z162" s="86">
        <f>Y162*Y161</f>
        <v>4144.7</v>
      </c>
      <c r="AA162" s="86">
        <v>1782</v>
      </c>
      <c r="AB162" s="86">
        <f>AA162*AA161</f>
        <v>5809.32</v>
      </c>
      <c r="AC162" s="86">
        <v>2594</v>
      </c>
      <c r="AD162" s="86">
        <f>AC162*AC161</f>
        <v>8378.6200000000008</v>
      </c>
      <c r="AE162" s="86">
        <v>1280</v>
      </c>
      <c r="AF162" s="86">
        <f>AE162*AE161</f>
        <v>4096</v>
      </c>
      <c r="AG162" s="86">
        <v>532</v>
      </c>
      <c r="AH162" s="86">
        <f>AG162*AG161</f>
        <v>1755.6</v>
      </c>
      <c r="AI162" s="86">
        <v>390</v>
      </c>
      <c r="AJ162" s="86">
        <f>AI162*AI161</f>
        <v>1248</v>
      </c>
      <c r="AK162" s="86">
        <v>262</v>
      </c>
      <c r="AL162" s="86">
        <f>AK162*AK161</f>
        <v>812.2</v>
      </c>
      <c r="AM162" s="86">
        <v>353</v>
      </c>
      <c r="AN162" s="86">
        <f>AM162*AM161</f>
        <v>1094.3</v>
      </c>
      <c r="AO162" s="86">
        <v>182</v>
      </c>
      <c r="AP162" s="86">
        <f>AO162*AO161</f>
        <v>564.20000000000005</v>
      </c>
      <c r="AQ162" s="86">
        <v>258</v>
      </c>
      <c r="AR162" s="86">
        <f>AQ162*AQ161</f>
        <v>799.80000000000007</v>
      </c>
      <c r="AS162" s="86">
        <v>428</v>
      </c>
      <c r="AT162" s="86">
        <f>AS162*AS161</f>
        <v>1241.2</v>
      </c>
      <c r="AU162" s="86">
        <v>336</v>
      </c>
      <c r="AV162" s="86">
        <f>AU162*AU161</f>
        <v>1075.2</v>
      </c>
      <c r="AW162" s="86">
        <v>343</v>
      </c>
      <c r="AX162" s="86">
        <f>AW162*AW161</f>
        <v>1029</v>
      </c>
      <c r="AY162" s="86">
        <v>260</v>
      </c>
      <c r="AZ162" s="86">
        <f>AY162*AY161</f>
        <v>780</v>
      </c>
      <c r="BA162" s="86">
        <v>273</v>
      </c>
      <c r="BB162" s="86">
        <f>BA162*BA161</f>
        <v>846.30000000000007</v>
      </c>
      <c r="BC162" s="86">
        <v>258</v>
      </c>
      <c r="BD162" s="86">
        <f>BC162*BC161</f>
        <v>774</v>
      </c>
      <c r="BE162" s="86">
        <v>473</v>
      </c>
      <c r="BF162" s="86">
        <f>BE162*BE161</f>
        <v>1419</v>
      </c>
      <c r="BG162" s="86">
        <v>442</v>
      </c>
      <c r="BH162" s="86">
        <f>BG162*BG161</f>
        <v>1414.4</v>
      </c>
      <c r="BI162" s="86">
        <v>210</v>
      </c>
      <c r="BJ162" s="86">
        <f>BI162*BI161</f>
        <v>714</v>
      </c>
      <c r="BK162" s="86">
        <v>365</v>
      </c>
      <c r="BL162" s="86">
        <f>BK162*BK161</f>
        <v>1277.5</v>
      </c>
      <c r="BM162" s="86">
        <v>473</v>
      </c>
      <c r="BN162" s="86">
        <f>BM162*BM161</f>
        <v>1560.8999999999999</v>
      </c>
      <c r="BO162" s="86">
        <v>296</v>
      </c>
      <c r="BP162" s="86">
        <f>BO162*BO161</f>
        <v>1036</v>
      </c>
      <c r="BQ162" s="86">
        <v>373</v>
      </c>
      <c r="BR162" s="86">
        <f>BQ162*BQ161</f>
        <v>1305.5</v>
      </c>
      <c r="BS162" s="86">
        <v>137</v>
      </c>
      <c r="BT162" s="86">
        <f>BS162*BS161</f>
        <v>465.8</v>
      </c>
      <c r="BU162" s="86">
        <v>100</v>
      </c>
      <c r="BV162" s="86">
        <f>BU162*BU161</f>
        <v>340</v>
      </c>
      <c r="BW162" s="86">
        <v>51</v>
      </c>
      <c r="BX162" s="86">
        <f>BW162*BW161</f>
        <v>168.29999999999998</v>
      </c>
      <c r="BY162" s="86">
        <v>30</v>
      </c>
      <c r="BZ162" s="86">
        <f>BY162*BY161</f>
        <v>108</v>
      </c>
      <c r="CA162" s="86">
        <v>0</v>
      </c>
      <c r="CB162" s="86">
        <f>CA162*CA161</f>
        <v>0</v>
      </c>
      <c r="CC162" s="86">
        <v>0</v>
      </c>
      <c r="CD162" s="86">
        <f>CC162*CC161</f>
        <v>0</v>
      </c>
      <c r="CE162" s="86">
        <v>0</v>
      </c>
      <c r="CF162" s="86">
        <f>CE162*CE161</f>
        <v>0</v>
      </c>
      <c r="CG162" s="86">
        <v>0</v>
      </c>
      <c r="CH162" s="86">
        <f>CG162*CG161</f>
        <v>0</v>
      </c>
      <c r="CI162" s="86">
        <v>0</v>
      </c>
      <c r="CJ162" s="86">
        <f>CI162*CI161</f>
        <v>0</v>
      </c>
      <c r="CK162" s="86">
        <v>238</v>
      </c>
      <c r="CL162" s="86">
        <f>CK162*CK161</f>
        <v>571.19999999999993</v>
      </c>
      <c r="CM162" s="86">
        <v>379</v>
      </c>
      <c r="CN162" s="86">
        <f>CM162*CM161</f>
        <v>1061.2</v>
      </c>
      <c r="CO162" s="86">
        <v>423</v>
      </c>
      <c r="CP162" s="86">
        <f>CO162*CO161</f>
        <v>1184.3999999999999</v>
      </c>
      <c r="CQ162" s="86">
        <v>129</v>
      </c>
      <c r="CR162" s="86">
        <f>CQ162*CQ161</f>
        <v>399.90000000000003</v>
      </c>
      <c r="CS162" s="86">
        <v>180</v>
      </c>
      <c r="CT162" s="86">
        <f>CS162*CS161</f>
        <v>503.99999999999994</v>
      </c>
      <c r="CU162" s="86">
        <v>247</v>
      </c>
      <c r="CV162" s="86">
        <f>CU162*CU161</f>
        <v>790.40000000000009</v>
      </c>
      <c r="CW162" s="86">
        <v>259</v>
      </c>
      <c r="CX162" s="86">
        <f>CW162*CW161</f>
        <v>854.69999999999993</v>
      </c>
      <c r="CY162" s="86">
        <v>332</v>
      </c>
      <c r="CZ162" s="86">
        <f>CY162*CY161</f>
        <v>1095.5999999999999</v>
      </c>
      <c r="DA162" s="86">
        <v>218</v>
      </c>
      <c r="DB162" s="86">
        <f>DA162*DA161</f>
        <v>719.4</v>
      </c>
      <c r="DC162" s="86">
        <v>195</v>
      </c>
      <c r="DD162" s="86">
        <f>DC162*DC161</f>
        <v>682.5</v>
      </c>
      <c r="DE162" s="86">
        <v>210</v>
      </c>
      <c r="DF162" s="86">
        <f>DE162*DE161</f>
        <v>651</v>
      </c>
      <c r="DG162" s="86">
        <v>345</v>
      </c>
      <c r="DH162" s="86">
        <f>DG162*DG161</f>
        <v>1000.5</v>
      </c>
      <c r="DI162" s="86">
        <v>250</v>
      </c>
      <c r="DJ162" s="86">
        <f>DI162*DI161</f>
        <v>725</v>
      </c>
      <c r="DK162" s="86">
        <v>222</v>
      </c>
      <c r="DL162" s="86">
        <f>DK162*DK161</f>
        <v>799.2</v>
      </c>
      <c r="DM162" s="86">
        <v>273</v>
      </c>
      <c r="DN162" s="86">
        <f>DM162*DM161</f>
        <v>791.69999999999993</v>
      </c>
      <c r="DO162" s="86">
        <v>356</v>
      </c>
      <c r="DP162" s="86">
        <f>DO162*DO161</f>
        <v>1032.3999999999999</v>
      </c>
      <c r="DQ162" s="86">
        <v>438</v>
      </c>
      <c r="DR162" s="86">
        <f>DQ162*DQ161</f>
        <v>1314</v>
      </c>
      <c r="DS162" s="86">
        <v>357</v>
      </c>
      <c r="DT162" s="86">
        <f>DS162*DS161</f>
        <v>1035.3</v>
      </c>
      <c r="DU162" s="301"/>
      <c r="DV162" s="301"/>
      <c r="DW162" s="301"/>
      <c r="DX162" s="301"/>
      <c r="DY162" s="301"/>
      <c r="DZ162" s="301"/>
      <c r="EA162" s="301"/>
      <c r="EB162" s="301"/>
      <c r="EC162" s="301"/>
      <c r="ED162" s="301"/>
      <c r="EE162" s="301"/>
      <c r="EF162" s="301"/>
      <c r="EG162" s="301"/>
      <c r="EH162" s="301"/>
      <c r="EI162" s="301"/>
      <c r="EJ162" s="301"/>
      <c r="EK162" s="301"/>
      <c r="EL162" s="301"/>
      <c r="EM162" s="301"/>
      <c r="EN162" s="86">
        <v>343</v>
      </c>
      <c r="EO162" s="86">
        <f>EN162*EN161</f>
        <v>1029</v>
      </c>
      <c r="EP162" s="86">
        <v>324</v>
      </c>
      <c r="EQ162" s="86">
        <f>EP162*EP161</f>
        <v>972</v>
      </c>
      <c r="ER162" s="86">
        <v>273</v>
      </c>
      <c r="ES162" s="86">
        <f>ER162*ER161</f>
        <v>791.69999999999993</v>
      </c>
      <c r="ET162" s="86">
        <v>399</v>
      </c>
      <c r="EU162" s="86">
        <f>ET162*ET161</f>
        <v>837.90000000000009</v>
      </c>
      <c r="EV162" s="86">
        <v>17</v>
      </c>
      <c r="EW162" s="86">
        <f>EV162*EV161</f>
        <v>35.700000000000003</v>
      </c>
      <c r="EX162" s="86">
        <v>23</v>
      </c>
      <c r="EY162" s="86">
        <f>EX162*EX161</f>
        <v>62.1</v>
      </c>
      <c r="EZ162" s="86">
        <v>3</v>
      </c>
      <c r="FA162" s="86">
        <f>EZ162*EZ161</f>
        <v>9</v>
      </c>
      <c r="FB162" s="86">
        <v>0</v>
      </c>
      <c r="FC162" s="86">
        <f>FB162*FB161</f>
        <v>0</v>
      </c>
      <c r="FD162" s="86">
        <v>0</v>
      </c>
      <c r="FE162" s="86">
        <f>FD162*FD161</f>
        <v>0</v>
      </c>
      <c r="FF162" s="86">
        <v>0</v>
      </c>
      <c r="FG162" s="86">
        <f>FF162*FF161</f>
        <v>0</v>
      </c>
      <c r="FH162" s="86">
        <v>0</v>
      </c>
      <c r="FI162" s="86">
        <f>FH162*FH161</f>
        <v>0</v>
      </c>
      <c r="FJ162" s="86">
        <v>68</v>
      </c>
      <c r="FK162" s="86">
        <f>FJ162*FJ161</f>
        <v>204</v>
      </c>
      <c r="FL162" s="86">
        <v>104</v>
      </c>
      <c r="FM162" s="86">
        <f>FL162*FL161</f>
        <v>270.40000000000003</v>
      </c>
      <c r="FN162" s="86">
        <v>43</v>
      </c>
      <c r="FO162" s="86">
        <f>FN162*FN161</f>
        <v>133.30000000000001</v>
      </c>
      <c r="FP162" s="86">
        <v>76</v>
      </c>
      <c r="FQ162" s="86">
        <f>FP162*FP161</f>
        <v>308.55999999999995</v>
      </c>
      <c r="FR162" s="301"/>
      <c r="FS162" s="301"/>
      <c r="FT162" s="301"/>
      <c r="FU162" s="301"/>
      <c r="FV162" s="301"/>
      <c r="FW162" s="301"/>
      <c r="FX162" s="301"/>
      <c r="FY162" s="301"/>
      <c r="FZ162" s="301"/>
      <c r="GA162" s="301"/>
      <c r="GB162" s="301"/>
      <c r="GC162" s="392"/>
      <c r="GD162" s="392"/>
      <c r="GE162" s="392"/>
      <c r="GF162" s="301"/>
      <c r="GG162" s="301"/>
    </row>
    <row r="163" spans="1:189" ht="15" customHeight="1" outlineLevel="2" x14ac:dyDescent="0.3">
      <c r="A163" s="1"/>
      <c r="B163" s="302"/>
      <c r="C163" s="302"/>
      <c r="D163" s="302"/>
      <c r="E163" s="302"/>
      <c r="F163" s="302"/>
      <c r="G163" s="5" t="s">
        <v>128</v>
      </c>
      <c r="H163" s="5"/>
      <c r="I163" s="284">
        <f>SUM(K163:AH163)</f>
        <v>59128</v>
      </c>
      <c r="J163" s="281"/>
      <c r="K163" s="284">
        <v>6224</v>
      </c>
      <c r="L163" s="281"/>
      <c r="M163" s="284">
        <v>4509</v>
      </c>
      <c r="N163" s="281"/>
      <c r="O163" s="284">
        <v>3771</v>
      </c>
      <c r="P163" s="281"/>
      <c r="Q163" s="284">
        <v>3504</v>
      </c>
      <c r="R163" s="281"/>
      <c r="S163" s="284">
        <f>S108</f>
        <v>5711</v>
      </c>
      <c r="T163" s="281"/>
      <c r="U163" s="284">
        <f>U108</f>
        <v>4865</v>
      </c>
      <c r="V163" s="281"/>
      <c r="W163" s="284">
        <v>4277</v>
      </c>
      <c r="X163" s="281"/>
      <c r="Y163" s="284">
        <v>4374</v>
      </c>
      <c r="Z163" s="281"/>
      <c r="AA163" s="284">
        <v>4615</v>
      </c>
      <c r="AB163" s="281"/>
      <c r="AC163" s="284">
        <v>7093</v>
      </c>
      <c r="AD163" s="281"/>
      <c r="AE163" s="284">
        <v>6326</v>
      </c>
      <c r="AF163" s="281"/>
      <c r="AG163" s="284">
        <v>3859</v>
      </c>
      <c r="AH163" s="281"/>
      <c r="AI163" s="284">
        <v>2460</v>
      </c>
      <c r="AJ163" s="281"/>
      <c r="AK163" s="284">
        <v>2244</v>
      </c>
      <c r="AL163" s="281"/>
      <c r="AM163" s="284">
        <v>3872</v>
      </c>
      <c r="AN163" s="281"/>
      <c r="AO163" s="284">
        <v>2756</v>
      </c>
      <c r="AP163" s="281"/>
      <c r="AQ163" s="284">
        <v>1720</v>
      </c>
      <c r="AR163" s="281"/>
      <c r="AS163" s="335">
        <v>3146</v>
      </c>
      <c r="AT163" s="281"/>
      <c r="AU163" s="335">
        <v>4115</v>
      </c>
      <c r="AV163" s="281"/>
      <c r="AW163" s="284">
        <v>3062</v>
      </c>
      <c r="AX163" s="281"/>
      <c r="AY163" s="284">
        <v>2800</v>
      </c>
      <c r="AZ163" s="281"/>
      <c r="BA163" s="284">
        <v>2711</v>
      </c>
      <c r="BB163" s="281"/>
      <c r="BC163" s="284">
        <v>2093</v>
      </c>
      <c r="BD163" s="281"/>
      <c r="BE163" s="284">
        <v>4869</v>
      </c>
      <c r="BF163" s="281"/>
      <c r="BG163" s="284">
        <v>3807</v>
      </c>
      <c r="BH163" s="281"/>
      <c r="BI163" s="284">
        <v>2299</v>
      </c>
      <c r="BJ163" s="281"/>
      <c r="BK163" s="284">
        <v>3535</v>
      </c>
      <c r="BL163" s="281"/>
      <c r="BM163" s="284">
        <v>3289</v>
      </c>
      <c r="BN163" s="281"/>
      <c r="BO163" s="284">
        <v>2505</v>
      </c>
      <c r="BP163" s="281"/>
      <c r="BQ163" s="284">
        <v>2464</v>
      </c>
      <c r="BR163" s="281"/>
      <c r="BS163" s="284">
        <v>1203</v>
      </c>
      <c r="BT163" s="281"/>
      <c r="BU163" s="284">
        <v>784</v>
      </c>
      <c r="BV163" s="281"/>
      <c r="BW163" s="284">
        <v>362</v>
      </c>
      <c r="BX163" s="281"/>
      <c r="BY163" s="284">
        <v>175</v>
      </c>
      <c r="BZ163" s="281"/>
      <c r="CA163" s="284">
        <v>0</v>
      </c>
      <c r="CB163" s="281"/>
      <c r="CC163" s="284">
        <v>0</v>
      </c>
      <c r="CD163" s="281"/>
      <c r="CE163" s="284">
        <v>0</v>
      </c>
      <c r="CF163" s="281"/>
      <c r="CG163" s="284">
        <v>0</v>
      </c>
      <c r="CH163" s="281"/>
      <c r="CI163" s="284">
        <v>0</v>
      </c>
      <c r="CJ163" s="281"/>
      <c r="CK163" s="284">
        <v>1424</v>
      </c>
      <c r="CL163" s="281"/>
      <c r="CM163" s="284">
        <v>1828</v>
      </c>
      <c r="CN163" s="281"/>
      <c r="CO163" s="284">
        <v>1422</v>
      </c>
      <c r="CP163" s="281"/>
      <c r="CQ163" s="284">
        <v>1772</v>
      </c>
      <c r="CR163" s="281"/>
      <c r="CS163" s="284">
        <v>1449</v>
      </c>
      <c r="CT163" s="281"/>
      <c r="CU163" s="284">
        <v>1735</v>
      </c>
      <c r="CV163" s="281"/>
      <c r="CW163" s="284">
        <v>785</v>
      </c>
      <c r="CX163" s="281"/>
      <c r="CY163" s="284">
        <v>1556</v>
      </c>
      <c r="CZ163" s="281"/>
      <c r="DA163" s="284">
        <v>1084</v>
      </c>
      <c r="DB163" s="281"/>
      <c r="DC163" s="284">
        <v>781</v>
      </c>
      <c r="DD163" s="281"/>
      <c r="DE163" s="284">
        <v>852</v>
      </c>
      <c r="DF163" s="281"/>
      <c r="DG163" s="284">
        <v>1201</v>
      </c>
      <c r="DH163" s="281"/>
      <c r="DI163" s="284">
        <v>783</v>
      </c>
      <c r="DJ163" s="281"/>
      <c r="DK163" s="284">
        <v>733</v>
      </c>
      <c r="DL163" s="281"/>
      <c r="DM163" s="284">
        <v>838</v>
      </c>
      <c r="DN163" s="281"/>
      <c r="DO163" s="284">
        <v>931</v>
      </c>
      <c r="DP163" s="281"/>
      <c r="DQ163" s="284">
        <v>1144</v>
      </c>
      <c r="DR163" s="281"/>
      <c r="DS163" s="284">
        <v>1009</v>
      </c>
      <c r="DT163" s="281"/>
      <c r="DU163" s="302"/>
      <c r="DV163" s="302"/>
      <c r="DW163" s="302"/>
      <c r="DX163" s="302"/>
      <c r="DY163" s="302"/>
      <c r="DZ163" s="302"/>
      <c r="EA163" s="302"/>
      <c r="EB163" s="302"/>
      <c r="EC163" s="302"/>
      <c r="ED163" s="302"/>
      <c r="EE163" s="302"/>
      <c r="EF163" s="302"/>
      <c r="EG163" s="302"/>
      <c r="EH163" s="302"/>
      <c r="EI163" s="302"/>
      <c r="EJ163" s="302"/>
      <c r="EK163" s="302"/>
      <c r="EL163" s="302"/>
      <c r="EM163" s="302"/>
      <c r="EN163" s="284">
        <v>951</v>
      </c>
      <c r="EO163" s="281"/>
      <c r="EP163" s="284">
        <v>728</v>
      </c>
      <c r="EQ163" s="281"/>
      <c r="ER163" s="284">
        <v>529</v>
      </c>
      <c r="ES163" s="281"/>
      <c r="ET163" s="284">
        <v>848</v>
      </c>
      <c r="EU163" s="281"/>
      <c r="EV163" s="284">
        <v>56</v>
      </c>
      <c r="EW163" s="281"/>
      <c r="EX163" s="284">
        <v>102</v>
      </c>
      <c r="EY163" s="281"/>
      <c r="EZ163" s="284">
        <v>77</v>
      </c>
      <c r="FA163" s="281"/>
      <c r="FB163" s="284">
        <v>7</v>
      </c>
      <c r="FC163" s="281"/>
      <c r="FD163" s="284">
        <v>87</v>
      </c>
      <c r="FE163" s="281"/>
      <c r="FF163" s="284">
        <v>87</v>
      </c>
      <c r="FG163" s="281"/>
      <c r="FH163" s="284">
        <v>0</v>
      </c>
      <c r="FI163" s="281"/>
      <c r="FJ163" s="284">
        <v>309</v>
      </c>
      <c r="FK163" s="281"/>
      <c r="FL163" s="284">
        <v>503</v>
      </c>
      <c r="FM163" s="281"/>
      <c r="FN163" s="284">
        <v>405</v>
      </c>
      <c r="FO163" s="281"/>
      <c r="FP163" s="284">
        <v>432</v>
      </c>
      <c r="FQ163" s="281"/>
      <c r="FR163" s="302"/>
      <c r="FS163" s="302"/>
      <c r="FT163" s="302"/>
      <c r="FU163" s="302"/>
      <c r="FV163" s="302"/>
      <c r="FW163" s="302"/>
      <c r="FX163" s="302"/>
      <c r="FY163" s="302"/>
      <c r="FZ163" s="302"/>
      <c r="GA163" s="302"/>
      <c r="GB163" s="302"/>
      <c r="GC163" s="393"/>
      <c r="GD163" s="393"/>
      <c r="GE163" s="393"/>
      <c r="GF163" s="302"/>
      <c r="GG163" s="302"/>
    </row>
    <row r="164" spans="1:189" ht="8.25" customHeight="1" outlineLevel="2" x14ac:dyDescent="0.3">
      <c r="A164" s="1"/>
      <c r="B164" s="18"/>
      <c r="C164" s="18"/>
      <c r="D164" s="18"/>
      <c r="E164" s="18"/>
      <c r="F164" s="18"/>
      <c r="G164" s="3"/>
      <c r="H164" s="3"/>
      <c r="I164" s="19"/>
      <c r="J164" s="20"/>
      <c r="K164" s="19"/>
      <c r="L164" s="20"/>
      <c r="M164" s="19"/>
      <c r="N164" s="20"/>
      <c r="O164" s="19"/>
      <c r="P164" s="20"/>
      <c r="Q164" s="19"/>
      <c r="R164" s="20"/>
      <c r="S164" s="19"/>
      <c r="T164" s="20"/>
      <c r="U164" s="19"/>
      <c r="V164" s="20"/>
      <c r="W164" s="19"/>
      <c r="X164" s="20"/>
      <c r="Y164" s="19"/>
      <c r="Z164" s="20"/>
      <c r="AA164" s="19"/>
      <c r="AB164" s="20"/>
      <c r="AC164" s="19"/>
      <c r="AD164" s="26"/>
      <c r="AE164" s="19"/>
      <c r="AF164" s="26"/>
      <c r="AG164" s="19"/>
      <c r="AH164" s="26"/>
      <c r="AI164" s="19"/>
      <c r="AJ164" s="26"/>
      <c r="AK164" s="19"/>
      <c r="AL164" s="26"/>
      <c r="AM164" s="19"/>
      <c r="AN164" s="26"/>
      <c r="AO164" s="19"/>
      <c r="AP164" s="26"/>
      <c r="AQ164" s="19"/>
      <c r="AR164" s="26"/>
      <c r="AS164" s="19"/>
      <c r="AT164" s="26"/>
      <c r="AU164" s="19"/>
      <c r="AV164" s="26"/>
      <c r="AW164" s="19"/>
      <c r="AX164" s="26"/>
      <c r="AY164" s="19"/>
      <c r="AZ164" s="26"/>
      <c r="BA164" s="19"/>
      <c r="BB164" s="26"/>
      <c r="BC164" s="19"/>
      <c r="BD164" s="26"/>
      <c r="BE164" s="19"/>
      <c r="BF164" s="26"/>
      <c r="BG164" s="19"/>
      <c r="BH164" s="26"/>
      <c r="BI164" s="19"/>
      <c r="BJ164" s="26"/>
      <c r="BK164" s="19"/>
      <c r="BL164" s="26"/>
      <c r="BM164" s="19"/>
      <c r="BN164" s="26"/>
      <c r="BO164" s="19"/>
      <c r="BP164" s="26"/>
      <c r="BQ164" s="19"/>
      <c r="BR164" s="26"/>
      <c r="BS164" s="19"/>
      <c r="BT164" s="26"/>
      <c r="BU164" s="19"/>
      <c r="BV164" s="26"/>
      <c r="BW164" s="19"/>
      <c r="BX164" s="26"/>
      <c r="BY164" s="19"/>
      <c r="BZ164" s="26"/>
      <c r="CA164" s="19"/>
      <c r="CB164" s="26"/>
      <c r="CC164" s="19"/>
      <c r="CD164" s="26"/>
      <c r="CE164" s="19"/>
      <c r="CF164" s="26"/>
      <c r="CG164" s="19"/>
      <c r="CH164" s="26"/>
      <c r="CI164" s="19"/>
      <c r="CJ164" s="26"/>
      <c r="CK164" s="19"/>
      <c r="CL164" s="26"/>
      <c r="CM164" s="19"/>
      <c r="CN164" s="26"/>
      <c r="CO164" s="19"/>
      <c r="CP164" s="26"/>
      <c r="CQ164" s="19"/>
      <c r="CR164" s="26"/>
      <c r="CS164" s="19"/>
      <c r="CT164" s="26"/>
      <c r="CU164" s="19"/>
      <c r="CV164" s="26"/>
      <c r="CW164" s="19"/>
      <c r="CX164" s="26"/>
      <c r="CY164" s="19"/>
      <c r="CZ164" s="26"/>
      <c r="DA164" s="19"/>
      <c r="DB164" s="26"/>
      <c r="DC164" s="19"/>
      <c r="DD164" s="26"/>
      <c r="DE164" s="19"/>
      <c r="DF164" s="26"/>
      <c r="DG164" s="19"/>
      <c r="DH164" s="26"/>
      <c r="DI164" s="19"/>
      <c r="DJ164" s="26"/>
      <c r="DK164" s="19"/>
      <c r="DL164" s="26"/>
      <c r="DM164" s="19"/>
      <c r="DN164" s="26"/>
      <c r="DO164" s="19"/>
      <c r="DP164" s="26"/>
      <c r="DQ164" s="19"/>
      <c r="DR164" s="26"/>
      <c r="DS164" s="19"/>
      <c r="DT164" s="26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19"/>
      <c r="EO164" s="26"/>
      <c r="EP164" s="19"/>
      <c r="EQ164" s="26"/>
      <c r="ER164" s="19"/>
      <c r="ES164" s="26"/>
      <c r="ET164" s="19"/>
      <c r="EU164" s="26"/>
      <c r="EV164" s="19"/>
      <c r="EW164" s="26"/>
      <c r="EX164" s="19"/>
      <c r="EY164" s="26"/>
      <c r="EZ164" s="19"/>
      <c r="FA164" s="26"/>
      <c r="FB164" s="19"/>
      <c r="FC164" s="26"/>
      <c r="FD164" s="19"/>
      <c r="FE164" s="26"/>
      <c r="FF164" s="19"/>
      <c r="FG164" s="26"/>
      <c r="FH164" s="19"/>
      <c r="FI164" s="26"/>
      <c r="FJ164" s="19"/>
      <c r="FK164" s="26"/>
      <c r="FL164" s="19"/>
      <c r="FM164" s="26"/>
      <c r="FN164" s="19"/>
      <c r="FO164" s="26"/>
      <c r="FP164" s="19"/>
      <c r="FQ164" s="26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</row>
    <row r="165" spans="1:189" ht="15" customHeight="1" outlineLevel="1" x14ac:dyDescent="0.3">
      <c r="A165" s="63"/>
      <c r="B165" s="313" t="s">
        <v>129</v>
      </c>
      <c r="C165" s="313" t="s">
        <v>47</v>
      </c>
      <c r="D165" s="313" t="s">
        <v>96</v>
      </c>
      <c r="E165" s="313" t="s">
        <v>130</v>
      </c>
      <c r="F165" s="313" t="s">
        <v>114</v>
      </c>
      <c r="G165" s="5" t="s">
        <v>28</v>
      </c>
      <c r="H165" s="5"/>
      <c r="I165" s="358">
        <v>3</v>
      </c>
      <c r="J165" s="281"/>
      <c r="K165" s="327" t="s">
        <v>131</v>
      </c>
      <c r="L165" s="281"/>
      <c r="M165" s="327" t="s">
        <v>131</v>
      </c>
      <c r="N165" s="281"/>
      <c r="O165" s="327" t="s">
        <v>131</v>
      </c>
      <c r="P165" s="281"/>
      <c r="Q165" s="358">
        <v>3</v>
      </c>
      <c r="R165" s="281"/>
      <c r="S165" s="358">
        <v>3</v>
      </c>
      <c r="T165" s="281"/>
      <c r="U165" s="358">
        <v>3</v>
      </c>
      <c r="V165" s="281"/>
      <c r="W165" s="358">
        <v>3</v>
      </c>
      <c r="X165" s="281"/>
      <c r="Y165" s="358">
        <v>3</v>
      </c>
      <c r="Z165" s="281"/>
      <c r="AA165" s="358">
        <v>3</v>
      </c>
      <c r="AB165" s="281"/>
      <c r="AC165" s="358">
        <v>3</v>
      </c>
      <c r="AD165" s="281"/>
      <c r="AE165" s="358">
        <v>3</v>
      </c>
      <c r="AF165" s="281"/>
      <c r="AG165" s="358">
        <v>3</v>
      </c>
      <c r="AH165" s="281"/>
      <c r="AI165" s="358">
        <v>3</v>
      </c>
      <c r="AJ165" s="281"/>
      <c r="AK165" s="358">
        <v>3</v>
      </c>
      <c r="AL165" s="281"/>
      <c r="AM165" s="358">
        <v>3</v>
      </c>
      <c r="AN165" s="281"/>
      <c r="AO165" s="358">
        <v>3</v>
      </c>
      <c r="AP165" s="281"/>
      <c r="AQ165" s="459">
        <v>3</v>
      </c>
      <c r="AR165" s="281"/>
      <c r="AS165" s="358">
        <v>3</v>
      </c>
      <c r="AT165" s="281"/>
      <c r="AU165" s="358">
        <v>3</v>
      </c>
      <c r="AV165" s="281"/>
      <c r="AW165" s="358">
        <v>3</v>
      </c>
      <c r="AX165" s="281"/>
      <c r="AY165" s="358">
        <v>3</v>
      </c>
      <c r="AZ165" s="281"/>
      <c r="BA165" s="358">
        <v>3</v>
      </c>
      <c r="BB165" s="281"/>
      <c r="BC165" s="358">
        <v>3</v>
      </c>
      <c r="BD165" s="281"/>
      <c r="BE165" s="358">
        <v>3</v>
      </c>
      <c r="BF165" s="281"/>
      <c r="BG165" s="358">
        <v>3</v>
      </c>
      <c r="BH165" s="281"/>
      <c r="BI165" s="358">
        <v>3</v>
      </c>
      <c r="BJ165" s="281"/>
      <c r="BK165" s="358">
        <v>3</v>
      </c>
      <c r="BL165" s="281"/>
      <c r="BM165" s="358">
        <v>3</v>
      </c>
      <c r="BN165" s="281"/>
      <c r="BO165" s="358">
        <v>3</v>
      </c>
      <c r="BP165" s="281"/>
      <c r="BQ165" s="358">
        <v>3</v>
      </c>
      <c r="BR165" s="281"/>
      <c r="BS165" s="358">
        <v>3</v>
      </c>
      <c r="BT165" s="281"/>
      <c r="BU165" s="358">
        <v>3</v>
      </c>
      <c r="BV165" s="281"/>
      <c r="BW165" s="358">
        <v>3</v>
      </c>
      <c r="BX165" s="281"/>
      <c r="BY165" s="358">
        <v>3</v>
      </c>
      <c r="BZ165" s="281"/>
      <c r="CA165" s="358">
        <v>3</v>
      </c>
      <c r="CB165" s="281"/>
      <c r="CC165" s="358">
        <v>3</v>
      </c>
      <c r="CD165" s="281"/>
      <c r="CE165" s="358">
        <v>3</v>
      </c>
      <c r="CF165" s="281"/>
      <c r="CG165" s="358">
        <v>3</v>
      </c>
      <c r="CH165" s="281"/>
      <c r="CI165" s="358">
        <v>3</v>
      </c>
      <c r="CJ165" s="281"/>
      <c r="CK165" s="358">
        <v>3</v>
      </c>
      <c r="CL165" s="281"/>
      <c r="CM165" s="358">
        <v>3</v>
      </c>
      <c r="CN165" s="281"/>
      <c r="CO165" s="358">
        <v>3</v>
      </c>
      <c r="CP165" s="281"/>
      <c r="CQ165" s="358">
        <v>3</v>
      </c>
      <c r="CR165" s="281"/>
      <c r="CS165" s="358">
        <v>3</v>
      </c>
      <c r="CT165" s="281"/>
      <c r="CU165" s="358">
        <v>3</v>
      </c>
      <c r="CV165" s="281"/>
      <c r="CW165" s="358">
        <v>3</v>
      </c>
      <c r="CX165" s="281"/>
      <c r="CY165" s="358">
        <v>3</v>
      </c>
      <c r="CZ165" s="281"/>
      <c r="DA165" s="358">
        <v>3</v>
      </c>
      <c r="DB165" s="281"/>
      <c r="DC165" s="358">
        <v>3</v>
      </c>
      <c r="DD165" s="281"/>
      <c r="DE165" s="358">
        <v>3</v>
      </c>
      <c r="DF165" s="281"/>
      <c r="DG165" s="358">
        <v>3</v>
      </c>
      <c r="DH165" s="281"/>
      <c r="DI165" s="358">
        <v>3</v>
      </c>
      <c r="DJ165" s="281"/>
      <c r="DK165" s="358">
        <v>3</v>
      </c>
      <c r="DL165" s="281"/>
      <c r="DM165" s="358">
        <v>3</v>
      </c>
      <c r="DN165" s="281"/>
      <c r="DO165" s="358">
        <v>3</v>
      </c>
      <c r="DP165" s="281"/>
      <c r="DQ165" s="358">
        <v>3</v>
      </c>
      <c r="DR165" s="281"/>
      <c r="DS165" s="358">
        <v>3</v>
      </c>
      <c r="DT165" s="281"/>
      <c r="DU165" s="311" t="s">
        <v>29</v>
      </c>
      <c r="DV165" s="311" t="s">
        <v>29</v>
      </c>
      <c r="DW165" s="311" t="s">
        <v>29</v>
      </c>
      <c r="DX165" s="311" t="s">
        <v>29</v>
      </c>
      <c r="DY165" s="311" t="s">
        <v>29</v>
      </c>
      <c r="DZ165" s="311" t="s">
        <v>29</v>
      </c>
      <c r="EA165" s="311" t="s">
        <v>29</v>
      </c>
      <c r="EB165" s="311" t="s">
        <v>29</v>
      </c>
      <c r="EC165" s="311" t="s">
        <v>29</v>
      </c>
      <c r="ED165" s="311" t="s">
        <v>29</v>
      </c>
      <c r="EE165" s="311" t="s">
        <v>29</v>
      </c>
      <c r="EF165" s="311" t="s">
        <v>29</v>
      </c>
      <c r="EG165" s="311" t="s">
        <v>29</v>
      </c>
      <c r="EH165" s="311" t="s">
        <v>29</v>
      </c>
      <c r="EI165" s="311" t="s">
        <v>29</v>
      </c>
      <c r="EJ165" s="311" t="s">
        <v>29</v>
      </c>
      <c r="EK165" s="311" t="s">
        <v>29</v>
      </c>
      <c r="EL165" s="311" t="s">
        <v>29</v>
      </c>
      <c r="EM165" s="311"/>
      <c r="EN165" s="358">
        <v>3</v>
      </c>
      <c r="EO165" s="281"/>
      <c r="EP165" s="358">
        <v>3</v>
      </c>
      <c r="EQ165" s="281"/>
      <c r="ER165" s="358">
        <v>3</v>
      </c>
      <c r="ES165" s="281"/>
      <c r="ET165" s="358">
        <v>3</v>
      </c>
      <c r="EU165" s="281"/>
      <c r="EV165" s="358">
        <v>3</v>
      </c>
      <c r="EW165" s="281"/>
      <c r="EX165" s="358">
        <v>3</v>
      </c>
      <c r="EY165" s="281"/>
      <c r="EZ165" s="358">
        <v>3</v>
      </c>
      <c r="FA165" s="281"/>
      <c r="FB165" s="358">
        <v>3</v>
      </c>
      <c r="FC165" s="281"/>
      <c r="FD165" s="358">
        <v>3</v>
      </c>
      <c r="FE165" s="281"/>
      <c r="FF165" s="358">
        <v>3</v>
      </c>
      <c r="FG165" s="281"/>
      <c r="FH165" s="358">
        <v>3</v>
      </c>
      <c r="FI165" s="281"/>
      <c r="FJ165" s="357">
        <v>3</v>
      </c>
      <c r="FK165" s="281"/>
      <c r="FL165" s="357">
        <v>3</v>
      </c>
      <c r="FM165" s="281"/>
      <c r="FN165" s="357">
        <v>3</v>
      </c>
      <c r="FO165" s="281"/>
      <c r="FP165" s="357">
        <v>3</v>
      </c>
      <c r="FQ165" s="281"/>
      <c r="FR165" s="311" t="s">
        <v>29</v>
      </c>
      <c r="FS165" s="311" t="s">
        <v>29</v>
      </c>
      <c r="FT165" s="311" t="s">
        <v>29</v>
      </c>
      <c r="FU165" s="311" t="s">
        <v>29</v>
      </c>
      <c r="FV165" s="311" t="s">
        <v>29</v>
      </c>
      <c r="FW165" s="311" t="s">
        <v>29</v>
      </c>
      <c r="FX165" s="311" t="s">
        <v>29</v>
      </c>
      <c r="FY165" s="311" t="s">
        <v>29</v>
      </c>
      <c r="FZ165" s="311" t="s">
        <v>29</v>
      </c>
      <c r="GA165" s="311" t="s">
        <v>29</v>
      </c>
      <c r="GB165" s="311" t="s">
        <v>29</v>
      </c>
      <c r="GC165" s="311" t="s">
        <v>29</v>
      </c>
      <c r="GD165" s="311" t="s">
        <v>29</v>
      </c>
      <c r="GE165" s="311" t="s">
        <v>29</v>
      </c>
      <c r="GF165" s="311" t="s">
        <v>29</v>
      </c>
      <c r="GG165" s="311" t="s">
        <v>29</v>
      </c>
    </row>
    <row r="166" spans="1:189" ht="4.5" customHeight="1" outlineLevel="1" x14ac:dyDescent="0.3">
      <c r="A166" s="1"/>
      <c r="B166" s="301"/>
      <c r="C166" s="301"/>
      <c r="D166" s="301"/>
      <c r="E166" s="301"/>
      <c r="F166" s="301"/>
      <c r="G166" s="5"/>
      <c r="H166" s="5"/>
      <c r="I166" s="422"/>
      <c r="J166" s="281"/>
      <c r="K166" s="280"/>
      <c r="L166" s="281"/>
      <c r="M166" s="280"/>
      <c r="N166" s="281"/>
      <c r="O166" s="280"/>
      <c r="P166" s="281"/>
      <c r="Q166" s="422"/>
      <c r="R166" s="281"/>
      <c r="S166" s="422"/>
      <c r="T166" s="281"/>
      <c r="U166" s="422"/>
      <c r="V166" s="281"/>
      <c r="W166" s="422"/>
      <c r="X166" s="281"/>
      <c r="Y166" s="422"/>
      <c r="Z166" s="281"/>
      <c r="AA166" s="422"/>
      <c r="AB166" s="281"/>
      <c r="AC166" s="422"/>
      <c r="AD166" s="281"/>
      <c r="AE166" s="422"/>
      <c r="AF166" s="281"/>
      <c r="AG166" s="422"/>
      <c r="AH166" s="281"/>
      <c r="AI166" s="422"/>
      <c r="AJ166" s="281"/>
      <c r="AK166" s="422"/>
      <c r="AL166" s="281"/>
      <c r="AM166" s="422"/>
      <c r="AN166" s="281"/>
      <c r="AO166" s="371"/>
      <c r="AP166" s="281"/>
      <c r="AQ166" s="428"/>
      <c r="AR166" s="281"/>
      <c r="AS166" s="422"/>
      <c r="AT166" s="281"/>
      <c r="AU166" s="422"/>
      <c r="AV166" s="281"/>
      <c r="AW166" s="422"/>
      <c r="AX166" s="281"/>
      <c r="AY166" s="422"/>
      <c r="AZ166" s="281"/>
      <c r="BA166" s="422"/>
      <c r="BB166" s="281"/>
      <c r="BC166" s="422"/>
      <c r="BD166" s="281"/>
      <c r="BE166" s="371"/>
      <c r="BF166" s="281"/>
      <c r="BG166" s="422"/>
      <c r="BH166" s="281"/>
      <c r="BI166" s="422"/>
      <c r="BJ166" s="281"/>
      <c r="BK166" s="422"/>
      <c r="BL166" s="281"/>
      <c r="BM166" s="422"/>
      <c r="BN166" s="281"/>
      <c r="BO166" s="422"/>
      <c r="BP166" s="281"/>
      <c r="BQ166" s="422"/>
      <c r="BR166" s="281"/>
      <c r="BS166" s="422"/>
      <c r="BT166" s="281"/>
      <c r="BU166" s="422"/>
      <c r="BV166" s="281"/>
      <c r="BW166" s="422"/>
      <c r="BX166" s="281"/>
      <c r="BY166" s="422"/>
      <c r="BZ166" s="281"/>
      <c r="CA166" s="422"/>
      <c r="CB166" s="281"/>
      <c r="CC166" s="422"/>
      <c r="CD166" s="281"/>
      <c r="CE166" s="422"/>
      <c r="CF166" s="281"/>
      <c r="CG166" s="371"/>
      <c r="CH166" s="281"/>
      <c r="CI166" s="371"/>
      <c r="CJ166" s="281"/>
      <c r="CK166" s="371"/>
      <c r="CL166" s="281"/>
      <c r="CM166" s="422"/>
      <c r="CN166" s="281"/>
      <c r="CO166" s="422"/>
      <c r="CP166" s="281"/>
      <c r="CQ166" s="422"/>
      <c r="CR166" s="281"/>
      <c r="CS166" s="422"/>
      <c r="CT166" s="281"/>
      <c r="CU166" s="371"/>
      <c r="CV166" s="281"/>
      <c r="CW166" s="371"/>
      <c r="CX166" s="281"/>
      <c r="CY166" s="422"/>
      <c r="CZ166" s="281"/>
      <c r="DA166" s="422"/>
      <c r="DB166" s="281"/>
      <c r="DC166" s="351"/>
      <c r="DD166" s="281"/>
      <c r="DE166" s="351"/>
      <c r="DF166" s="281"/>
      <c r="DG166" s="351"/>
      <c r="DH166" s="281"/>
      <c r="DI166" s="328"/>
      <c r="DJ166" s="281"/>
      <c r="DK166" s="328"/>
      <c r="DL166" s="281"/>
      <c r="DM166" s="328"/>
      <c r="DN166" s="281"/>
      <c r="DO166" s="328"/>
      <c r="DP166" s="281"/>
      <c r="DQ166" s="351"/>
      <c r="DR166" s="281"/>
      <c r="DS166" s="328"/>
      <c r="DT166" s="281"/>
      <c r="DU166" s="301"/>
      <c r="DV166" s="301"/>
      <c r="DW166" s="301"/>
      <c r="DX166" s="301"/>
      <c r="DY166" s="301"/>
      <c r="DZ166" s="301"/>
      <c r="EA166" s="301"/>
      <c r="EB166" s="301"/>
      <c r="EC166" s="301"/>
      <c r="ED166" s="301"/>
      <c r="EE166" s="301"/>
      <c r="EF166" s="301"/>
      <c r="EG166" s="301"/>
      <c r="EH166" s="301"/>
      <c r="EI166" s="301"/>
      <c r="EJ166" s="301"/>
      <c r="EK166" s="301"/>
      <c r="EL166" s="301"/>
      <c r="EM166" s="301"/>
      <c r="EN166" s="328"/>
      <c r="EO166" s="281"/>
      <c r="EP166" s="328"/>
      <c r="EQ166" s="281"/>
      <c r="ER166" s="328"/>
      <c r="ES166" s="281"/>
      <c r="ET166" s="328"/>
      <c r="EU166" s="281"/>
      <c r="EV166" s="328"/>
      <c r="EW166" s="281"/>
      <c r="EX166" s="328"/>
      <c r="EY166" s="281"/>
      <c r="EZ166" s="328"/>
      <c r="FA166" s="281"/>
      <c r="FB166" s="328"/>
      <c r="FC166" s="281"/>
      <c r="FD166" s="328"/>
      <c r="FE166" s="281"/>
      <c r="FF166" s="328"/>
      <c r="FG166" s="281"/>
      <c r="FH166" s="328"/>
      <c r="FI166" s="281"/>
      <c r="FJ166" s="328"/>
      <c r="FK166" s="281"/>
      <c r="FL166" s="328"/>
      <c r="FM166" s="281"/>
      <c r="FN166" s="363"/>
      <c r="FO166" s="364"/>
      <c r="FP166" s="328"/>
      <c r="FQ166" s="281"/>
      <c r="FR166" s="301"/>
      <c r="FS166" s="301"/>
      <c r="FT166" s="301"/>
      <c r="FU166" s="301"/>
      <c r="FV166" s="301"/>
      <c r="FW166" s="301"/>
      <c r="FX166" s="301"/>
      <c r="FY166" s="301"/>
      <c r="FZ166" s="301"/>
      <c r="GA166" s="301"/>
      <c r="GB166" s="301"/>
      <c r="GC166" s="301"/>
      <c r="GD166" s="301"/>
      <c r="GE166" s="301"/>
      <c r="GF166" s="301"/>
      <c r="GG166" s="301"/>
    </row>
    <row r="167" spans="1:189" ht="15" customHeight="1" outlineLevel="1" x14ac:dyDescent="0.3">
      <c r="A167" s="1"/>
      <c r="B167" s="301"/>
      <c r="C167" s="301"/>
      <c r="D167" s="301"/>
      <c r="E167" s="301"/>
      <c r="F167" s="301"/>
      <c r="G167" s="5" t="s">
        <v>30</v>
      </c>
      <c r="H167" s="5"/>
      <c r="I167" s="341">
        <f>AVERAGE(K167:AH167)</f>
        <v>3.2455555555555557</v>
      </c>
      <c r="J167" s="281"/>
      <c r="K167" s="327" t="s">
        <v>131</v>
      </c>
      <c r="L167" s="281"/>
      <c r="M167" s="327" t="s">
        <v>131</v>
      </c>
      <c r="N167" s="281"/>
      <c r="O167" s="327" t="s">
        <v>131</v>
      </c>
      <c r="P167" s="281"/>
      <c r="Q167" s="341">
        <v>3</v>
      </c>
      <c r="R167" s="281"/>
      <c r="S167" s="341">
        <v>3</v>
      </c>
      <c r="T167" s="281"/>
      <c r="U167" s="341">
        <v>3.4</v>
      </c>
      <c r="V167" s="281"/>
      <c r="W167" s="341">
        <v>3.4</v>
      </c>
      <c r="X167" s="281"/>
      <c r="Y167" s="341">
        <v>3.19</v>
      </c>
      <c r="Z167" s="281"/>
      <c r="AA167" s="341">
        <v>3.05</v>
      </c>
      <c r="AB167" s="281"/>
      <c r="AC167" s="341">
        <v>3.07</v>
      </c>
      <c r="AD167" s="281"/>
      <c r="AE167" s="341">
        <v>3.8</v>
      </c>
      <c r="AF167" s="281"/>
      <c r="AG167" s="341">
        <v>3.3</v>
      </c>
      <c r="AH167" s="281"/>
      <c r="AI167" s="341">
        <v>3.2</v>
      </c>
      <c r="AJ167" s="281"/>
      <c r="AK167" s="341">
        <v>3.2</v>
      </c>
      <c r="AL167" s="281"/>
      <c r="AM167" s="341">
        <v>3.3</v>
      </c>
      <c r="AN167" s="281"/>
      <c r="AO167" s="341">
        <v>2</v>
      </c>
      <c r="AP167" s="281"/>
      <c r="AQ167" s="460"/>
      <c r="AR167" s="281"/>
      <c r="AS167" s="341">
        <v>4</v>
      </c>
      <c r="AT167" s="281"/>
      <c r="AU167" s="341">
        <v>3.2</v>
      </c>
      <c r="AV167" s="281"/>
      <c r="AW167" s="341">
        <v>3.7</v>
      </c>
      <c r="AX167" s="281"/>
      <c r="AY167" s="341">
        <v>3.3</v>
      </c>
      <c r="AZ167" s="281"/>
      <c r="BA167" s="341">
        <v>3.3</v>
      </c>
      <c r="BB167" s="281"/>
      <c r="BC167" s="341">
        <v>3.3</v>
      </c>
      <c r="BD167" s="281"/>
      <c r="BE167" s="341">
        <v>2.9</v>
      </c>
      <c r="BF167" s="281"/>
      <c r="BG167" s="341">
        <v>3.3</v>
      </c>
      <c r="BH167" s="281"/>
      <c r="BI167" s="341">
        <v>3.4</v>
      </c>
      <c r="BJ167" s="281"/>
      <c r="BK167" s="341">
        <v>3.5</v>
      </c>
      <c r="BL167" s="281"/>
      <c r="BM167" s="341">
        <v>3.5</v>
      </c>
      <c r="BN167" s="281"/>
      <c r="BO167" s="341">
        <v>4</v>
      </c>
      <c r="BP167" s="281"/>
      <c r="BQ167" s="341">
        <v>3.6</v>
      </c>
      <c r="BR167" s="281"/>
      <c r="BS167" s="341">
        <v>3.5</v>
      </c>
      <c r="BT167" s="281"/>
      <c r="BU167" s="341">
        <v>3.8</v>
      </c>
      <c r="BV167" s="281"/>
      <c r="BW167" s="341">
        <v>3.9</v>
      </c>
      <c r="BX167" s="281"/>
      <c r="BY167" s="341">
        <v>3.7</v>
      </c>
      <c r="BZ167" s="281"/>
      <c r="CA167" s="341">
        <v>3.5</v>
      </c>
      <c r="CB167" s="281"/>
      <c r="CC167" s="341">
        <v>3.4</v>
      </c>
      <c r="CD167" s="281"/>
      <c r="CE167" s="341">
        <v>3.8</v>
      </c>
      <c r="CF167" s="281"/>
      <c r="CG167" s="341">
        <v>2.8</v>
      </c>
      <c r="CH167" s="281"/>
      <c r="CI167" s="341">
        <v>2.9</v>
      </c>
      <c r="CJ167" s="281"/>
      <c r="CK167" s="341">
        <v>1.3</v>
      </c>
      <c r="CL167" s="281"/>
      <c r="CM167" s="341">
        <v>3</v>
      </c>
      <c r="CN167" s="281"/>
      <c r="CO167" s="341">
        <v>3</v>
      </c>
      <c r="CP167" s="281"/>
      <c r="CQ167" s="341">
        <v>3</v>
      </c>
      <c r="CR167" s="281"/>
      <c r="CS167" s="341">
        <v>3</v>
      </c>
      <c r="CT167" s="281"/>
      <c r="CU167" s="341">
        <v>2.9</v>
      </c>
      <c r="CV167" s="281"/>
      <c r="CW167" s="341">
        <v>2.9</v>
      </c>
      <c r="CX167" s="281"/>
      <c r="CY167" s="341">
        <v>3</v>
      </c>
      <c r="CZ167" s="281"/>
      <c r="DA167" s="341">
        <v>3</v>
      </c>
      <c r="DB167" s="281"/>
      <c r="DC167" s="341">
        <v>2.9</v>
      </c>
      <c r="DD167" s="281"/>
      <c r="DE167" s="341">
        <v>2.9</v>
      </c>
      <c r="DF167" s="281"/>
      <c r="DG167" s="341">
        <v>2.9</v>
      </c>
      <c r="DH167" s="281"/>
      <c r="DI167" s="341">
        <v>3</v>
      </c>
      <c r="DJ167" s="281"/>
      <c r="DK167" s="341">
        <v>3</v>
      </c>
      <c r="DL167" s="281"/>
      <c r="DM167" s="341">
        <v>3</v>
      </c>
      <c r="DN167" s="281"/>
      <c r="DO167" s="341">
        <v>3</v>
      </c>
      <c r="DP167" s="281"/>
      <c r="DQ167" s="341">
        <v>2.9</v>
      </c>
      <c r="DR167" s="281"/>
      <c r="DS167" s="341">
        <v>3.1</v>
      </c>
      <c r="DT167" s="281"/>
      <c r="DU167" s="301"/>
      <c r="DV167" s="301"/>
      <c r="DW167" s="301"/>
      <c r="DX167" s="301"/>
      <c r="DY167" s="301"/>
      <c r="DZ167" s="301"/>
      <c r="EA167" s="301"/>
      <c r="EB167" s="301"/>
      <c r="EC167" s="301"/>
      <c r="ED167" s="301"/>
      <c r="EE167" s="301"/>
      <c r="EF167" s="301"/>
      <c r="EG167" s="301"/>
      <c r="EH167" s="301"/>
      <c r="EI167" s="301"/>
      <c r="EJ167" s="301"/>
      <c r="EK167" s="301"/>
      <c r="EL167" s="301"/>
      <c r="EM167" s="301"/>
      <c r="EN167" s="341">
        <v>3.1</v>
      </c>
      <c r="EO167" s="281"/>
      <c r="EP167" s="341">
        <v>3.1</v>
      </c>
      <c r="EQ167" s="281"/>
      <c r="ER167" s="341">
        <v>3</v>
      </c>
      <c r="ES167" s="281"/>
      <c r="ET167" s="341">
        <v>3</v>
      </c>
      <c r="EU167" s="281"/>
      <c r="EV167" s="341">
        <v>3.1</v>
      </c>
      <c r="EW167" s="281"/>
      <c r="EX167" s="341">
        <v>3.1</v>
      </c>
      <c r="EY167" s="281"/>
      <c r="EZ167" s="341">
        <v>3.1</v>
      </c>
      <c r="FA167" s="281"/>
      <c r="FB167" s="341">
        <v>3</v>
      </c>
      <c r="FC167" s="281"/>
      <c r="FD167" s="341">
        <v>3</v>
      </c>
      <c r="FE167" s="281"/>
      <c r="FF167" s="341">
        <v>3.1</v>
      </c>
      <c r="FG167" s="281"/>
      <c r="FH167" s="341">
        <v>3.1</v>
      </c>
      <c r="FI167" s="281"/>
      <c r="FJ167" s="341">
        <v>3.1</v>
      </c>
      <c r="FK167" s="281"/>
      <c r="FL167" s="341">
        <v>3.1</v>
      </c>
      <c r="FM167" s="281"/>
      <c r="FN167" s="357">
        <v>2.9</v>
      </c>
      <c r="FO167" s="281"/>
      <c r="FP167" s="357">
        <v>4.41</v>
      </c>
      <c r="FQ167" s="281"/>
      <c r="FR167" s="301"/>
      <c r="FS167" s="301"/>
      <c r="FT167" s="301"/>
      <c r="FU167" s="301"/>
      <c r="FV167" s="301"/>
      <c r="FW167" s="301"/>
      <c r="FX167" s="301"/>
      <c r="FY167" s="301"/>
      <c r="FZ167" s="301"/>
      <c r="GA167" s="301"/>
      <c r="GB167" s="301"/>
      <c r="GC167" s="301"/>
      <c r="GD167" s="301"/>
      <c r="GE167" s="301"/>
      <c r="GF167" s="301"/>
      <c r="GG167" s="301"/>
    </row>
    <row r="168" spans="1:189" ht="15" customHeight="1" outlineLevel="2" x14ac:dyDescent="0.3">
      <c r="A168" s="1"/>
      <c r="B168" s="301"/>
      <c r="C168" s="301"/>
      <c r="D168" s="301"/>
      <c r="E168" s="301"/>
      <c r="F168" s="301"/>
      <c r="G168" s="5" t="s">
        <v>132</v>
      </c>
      <c r="H168" s="5"/>
      <c r="I168" s="284">
        <f t="shared" ref="I168:I169" si="386">SUM(K168:AH168)</f>
        <v>2601</v>
      </c>
      <c r="J168" s="281"/>
      <c r="K168" s="284"/>
      <c r="L168" s="281"/>
      <c r="M168" s="284"/>
      <c r="N168" s="281"/>
      <c r="O168" s="284"/>
      <c r="P168" s="281"/>
      <c r="Q168" s="284">
        <v>278</v>
      </c>
      <c r="R168" s="281"/>
      <c r="S168" s="284">
        <v>446</v>
      </c>
      <c r="T168" s="281"/>
      <c r="U168" s="284">
        <v>404</v>
      </c>
      <c r="V168" s="281"/>
      <c r="W168" s="284">
        <v>411</v>
      </c>
      <c r="X168" s="281"/>
      <c r="Y168" s="284">
        <v>360</v>
      </c>
      <c r="Z168" s="281"/>
      <c r="AA168" s="284">
        <v>259</v>
      </c>
      <c r="AB168" s="281"/>
      <c r="AC168" s="284">
        <v>230</v>
      </c>
      <c r="AD168" s="281"/>
      <c r="AE168" s="284">
        <v>135</v>
      </c>
      <c r="AF168" s="281"/>
      <c r="AG168" s="284">
        <v>78</v>
      </c>
      <c r="AH168" s="281"/>
      <c r="AI168" s="284">
        <v>94</v>
      </c>
      <c r="AJ168" s="281"/>
      <c r="AK168" s="284">
        <v>115</v>
      </c>
      <c r="AL168" s="281"/>
      <c r="AM168" s="284">
        <v>73</v>
      </c>
      <c r="AN168" s="281"/>
      <c r="AO168" s="284">
        <v>2</v>
      </c>
      <c r="AP168" s="281"/>
      <c r="AQ168" s="428"/>
      <c r="AR168" s="281"/>
      <c r="AS168" s="284">
        <v>25</v>
      </c>
      <c r="AT168" s="281"/>
      <c r="AU168" s="284">
        <v>54</v>
      </c>
      <c r="AV168" s="281"/>
      <c r="AW168" s="284">
        <v>60</v>
      </c>
      <c r="AX168" s="281"/>
      <c r="AY168" s="284">
        <v>78</v>
      </c>
      <c r="AZ168" s="281"/>
      <c r="BA168" s="284">
        <v>72</v>
      </c>
      <c r="BB168" s="281"/>
      <c r="BC168" s="284">
        <v>82</v>
      </c>
      <c r="BD168" s="281"/>
      <c r="BE168" s="284">
        <v>44</v>
      </c>
      <c r="BF168" s="281"/>
      <c r="BG168" s="284">
        <v>24</v>
      </c>
      <c r="BH168" s="281"/>
      <c r="BI168" s="284">
        <v>40</v>
      </c>
      <c r="BJ168" s="281"/>
      <c r="BK168" s="284">
        <v>41</v>
      </c>
      <c r="BL168" s="281"/>
      <c r="BM168" s="284">
        <v>31</v>
      </c>
      <c r="BN168" s="281"/>
      <c r="BO168" s="284">
        <v>26</v>
      </c>
      <c r="BP168" s="281"/>
      <c r="BQ168" s="284">
        <v>32</v>
      </c>
      <c r="BR168" s="281"/>
      <c r="BS168" s="284">
        <v>62</v>
      </c>
      <c r="BT168" s="281"/>
      <c r="BU168" s="284">
        <v>129</v>
      </c>
      <c r="BV168" s="281"/>
      <c r="BW168" s="284">
        <v>140</v>
      </c>
      <c r="BX168" s="281"/>
      <c r="BY168" s="284">
        <v>157</v>
      </c>
      <c r="BZ168" s="281"/>
      <c r="CA168" s="284">
        <v>201</v>
      </c>
      <c r="CB168" s="281"/>
      <c r="CC168" s="284">
        <v>136</v>
      </c>
      <c r="CD168" s="281"/>
      <c r="CE168" s="284">
        <v>81</v>
      </c>
      <c r="CF168" s="281"/>
      <c r="CG168" s="284">
        <v>1717</v>
      </c>
      <c r="CH168" s="281"/>
      <c r="CI168" s="284">
        <v>943</v>
      </c>
      <c r="CJ168" s="281"/>
      <c r="CK168" s="284">
        <v>211</v>
      </c>
      <c r="CL168" s="281"/>
      <c r="CM168" s="284">
        <v>679</v>
      </c>
      <c r="CN168" s="281"/>
      <c r="CO168" s="284">
        <v>655</v>
      </c>
      <c r="CP168" s="281"/>
      <c r="CQ168" s="284">
        <v>1044</v>
      </c>
      <c r="CR168" s="281"/>
      <c r="CS168" s="335">
        <v>1167</v>
      </c>
      <c r="CT168" s="281"/>
      <c r="CU168" s="335">
        <v>1260</v>
      </c>
      <c r="CV168" s="281"/>
      <c r="CW168" s="335">
        <v>1536</v>
      </c>
      <c r="CX168" s="281"/>
      <c r="CY168" s="335">
        <v>1337</v>
      </c>
      <c r="CZ168" s="281"/>
      <c r="DA168" s="335">
        <v>1062</v>
      </c>
      <c r="DB168" s="281"/>
      <c r="DC168" s="335">
        <v>971</v>
      </c>
      <c r="DD168" s="281"/>
      <c r="DE168" s="335">
        <v>1202</v>
      </c>
      <c r="DF168" s="281"/>
      <c r="DG168" s="335">
        <v>1217</v>
      </c>
      <c r="DH168" s="281"/>
      <c r="DI168" s="335">
        <v>920</v>
      </c>
      <c r="DJ168" s="281"/>
      <c r="DK168" s="335">
        <v>1037</v>
      </c>
      <c r="DL168" s="281"/>
      <c r="DM168" s="335">
        <v>1001</v>
      </c>
      <c r="DN168" s="281"/>
      <c r="DO168" s="335">
        <v>1342</v>
      </c>
      <c r="DP168" s="281"/>
      <c r="DQ168" s="335">
        <v>1075</v>
      </c>
      <c r="DR168" s="281"/>
      <c r="DS168" s="335">
        <v>755</v>
      </c>
      <c r="DT168" s="281"/>
      <c r="DU168" s="301"/>
      <c r="DV168" s="301"/>
      <c r="DW168" s="301"/>
      <c r="DX168" s="301"/>
      <c r="DY168" s="301"/>
      <c r="DZ168" s="301"/>
      <c r="EA168" s="301"/>
      <c r="EB168" s="301"/>
      <c r="EC168" s="301"/>
      <c r="ED168" s="301"/>
      <c r="EE168" s="301"/>
      <c r="EF168" s="301"/>
      <c r="EG168" s="301"/>
      <c r="EH168" s="301"/>
      <c r="EI168" s="301"/>
      <c r="EJ168" s="301"/>
      <c r="EK168" s="301"/>
      <c r="EL168" s="301"/>
      <c r="EM168" s="301"/>
      <c r="EN168" s="335">
        <v>666</v>
      </c>
      <c r="EO168" s="281"/>
      <c r="EP168" s="335">
        <v>1124</v>
      </c>
      <c r="EQ168" s="281"/>
      <c r="ER168" s="335">
        <v>993</v>
      </c>
      <c r="ES168" s="281"/>
      <c r="ET168" s="335">
        <v>1181</v>
      </c>
      <c r="EU168" s="281"/>
      <c r="EV168" s="335">
        <v>1853</v>
      </c>
      <c r="EW168" s="281"/>
      <c r="EX168" s="335">
        <v>1274</v>
      </c>
      <c r="EY168" s="281"/>
      <c r="EZ168" s="335">
        <v>1343</v>
      </c>
      <c r="FA168" s="281"/>
      <c r="FB168" s="335">
        <v>1427</v>
      </c>
      <c r="FC168" s="281"/>
      <c r="FD168" s="335">
        <v>1280</v>
      </c>
      <c r="FE168" s="281"/>
      <c r="FF168" s="335">
        <v>1205</v>
      </c>
      <c r="FG168" s="281"/>
      <c r="FH168" s="335">
        <v>1528</v>
      </c>
      <c r="FI168" s="281"/>
      <c r="FJ168" s="335">
        <v>1057</v>
      </c>
      <c r="FK168" s="281"/>
      <c r="FL168" s="335">
        <v>699</v>
      </c>
      <c r="FM168" s="281"/>
      <c r="FN168" s="335">
        <v>393</v>
      </c>
      <c r="FO168" s="281"/>
      <c r="FP168" s="335">
        <v>84</v>
      </c>
      <c r="FQ168" s="281"/>
      <c r="FR168" s="301"/>
      <c r="FS168" s="301"/>
      <c r="FT168" s="301"/>
      <c r="FU168" s="301"/>
      <c r="FV168" s="301"/>
      <c r="FW168" s="301"/>
      <c r="FX168" s="301"/>
      <c r="FY168" s="301"/>
      <c r="FZ168" s="301"/>
      <c r="GA168" s="301"/>
      <c r="GB168" s="301"/>
      <c r="GC168" s="301"/>
      <c r="GD168" s="301"/>
      <c r="GE168" s="301"/>
      <c r="GF168" s="301"/>
      <c r="GG168" s="301"/>
    </row>
    <row r="169" spans="1:189" ht="15" customHeight="1" outlineLevel="2" x14ac:dyDescent="0.3">
      <c r="A169" s="1"/>
      <c r="B169" s="302"/>
      <c r="C169" s="302"/>
      <c r="D169" s="302"/>
      <c r="E169" s="302"/>
      <c r="F169" s="302"/>
      <c r="G169" s="5" t="s">
        <v>133</v>
      </c>
      <c r="H169" s="5"/>
      <c r="I169" s="284">
        <f t="shared" si="386"/>
        <v>12307</v>
      </c>
      <c r="J169" s="281"/>
      <c r="K169" s="284">
        <f>K403</f>
        <v>271</v>
      </c>
      <c r="L169" s="281"/>
      <c r="M169" s="284">
        <f>M403</f>
        <v>430</v>
      </c>
      <c r="N169" s="281"/>
      <c r="O169" s="284">
        <f>O403</f>
        <v>898</v>
      </c>
      <c r="P169" s="281"/>
      <c r="Q169" s="284">
        <f>Q403</f>
        <v>1222</v>
      </c>
      <c r="R169" s="281"/>
      <c r="S169" s="284">
        <f>S403</f>
        <v>1911</v>
      </c>
      <c r="T169" s="281"/>
      <c r="U169" s="284">
        <f>U403</f>
        <v>1623</v>
      </c>
      <c r="V169" s="281"/>
      <c r="W169" s="284">
        <f>W403</f>
        <v>1657</v>
      </c>
      <c r="X169" s="281"/>
      <c r="Y169" s="284">
        <f>Y403</f>
        <v>1504</v>
      </c>
      <c r="Z169" s="281"/>
      <c r="AA169" s="284">
        <f>AA403</f>
        <v>1005</v>
      </c>
      <c r="AB169" s="281"/>
      <c r="AC169" s="284">
        <f>AC403</f>
        <v>966</v>
      </c>
      <c r="AD169" s="281"/>
      <c r="AE169" s="284">
        <f>AE403</f>
        <v>523</v>
      </c>
      <c r="AF169" s="281"/>
      <c r="AG169" s="284">
        <f>AG403</f>
        <v>297</v>
      </c>
      <c r="AH169" s="281"/>
      <c r="AI169" s="284">
        <f>AI403</f>
        <v>301</v>
      </c>
      <c r="AJ169" s="281"/>
      <c r="AK169" s="284">
        <f>AK403</f>
        <v>396</v>
      </c>
      <c r="AL169" s="281"/>
      <c r="AM169" s="284">
        <v>201</v>
      </c>
      <c r="AN169" s="281"/>
      <c r="AO169" s="284">
        <v>36</v>
      </c>
      <c r="AP169" s="281"/>
      <c r="AQ169" s="428"/>
      <c r="AR169" s="281"/>
      <c r="AS169" s="284">
        <v>338</v>
      </c>
      <c r="AT169" s="281"/>
      <c r="AU169" s="284">
        <v>749</v>
      </c>
      <c r="AV169" s="281"/>
      <c r="AW169" s="284">
        <v>665</v>
      </c>
      <c r="AX169" s="281"/>
      <c r="AY169" s="284">
        <v>688</v>
      </c>
      <c r="AZ169" s="281"/>
      <c r="BA169" s="284">
        <v>628</v>
      </c>
      <c r="BB169" s="281"/>
      <c r="BC169" s="284">
        <v>797</v>
      </c>
      <c r="BD169" s="281"/>
      <c r="BE169" s="284">
        <v>584</v>
      </c>
      <c r="BF169" s="281"/>
      <c r="BG169" s="284">
        <v>385</v>
      </c>
      <c r="BH169" s="281"/>
      <c r="BI169" s="284">
        <v>538</v>
      </c>
      <c r="BJ169" s="281"/>
      <c r="BK169" s="284">
        <v>568</v>
      </c>
      <c r="BL169" s="281"/>
      <c r="BM169" s="284">
        <v>407</v>
      </c>
      <c r="BN169" s="281"/>
      <c r="BO169" s="284">
        <v>465</v>
      </c>
      <c r="BP169" s="281"/>
      <c r="BQ169" s="284">
        <v>551</v>
      </c>
      <c r="BR169" s="281"/>
      <c r="BS169" s="284">
        <v>660</v>
      </c>
      <c r="BT169" s="281"/>
      <c r="BU169" s="284">
        <v>904</v>
      </c>
      <c r="BV169" s="281"/>
      <c r="BW169" s="284">
        <v>1054</v>
      </c>
      <c r="BX169" s="281"/>
      <c r="BY169" s="284">
        <v>1193</v>
      </c>
      <c r="BZ169" s="281"/>
      <c r="CA169" s="284">
        <v>1899</v>
      </c>
      <c r="CB169" s="281"/>
      <c r="CC169" s="284">
        <v>1653</v>
      </c>
      <c r="CD169" s="281"/>
      <c r="CE169" s="284">
        <v>722</v>
      </c>
      <c r="CF169" s="281"/>
      <c r="CG169" s="284">
        <v>2527</v>
      </c>
      <c r="CH169" s="281"/>
      <c r="CI169" s="284">
        <v>1595</v>
      </c>
      <c r="CJ169" s="281"/>
      <c r="CK169" s="284"/>
      <c r="CL169" s="281"/>
      <c r="CM169" s="284">
        <v>836</v>
      </c>
      <c r="CN169" s="281"/>
      <c r="CO169" s="284"/>
      <c r="CP169" s="281"/>
      <c r="CQ169" s="284"/>
      <c r="CR169" s="281"/>
      <c r="CS169" s="461">
        <v>266</v>
      </c>
      <c r="CT169" s="281"/>
      <c r="CU169" s="335">
        <v>1822</v>
      </c>
      <c r="CV169" s="281"/>
      <c r="CW169" s="335">
        <v>2175</v>
      </c>
      <c r="CX169" s="281"/>
      <c r="CY169" s="335">
        <v>1843</v>
      </c>
      <c r="CZ169" s="281"/>
      <c r="DA169" s="335">
        <v>1445</v>
      </c>
      <c r="DB169" s="281"/>
      <c r="DC169" s="335">
        <v>1355</v>
      </c>
      <c r="DD169" s="281"/>
      <c r="DE169" s="335">
        <v>1664</v>
      </c>
      <c r="DF169" s="281"/>
      <c r="DG169" s="335">
        <v>1962</v>
      </c>
      <c r="DH169" s="281"/>
      <c r="DI169" s="335">
        <v>1437</v>
      </c>
      <c r="DJ169" s="281"/>
      <c r="DK169" s="335">
        <v>1833</v>
      </c>
      <c r="DL169" s="281"/>
      <c r="DM169" s="335">
        <v>1713</v>
      </c>
      <c r="DN169" s="281"/>
      <c r="DO169" s="335">
        <v>2888</v>
      </c>
      <c r="DP169" s="281"/>
      <c r="DQ169" s="335">
        <v>2160</v>
      </c>
      <c r="DR169" s="281"/>
      <c r="DS169" s="335">
        <v>1265</v>
      </c>
      <c r="DT169" s="281"/>
      <c r="DU169" s="302"/>
      <c r="DV169" s="302"/>
      <c r="DW169" s="302"/>
      <c r="DX169" s="302"/>
      <c r="DY169" s="302"/>
      <c r="DZ169" s="302"/>
      <c r="EA169" s="302"/>
      <c r="EB169" s="302"/>
      <c r="EC169" s="302"/>
      <c r="ED169" s="302"/>
      <c r="EE169" s="302"/>
      <c r="EF169" s="302"/>
      <c r="EG169" s="302"/>
      <c r="EH169" s="302"/>
      <c r="EI169" s="302"/>
      <c r="EJ169" s="302"/>
      <c r="EK169" s="302"/>
      <c r="EL169" s="302"/>
      <c r="EM169" s="302"/>
      <c r="EN169" s="335">
        <v>1207</v>
      </c>
      <c r="EO169" s="281"/>
      <c r="EP169" s="335">
        <v>1535</v>
      </c>
      <c r="EQ169" s="281"/>
      <c r="ER169" s="335">
        <v>1280</v>
      </c>
      <c r="ES169" s="281"/>
      <c r="ET169" s="335">
        <v>1452</v>
      </c>
      <c r="EU169" s="281"/>
      <c r="EV169" s="335">
        <v>2452</v>
      </c>
      <c r="EW169" s="281"/>
      <c r="EX169" s="335">
        <v>1624</v>
      </c>
      <c r="EY169" s="281"/>
      <c r="EZ169" s="335">
        <v>1614</v>
      </c>
      <c r="FA169" s="281"/>
      <c r="FB169" s="335">
        <v>1767</v>
      </c>
      <c r="FC169" s="281"/>
      <c r="FD169" s="335">
        <v>1561</v>
      </c>
      <c r="FE169" s="281"/>
      <c r="FF169" s="335">
        <v>1477</v>
      </c>
      <c r="FG169" s="281"/>
      <c r="FH169" s="335">
        <v>1972</v>
      </c>
      <c r="FI169" s="281"/>
      <c r="FJ169" s="335">
        <v>1351</v>
      </c>
      <c r="FK169" s="281"/>
      <c r="FL169" s="335">
        <v>927</v>
      </c>
      <c r="FM169" s="281"/>
      <c r="FN169" s="335">
        <v>579</v>
      </c>
      <c r="FO169" s="281"/>
      <c r="FP169" s="335">
        <v>212</v>
      </c>
      <c r="FQ169" s="281"/>
      <c r="FR169" s="302"/>
      <c r="FS169" s="302"/>
      <c r="FT169" s="302"/>
      <c r="FU169" s="302"/>
      <c r="FV169" s="302"/>
      <c r="FW169" s="302"/>
      <c r="FX169" s="302"/>
      <c r="FY169" s="302"/>
      <c r="FZ169" s="302"/>
      <c r="GA169" s="302"/>
      <c r="GB169" s="302"/>
      <c r="GC169" s="302"/>
      <c r="GD169" s="302"/>
      <c r="GE169" s="302"/>
      <c r="GF169" s="302"/>
      <c r="GG169" s="302"/>
    </row>
    <row r="170" spans="1:189" ht="8.25" customHeight="1" x14ac:dyDescent="0.3">
      <c r="A170" s="1"/>
      <c r="B170" s="18"/>
      <c r="C170" s="18"/>
      <c r="D170" s="18"/>
      <c r="E170" s="18"/>
      <c r="F170" s="18"/>
      <c r="G170" s="3"/>
      <c r="H170" s="3"/>
      <c r="I170" s="19"/>
      <c r="J170" s="20"/>
      <c r="K170" s="19"/>
      <c r="L170" s="20"/>
      <c r="M170" s="19"/>
      <c r="N170" s="20"/>
      <c r="O170" s="19"/>
      <c r="P170" s="20"/>
      <c r="Q170" s="19"/>
      <c r="R170" s="20"/>
      <c r="S170" s="19"/>
      <c r="T170" s="20"/>
      <c r="U170" s="19"/>
      <c r="V170" s="20"/>
      <c r="W170" s="19"/>
      <c r="X170" s="20"/>
      <c r="Y170" s="19"/>
      <c r="Z170" s="20"/>
      <c r="AA170" s="19"/>
      <c r="AB170" s="20"/>
      <c r="AC170" s="19"/>
      <c r="AD170" s="20"/>
      <c r="AE170" s="19"/>
      <c r="AF170" s="20"/>
      <c r="AG170" s="19"/>
      <c r="AH170" s="20"/>
      <c r="AI170" s="19"/>
      <c r="AJ170" s="20"/>
      <c r="AK170" s="19"/>
      <c r="AL170" s="20"/>
      <c r="AM170" s="19"/>
      <c r="AN170" s="20"/>
      <c r="AO170" s="19"/>
      <c r="AP170" s="20"/>
      <c r="AQ170" s="19"/>
      <c r="AR170" s="20"/>
      <c r="AS170" s="19"/>
      <c r="AT170" s="20"/>
      <c r="AU170" s="19"/>
      <c r="AV170" s="20"/>
      <c r="AW170" s="19"/>
      <c r="AX170" s="20"/>
      <c r="AY170" s="19"/>
      <c r="AZ170" s="20"/>
      <c r="BA170" s="19"/>
      <c r="BB170" s="20"/>
      <c r="BC170" s="19"/>
      <c r="BD170" s="20"/>
      <c r="BE170" s="19"/>
      <c r="BF170" s="20"/>
      <c r="BG170" s="19"/>
      <c r="BH170" s="20"/>
      <c r="BI170" s="19"/>
      <c r="BJ170" s="20"/>
      <c r="BK170" s="19"/>
      <c r="BL170" s="20"/>
      <c r="BM170" s="19"/>
      <c r="BN170" s="20"/>
      <c r="BO170" s="19"/>
      <c r="BP170" s="20"/>
      <c r="BQ170" s="19"/>
      <c r="BR170" s="20"/>
      <c r="BS170" s="19"/>
      <c r="BT170" s="20"/>
      <c r="BU170" s="19"/>
      <c r="BV170" s="20"/>
      <c r="BW170" s="19"/>
      <c r="BX170" s="20"/>
      <c r="BY170" s="19"/>
      <c r="BZ170" s="20"/>
      <c r="CA170" s="19"/>
      <c r="CB170" s="20"/>
      <c r="CC170" s="19"/>
      <c r="CD170" s="20"/>
      <c r="CE170" s="19"/>
      <c r="CF170" s="20"/>
      <c r="CG170" s="19"/>
      <c r="CH170" s="20"/>
      <c r="CI170" s="19"/>
      <c r="CJ170" s="20"/>
      <c r="CK170" s="19"/>
      <c r="CL170" s="20"/>
      <c r="CM170" s="19"/>
      <c r="CN170" s="20"/>
      <c r="CO170" s="19"/>
      <c r="CP170" s="20"/>
      <c r="CQ170" s="19"/>
      <c r="CR170" s="20"/>
      <c r="CS170" s="19"/>
      <c r="CT170" s="20"/>
      <c r="CU170" s="19"/>
      <c r="CV170" s="20"/>
      <c r="CW170" s="19"/>
      <c r="CX170" s="20"/>
      <c r="CY170" s="19"/>
      <c r="CZ170" s="20"/>
      <c r="DA170" s="19"/>
      <c r="DB170" s="20"/>
      <c r="DC170" s="19"/>
      <c r="DD170" s="20"/>
      <c r="DE170" s="19"/>
      <c r="DF170" s="20"/>
      <c r="DG170" s="19"/>
      <c r="DH170" s="20"/>
      <c r="DI170" s="19"/>
      <c r="DJ170" s="20"/>
      <c r="DK170" s="19"/>
      <c r="DL170" s="20"/>
      <c r="DM170" s="19"/>
      <c r="DN170" s="20"/>
      <c r="DO170" s="19"/>
      <c r="DP170" s="20"/>
      <c r="DQ170" s="19"/>
      <c r="DR170" s="20"/>
      <c r="DS170" s="19"/>
      <c r="DT170" s="20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19"/>
      <c r="EO170" s="20"/>
      <c r="EP170" s="19"/>
      <c r="EQ170" s="20"/>
      <c r="ER170" s="19"/>
      <c r="ES170" s="20"/>
      <c r="ET170" s="19"/>
      <c r="EU170" s="20"/>
      <c r="EV170" s="19"/>
      <c r="EW170" s="20"/>
      <c r="EX170" s="19"/>
      <c r="EY170" s="20"/>
      <c r="EZ170" s="19"/>
      <c r="FA170" s="20"/>
      <c r="FB170" s="19"/>
      <c r="FC170" s="20"/>
      <c r="FD170" s="19"/>
      <c r="FE170" s="20"/>
      <c r="FF170" s="19"/>
      <c r="FG170" s="20"/>
      <c r="FH170" s="19"/>
      <c r="FI170" s="20"/>
      <c r="FJ170" s="19"/>
      <c r="FK170" s="20"/>
      <c r="FL170" s="19"/>
      <c r="FM170" s="20"/>
      <c r="FN170" s="19"/>
      <c r="FO170" s="20"/>
      <c r="FP170" s="19"/>
      <c r="FQ170" s="20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</row>
    <row r="171" spans="1:189" ht="15" customHeight="1" x14ac:dyDescent="0.3">
      <c r="A171" s="63"/>
      <c r="B171" s="313" t="s">
        <v>397</v>
      </c>
      <c r="C171" s="313" t="s">
        <v>47</v>
      </c>
      <c r="D171" s="313" t="s">
        <v>96</v>
      </c>
      <c r="E171" s="313" t="s">
        <v>134</v>
      </c>
      <c r="F171" s="313" t="s">
        <v>114</v>
      </c>
      <c r="G171" s="5" t="s">
        <v>28</v>
      </c>
      <c r="H171" s="5"/>
      <c r="I171" s="89" t="s">
        <v>135</v>
      </c>
      <c r="J171" s="89">
        <v>8.3000000000000007</v>
      </c>
      <c r="K171" s="357" t="s">
        <v>135</v>
      </c>
      <c r="L171" s="281"/>
      <c r="M171" s="357" t="s">
        <v>135</v>
      </c>
      <c r="N171" s="281"/>
      <c r="O171" s="357" t="s">
        <v>135</v>
      </c>
      <c r="P171" s="281"/>
      <c r="Q171" s="357" t="s">
        <v>135</v>
      </c>
      <c r="R171" s="281"/>
      <c r="S171" s="357" t="s">
        <v>135</v>
      </c>
      <c r="T171" s="281"/>
      <c r="U171" s="357" t="s">
        <v>135</v>
      </c>
      <c r="V171" s="281"/>
      <c r="W171" s="357" t="s">
        <v>135</v>
      </c>
      <c r="X171" s="281"/>
      <c r="Y171" s="89" t="s">
        <v>135</v>
      </c>
      <c r="Z171" s="89">
        <v>8.3000000000000007</v>
      </c>
      <c r="AA171" s="89" t="s">
        <v>135</v>
      </c>
      <c r="AB171" s="89">
        <v>8.3000000000000007</v>
      </c>
      <c r="AC171" s="89" t="s">
        <v>135</v>
      </c>
      <c r="AD171" s="89">
        <v>8.3000000000000007</v>
      </c>
      <c r="AE171" s="89" t="s">
        <v>135</v>
      </c>
      <c r="AF171" s="89">
        <v>8.3000000000000007</v>
      </c>
      <c r="AG171" s="89" t="s">
        <v>135</v>
      </c>
      <c r="AH171" s="89">
        <v>8.3000000000000007</v>
      </c>
      <c r="AI171" s="89" t="s">
        <v>135</v>
      </c>
      <c r="AJ171" s="89">
        <v>8.3000000000000007</v>
      </c>
      <c r="AK171" s="89" t="s">
        <v>135</v>
      </c>
      <c r="AL171" s="89">
        <v>8.3000000000000007</v>
      </c>
      <c r="AM171" s="89" t="s">
        <v>135</v>
      </c>
      <c r="AN171" s="89">
        <v>8.3000000000000007</v>
      </c>
      <c r="AO171" s="89" t="s">
        <v>135</v>
      </c>
      <c r="AP171" s="89">
        <v>8.3000000000000007</v>
      </c>
      <c r="AQ171" s="89" t="s">
        <v>135</v>
      </c>
      <c r="AR171" s="89">
        <v>8.3000000000000007</v>
      </c>
      <c r="AS171" s="89" t="s">
        <v>135</v>
      </c>
      <c r="AT171" s="89">
        <v>8.3000000000000007</v>
      </c>
      <c r="AU171" s="89" t="s">
        <v>135</v>
      </c>
      <c r="AV171" s="89">
        <v>8.3000000000000007</v>
      </c>
      <c r="AW171" s="89" t="s">
        <v>135</v>
      </c>
      <c r="AX171" s="89">
        <v>8.3000000000000007</v>
      </c>
      <c r="AY171" s="89" t="s">
        <v>135</v>
      </c>
      <c r="AZ171" s="89">
        <v>8.3000000000000007</v>
      </c>
      <c r="BA171" s="89" t="s">
        <v>135</v>
      </c>
      <c r="BB171" s="89">
        <v>8.3000000000000007</v>
      </c>
      <c r="BC171" s="89" t="s">
        <v>135</v>
      </c>
      <c r="BD171" s="89">
        <v>8.3000000000000007</v>
      </c>
      <c r="BE171" s="89" t="s">
        <v>135</v>
      </c>
      <c r="BF171" s="89">
        <v>8.3000000000000007</v>
      </c>
      <c r="BG171" s="89" t="s">
        <v>135</v>
      </c>
      <c r="BH171" s="89">
        <v>8.3000000000000007</v>
      </c>
      <c r="BI171" s="89" t="s">
        <v>135</v>
      </c>
      <c r="BJ171" s="89">
        <v>8.3000000000000007</v>
      </c>
      <c r="BK171" s="89" t="s">
        <v>135</v>
      </c>
      <c r="BL171" s="89">
        <v>8.3000000000000007</v>
      </c>
      <c r="BM171" s="89" t="s">
        <v>135</v>
      </c>
      <c r="BN171" s="89">
        <v>8.3000000000000007</v>
      </c>
      <c r="BO171" s="89" t="s">
        <v>135</v>
      </c>
      <c r="BP171" s="89">
        <v>8.3000000000000007</v>
      </c>
      <c r="BQ171" s="89" t="s">
        <v>135</v>
      </c>
      <c r="BR171" s="89">
        <v>8.3000000000000007</v>
      </c>
      <c r="BS171" s="89" t="s">
        <v>135</v>
      </c>
      <c r="BT171" s="89">
        <v>8.3000000000000007</v>
      </c>
      <c r="BU171" s="89" t="s">
        <v>135</v>
      </c>
      <c r="BV171" s="89">
        <v>8.3000000000000007</v>
      </c>
      <c r="BW171" s="89" t="s">
        <v>135</v>
      </c>
      <c r="BX171" s="89">
        <v>8.3000000000000007</v>
      </c>
      <c r="BY171" s="89" t="s">
        <v>135</v>
      </c>
      <c r="BZ171" s="89">
        <v>8.3000000000000007</v>
      </c>
      <c r="CA171" s="89" t="s">
        <v>135</v>
      </c>
      <c r="CB171" s="89">
        <v>8.3000000000000007</v>
      </c>
      <c r="CC171" s="89" t="s">
        <v>135</v>
      </c>
      <c r="CD171" s="89">
        <v>8.3000000000000007</v>
      </c>
      <c r="CE171" s="89" t="s">
        <v>135</v>
      </c>
      <c r="CF171" s="89">
        <v>8.3000000000000007</v>
      </c>
      <c r="CG171" s="89" t="s">
        <v>135</v>
      </c>
      <c r="CH171" s="89">
        <v>8.3000000000000007</v>
      </c>
      <c r="CI171" s="89" t="s">
        <v>135</v>
      </c>
      <c r="CJ171" s="89">
        <v>8.3000000000000007</v>
      </c>
      <c r="CK171" s="89" t="s">
        <v>135</v>
      </c>
      <c r="CL171" s="89">
        <v>8.3000000000000007</v>
      </c>
      <c r="CM171" s="89" t="s">
        <v>135</v>
      </c>
      <c r="CN171" s="89">
        <v>8.3000000000000007</v>
      </c>
      <c r="CO171" s="89" t="s">
        <v>135</v>
      </c>
      <c r="CP171" s="89">
        <v>8.3000000000000007</v>
      </c>
      <c r="CQ171" s="89" t="s">
        <v>135</v>
      </c>
      <c r="CR171" s="89">
        <v>8.3000000000000007</v>
      </c>
      <c r="CS171" s="89" t="s">
        <v>135</v>
      </c>
      <c r="CT171" s="89">
        <v>8.3000000000000007</v>
      </c>
      <c r="CU171" s="89" t="s">
        <v>135</v>
      </c>
      <c r="CV171" s="89">
        <v>8.3000000000000007</v>
      </c>
      <c r="CW171" s="89" t="s">
        <v>135</v>
      </c>
      <c r="CX171" s="89">
        <v>8.3000000000000007</v>
      </c>
      <c r="CY171" s="89" t="s">
        <v>135</v>
      </c>
      <c r="CZ171" s="89">
        <v>8.3000000000000007</v>
      </c>
      <c r="DA171" s="89" t="s">
        <v>135</v>
      </c>
      <c r="DB171" s="89">
        <v>8.3000000000000007</v>
      </c>
      <c r="DC171" s="89" t="s">
        <v>135</v>
      </c>
      <c r="DD171" s="89">
        <v>8.3000000000000007</v>
      </c>
      <c r="DE171" s="89" t="s">
        <v>135</v>
      </c>
      <c r="DF171" s="89">
        <v>8.3000000000000007</v>
      </c>
      <c r="DG171" s="89" t="s">
        <v>135</v>
      </c>
      <c r="DH171" s="89">
        <v>8.3000000000000007</v>
      </c>
      <c r="DI171" s="89" t="s">
        <v>135</v>
      </c>
      <c r="DJ171" s="89">
        <v>8.3000000000000007</v>
      </c>
      <c r="DK171" s="89" t="s">
        <v>135</v>
      </c>
      <c r="DL171" s="89">
        <v>8.3000000000000007</v>
      </c>
      <c r="DM171" s="89" t="s">
        <v>135</v>
      </c>
      <c r="DN171" s="89">
        <v>8.3000000000000007</v>
      </c>
      <c r="DO171" s="89" t="s">
        <v>135</v>
      </c>
      <c r="DP171" s="89">
        <v>8.3000000000000007</v>
      </c>
      <c r="DQ171" s="89" t="s">
        <v>135</v>
      </c>
      <c r="DR171" s="89">
        <v>8.3000000000000007</v>
      </c>
      <c r="DS171" s="89" t="s">
        <v>135</v>
      </c>
      <c r="DT171" s="89">
        <v>8.3000000000000007</v>
      </c>
      <c r="DU171" s="308" t="s">
        <v>29</v>
      </c>
      <c r="DV171" s="308" t="s">
        <v>29</v>
      </c>
      <c r="DW171" s="308" t="s">
        <v>29</v>
      </c>
      <c r="DX171" s="308" t="s">
        <v>29</v>
      </c>
      <c r="DY171" s="308" t="s">
        <v>29</v>
      </c>
      <c r="DZ171" s="308" t="s">
        <v>29</v>
      </c>
      <c r="EA171" s="308" t="s">
        <v>29</v>
      </c>
      <c r="EB171" s="308" t="s">
        <v>29</v>
      </c>
      <c r="EC171" s="308" t="s">
        <v>29</v>
      </c>
      <c r="ED171" s="308" t="s">
        <v>29</v>
      </c>
      <c r="EE171" s="308" t="s">
        <v>29</v>
      </c>
      <c r="EF171" s="308" t="s">
        <v>29</v>
      </c>
      <c r="EG171" s="308" t="s">
        <v>29</v>
      </c>
      <c r="EH171" s="308" t="s">
        <v>29</v>
      </c>
      <c r="EI171" s="308" t="s">
        <v>29</v>
      </c>
      <c r="EJ171" s="308" t="s">
        <v>29</v>
      </c>
      <c r="EK171" s="308"/>
      <c r="EL171" s="308"/>
      <c r="EM171" s="308"/>
      <c r="EN171" s="89" t="s">
        <v>135</v>
      </c>
      <c r="EO171" s="89">
        <v>8.3000000000000007</v>
      </c>
      <c r="EP171" s="89" t="s">
        <v>135</v>
      </c>
      <c r="EQ171" s="89">
        <v>8.3000000000000007</v>
      </c>
      <c r="ER171" s="89" t="s">
        <v>135</v>
      </c>
      <c r="ES171" s="89">
        <v>8.3000000000000007</v>
      </c>
      <c r="ET171" s="89" t="s">
        <v>135</v>
      </c>
      <c r="EU171" s="89">
        <v>8.3000000000000007</v>
      </c>
      <c r="EV171" s="89" t="s">
        <v>135</v>
      </c>
      <c r="EW171" s="89">
        <v>8.3000000000000007</v>
      </c>
      <c r="EX171" s="89" t="s">
        <v>135</v>
      </c>
      <c r="EY171" s="89">
        <v>8.3000000000000007</v>
      </c>
      <c r="EZ171" s="89" t="s">
        <v>135</v>
      </c>
      <c r="FA171" s="89">
        <v>8.3000000000000007</v>
      </c>
      <c r="FB171" s="89" t="s">
        <v>135</v>
      </c>
      <c r="FC171" s="89">
        <v>8.3000000000000007</v>
      </c>
      <c r="FD171" s="89" t="s">
        <v>135</v>
      </c>
      <c r="FE171" s="89">
        <v>8.3000000000000007</v>
      </c>
      <c r="FF171" s="89" t="s">
        <v>135</v>
      </c>
      <c r="FG171" s="89">
        <v>8.3000000000000007</v>
      </c>
      <c r="FH171" s="89" t="s">
        <v>135</v>
      </c>
      <c r="FI171" s="89">
        <v>8.3000000000000007</v>
      </c>
      <c r="FJ171" s="89" t="s">
        <v>135</v>
      </c>
      <c r="FK171" s="89">
        <v>8.3000000000000007</v>
      </c>
      <c r="FL171" s="89" t="s">
        <v>135</v>
      </c>
      <c r="FM171" s="89">
        <v>8.3000000000000007</v>
      </c>
      <c r="FN171" s="89" t="s">
        <v>135</v>
      </c>
      <c r="FO171" s="89">
        <v>8.3000000000000007</v>
      </c>
      <c r="FP171" s="89" t="s">
        <v>135</v>
      </c>
      <c r="FQ171" s="89">
        <v>8.3000000000000007</v>
      </c>
      <c r="FR171" s="308" t="s">
        <v>29</v>
      </c>
      <c r="FS171" s="308" t="s">
        <v>29</v>
      </c>
      <c r="FT171" s="308" t="s">
        <v>29</v>
      </c>
      <c r="FU171" s="308" t="s">
        <v>29</v>
      </c>
      <c r="FV171" s="308" t="s">
        <v>29</v>
      </c>
      <c r="FW171" s="308" t="s">
        <v>29</v>
      </c>
      <c r="FX171" s="308" t="s">
        <v>29</v>
      </c>
      <c r="FY171" s="308" t="s">
        <v>29</v>
      </c>
      <c r="FZ171" s="308" t="s">
        <v>29</v>
      </c>
      <c r="GA171" s="308" t="s">
        <v>29</v>
      </c>
      <c r="GB171" s="308" t="s">
        <v>29</v>
      </c>
      <c r="GC171" s="308" t="s">
        <v>29</v>
      </c>
      <c r="GD171" s="308" t="s">
        <v>29</v>
      </c>
      <c r="GE171" s="308" t="s">
        <v>29</v>
      </c>
      <c r="GF171" s="312" t="s">
        <v>443</v>
      </c>
      <c r="GG171" s="312" t="s">
        <v>443</v>
      </c>
    </row>
    <row r="172" spans="1:189" ht="3.75" customHeight="1" x14ac:dyDescent="0.3">
      <c r="A172" s="1"/>
      <c r="B172" s="301"/>
      <c r="C172" s="301"/>
      <c r="D172" s="301"/>
      <c r="E172" s="301"/>
      <c r="F172" s="301"/>
      <c r="G172" s="5"/>
      <c r="H172" s="5"/>
      <c r="I172" s="90"/>
      <c r="J172" s="91"/>
      <c r="K172" s="421"/>
      <c r="L172" s="281"/>
      <c r="M172" s="421"/>
      <c r="N172" s="281"/>
      <c r="O172" s="421"/>
      <c r="P172" s="281"/>
      <c r="Q172" s="421"/>
      <c r="R172" s="281"/>
      <c r="S172" s="421"/>
      <c r="T172" s="281"/>
      <c r="U172" s="421"/>
      <c r="V172" s="281"/>
      <c r="W172" s="387"/>
      <c r="X172" s="281"/>
      <c r="Y172" s="387"/>
      <c r="Z172" s="281"/>
      <c r="AA172" s="387"/>
      <c r="AB172" s="281"/>
      <c r="AC172" s="421"/>
      <c r="AD172" s="281"/>
      <c r="AE172" s="421"/>
      <c r="AF172" s="281"/>
      <c r="AG172" s="90"/>
      <c r="AH172" s="92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351"/>
      <c r="BD172" s="281"/>
      <c r="BE172" s="351"/>
      <c r="BF172" s="281"/>
      <c r="BG172" s="351"/>
      <c r="BH172" s="281"/>
      <c r="BI172" s="351"/>
      <c r="BJ172" s="281"/>
      <c r="BK172" s="351"/>
      <c r="BL172" s="281"/>
      <c r="BM172" s="351"/>
      <c r="BN172" s="281"/>
      <c r="BO172" s="422"/>
      <c r="BP172" s="281"/>
      <c r="BQ172" s="422"/>
      <c r="BR172" s="281"/>
      <c r="BS172" s="422"/>
      <c r="BT172" s="281"/>
      <c r="BU172" s="422"/>
      <c r="BV172" s="281"/>
      <c r="BW172" s="422"/>
      <c r="BX172" s="281"/>
      <c r="BY172" s="422"/>
      <c r="BZ172" s="281"/>
      <c r="CA172" s="422"/>
      <c r="CB172" s="281"/>
      <c r="CC172" s="422"/>
      <c r="CD172" s="281"/>
      <c r="CE172" s="351"/>
      <c r="CF172" s="281"/>
      <c r="CG172" s="351"/>
      <c r="CH172" s="281"/>
      <c r="CI172" s="351"/>
      <c r="CJ172" s="281"/>
      <c r="CK172" s="351"/>
      <c r="CL172" s="281"/>
      <c r="CM172" s="351"/>
      <c r="CN172" s="281"/>
      <c r="CO172" s="351"/>
      <c r="CP172" s="281"/>
      <c r="CQ172" s="351"/>
      <c r="CR172" s="281"/>
      <c r="CS172" s="351"/>
      <c r="CT172" s="281"/>
      <c r="CU172" s="351"/>
      <c r="CV172" s="281"/>
      <c r="CW172" s="351"/>
      <c r="CX172" s="281"/>
      <c r="CY172" s="351"/>
      <c r="CZ172" s="281"/>
      <c r="DA172" s="351"/>
      <c r="DB172" s="281"/>
      <c r="DC172" s="351"/>
      <c r="DD172" s="281"/>
      <c r="DE172" s="351"/>
      <c r="DF172" s="281"/>
      <c r="DG172" s="351"/>
      <c r="DH172" s="281"/>
      <c r="DI172" s="351"/>
      <c r="DJ172" s="281"/>
      <c r="DK172" s="351"/>
      <c r="DL172" s="281"/>
      <c r="DM172" s="351"/>
      <c r="DN172" s="281"/>
      <c r="DO172" s="351"/>
      <c r="DP172" s="281"/>
      <c r="DQ172" s="351"/>
      <c r="DR172" s="281"/>
      <c r="DS172" s="351"/>
      <c r="DT172" s="281"/>
      <c r="DU172" s="301"/>
      <c r="DV172" s="301"/>
      <c r="DW172" s="301"/>
      <c r="DX172" s="301"/>
      <c r="DY172" s="301"/>
      <c r="DZ172" s="301"/>
      <c r="EA172" s="301"/>
      <c r="EB172" s="301"/>
      <c r="EC172" s="301"/>
      <c r="ED172" s="301"/>
      <c r="EE172" s="301"/>
      <c r="EF172" s="301"/>
      <c r="EG172" s="301"/>
      <c r="EH172" s="301"/>
      <c r="EI172" s="301"/>
      <c r="EJ172" s="301"/>
      <c r="EK172" s="301"/>
      <c r="EL172" s="301"/>
      <c r="EM172" s="301"/>
      <c r="EN172" s="351"/>
      <c r="EO172" s="281"/>
      <c r="EP172" s="351"/>
      <c r="EQ172" s="281"/>
      <c r="ER172" s="351"/>
      <c r="ES172" s="281"/>
      <c r="ET172" s="351"/>
      <c r="EU172" s="281"/>
      <c r="EV172" s="351"/>
      <c r="EW172" s="281"/>
      <c r="EX172" s="351"/>
      <c r="EY172" s="281"/>
      <c r="EZ172" s="351"/>
      <c r="FA172" s="281"/>
      <c r="FB172" s="351"/>
      <c r="FC172" s="281"/>
      <c r="FD172" s="351"/>
      <c r="FE172" s="281"/>
      <c r="FF172" s="351"/>
      <c r="FG172" s="281"/>
      <c r="FH172" s="351"/>
      <c r="FI172" s="281"/>
      <c r="FJ172" s="351"/>
      <c r="FK172" s="281"/>
      <c r="FL172" s="351"/>
      <c r="FM172" s="281"/>
      <c r="FN172" s="351"/>
      <c r="FO172" s="281"/>
      <c r="FP172" s="351"/>
      <c r="FQ172" s="281"/>
      <c r="FR172" s="301"/>
      <c r="FS172" s="301"/>
      <c r="FT172" s="301"/>
      <c r="FU172" s="301"/>
      <c r="FV172" s="301"/>
      <c r="FW172" s="301"/>
      <c r="FX172" s="301"/>
      <c r="FY172" s="301"/>
      <c r="FZ172" s="301"/>
      <c r="GA172" s="301"/>
      <c r="GB172" s="301"/>
      <c r="GC172" s="301"/>
      <c r="GD172" s="301"/>
      <c r="GE172" s="301"/>
      <c r="GF172" s="304"/>
      <c r="GG172" s="304"/>
    </row>
    <row r="173" spans="1:189" ht="15" customHeight="1" x14ac:dyDescent="0.3">
      <c r="A173" s="1"/>
      <c r="B173" s="301"/>
      <c r="C173" s="301"/>
      <c r="D173" s="301"/>
      <c r="E173" s="301"/>
      <c r="F173" s="301"/>
      <c r="G173" s="5" t="s">
        <v>136</v>
      </c>
      <c r="H173" s="5"/>
      <c r="I173" s="89" t="s">
        <v>135</v>
      </c>
      <c r="J173" s="89">
        <f t="shared" ref="J173:J175" si="387">AVERAGE(AH173,AF173,AD173,AB173,Z173,X173,V173,T173,R173,P173,N173,L173)</f>
        <v>7.9949999999999983</v>
      </c>
      <c r="K173" s="89" t="s">
        <v>137</v>
      </c>
      <c r="L173" s="93">
        <v>7.83</v>
      </c>
      <c r="M173" s="89" t="s">
        <v>137</v>
      </c>
      <c r="N173" s="93">
        <v>7.9</v>
      </c>
      <c r="O173" s="89" t="s">
        <v>137</v>
      </c>
      <c r="P173" s="93">
        <v>7.91</v>
      </c>
      <c r="Q173" s="89" t="s">
        <v>137</v>
      </c>
      <c r="R173" s="93">
        <v>7.93</v>
      </c>
      <c r="S173" s="89" t="s">
        <v>137</v>
      </c>
      <c r="T173" s="93">
        <v>7.93</v>
      </c>
      <c r="U173" s="89" t="s">
        <v>137</v>
      </c>
      <c r="V173" s="93">
        <v>7.93</v>
      </c>
      <c r="W173" s="89" t="s">
        <v>135</v>
      </c>
      <c r="X173" s="93">
        <v>7.98</v>
      </c>
      <c r="Y173" s="89" t="s">
        <v>135</v>
      </c>
      <c r="Z173" s="89">
        <v>8.01</v>
      </c>
      <c r="AA173" s="89" t="s">
        <v>135</v>
      </c>
      <c r="AB173" s="89">
        <v>8.3000000000000007</v>
      </c>
      <c r="AC173" s="89" t="s">
        <v>135</v>
      </c>
      <c r="AD173" s="89">
        <v>8.1</v>
      </c>
      <c r="AE173" s="89" t="s">
        <v>135</v>
      </c>
      <c r="AF173" s="89">
        <v>8.08</v>
      </c>
      <c r="AG173" s="89" t="s">
        <v>135</v>
      </c>
      <c r="AH173" s="89">
        <v>8.0399999999999991</v>
      </c>
      <c r="AI173" s="89" t="s">
        <v>135</v>
      </c>
      <c r="AJ173" s="89">
        <v>8.33</v>
      </c>
      <c r="AK173" s="89" t="s">
        <v>135</v>
      </c>
      <c r="AL173" s="89">
        <v>8.2899999999999991</v>
      </c>
      <c r="AM173" s="89" t="s">
        <v>138</v>
      </c>
      <c r="AN173" s="89">
        <v>8.3800000000000008</v>
      </c>
      <c r="AO173" s="89" t="s">
        <v>138</v>
      </c>
      <c r="AP173" s="89">
        <v>8.3800000000000008</v>
      </c>
      <c r="AQ173" s="89" t="s">
        <v>138</v>
      </c>
      <c r="AR173" s="89">
        <v>8.3800000000000008</v>
      </c>
      <c r="AS173" s="89" t="s">
        <v>138</v>
      </c>
      <c r="AT173" s="89">
        <v>8.4</v>
      </c>
      <c r="AU173" s="89" t="s">
        <v>138</v>
      </c>
      <c r="AV173" s="89">
        <v>8.4</v>
      </c>
      <c r="AW173" s="89" t="s">
        <v>138</v>
      </c>
      <c r="AX173" s="89">
        <v>8.36</v>
      </c>
      <c r="AY173" s="89" t="s">
        <v>138</v>
      </c>
      <c r="AZ173" s="89">
        <v>8.33</v>
      </c>
      <c r="BA173" s="89" t="s">
        <v>138</v>
      </c>
      <c r="BB173" s="89">
        <v>8.3000000000000007</v>
      </c>
      <c r="BC173" s="89" t="s">
        <v>135</v>
      </c>
      <c r="BD173" s="89">
        <v>8.24</v>
      </c>
      <c r="BE173" s="89" t="s">
        <v>135</v>
      </c>
      <c r="BF173" s="89">
        <v>8.25</v>
      </c>
      <c r="BG173" s="89" t="s">
        <v>135</v>
      </c>
      <c r="BH173" s="89">
        <v>8.1</v>
      </c>
      <c r="BI173" s="89" t="s">
        <v>135</v>
      </c>
      <c r="BJ173" s="89">
        <v>8.1</v>
      </c>
      <c r="BK173" s="89" t="s">
        <v>135</v>
      </c>
      <c r="BL173" s="89">
        <v>8.1</v>
      </c>
      <c r="BM173" s="89" t="s">
        <v>135</v>
      </c>
      <c r="BN173" s="89">
        <v>8.1999999999999993</v>
      </c>
      <c r="BO173" s="89" t="s">
        <v>135</v>
      </c>
      <c r="BP173" s="89">
        <v>8.3000000000000007</v>
      </c>
      <c r="BQ173" s="89" t="s">
        <v>138</v>
      </c>
      <c r="BR173" s="89">
        <v>8.4</v>
      </c>
      <c r="BS173" s="89" t="s">
        <v>138</v>
      </c>
      <c r="BT173" s="89">
        <v>8.5</v>
      </c>
      <c r="BU173" s="89" t="s">
        <v>138</v>
      </c>
      <c r="BV173" s="89">
        <v>8.6</v>
      </c>
      <c r="BW173" s="89" t="s">
        <v>138</v>
      </c>
      <c r="BX173" s="89">
        <v>8.5</v>
      </c>
      <c r="BY173" s="89" t="s">
        <v>138</v>
      </c>
      <c r="BZ173" s="89">
        <v>8.4</v>
      </c>
      <c r="CA173" s="89" t="s">
        <v>138</v>
      </c>
      <c r="CB173" s="89">
        <v>8.5</v>
      </c>
      <c r="CC173" s="89" t="s">
        <v>138</v>
      </c>
      <c r="CD173" s="89">
        <v>8.4</v>
      </c>
      <c r="CE173" s="89" t="s">
        <v>135</v>
      </c>
      <c r="CF173" s="89">
        <v>8.1</v>
      </c>
      <c r="CG173" s="89" t="s">
        <v>135</v>
      </c>
      <c r="CH173" s="89">
        <v>8.1999999999999993</v>
      </c>
      <c r="CI173" s="89" t="s">
        <v>135</v>
      </c>
      <c r="CJ173" s="89">
        <v>8</v>
      </c>
      <c r="CK173" s="89" t="s">
        <v>135</v>
      </c>
      <c r="CL173" s="89">
        <v>7.9</v>
      </c>
      <c r="CM173" s="89" t="s">
        <v>137</v>
      </c>
      <c r="CN173" s="89">
        <v>7.8</v>
      </c>
      <c r="CO173" s="89" t="s">
        <v>137</v>
      </c>
      <c r="CP173" s="89">
        <v>7.8</v>
      </c>
      <c r="CQ173" s="89" t="s">
        <v>137</v>
      </c>
      <c r="CR173" s="89">
        <v>7.9</v>
      </c>
      <c r="CS173" s="89" t="s">
        <v>137</v>
      </c>
      <c r="CT173" s="89">
        <v>7.8</v>
      </c>
      <c r="CU173" s="89" t="s">
        <v>137</v>
      </c>
      <c r="CV173" s="89">
        <v>7.9</v>
      </c>
      <c r="CW173" s="89" t="s">
        <v>137</v>
      </c>
      <c r="CX173" s="89">
        <v>7.8</v>
      </c>
      <c r="CY173" s="89" t="s">
        <v>137</v>
      </c>
      <c r="CZ173" s="89">
        <v>7.6</v>
      </c>
      <c r="DA173" s="89" t="s">
        <v>137</v>
      </c>
      <c r="DB173" s="89">
        <v>7.5</v>
      </c>
      <c r="DC173" s="89" t="s">
        <v>137</v>
      </c>
      <c r="DD173" s="89">
        <v>7.6</v>
      </c>
      <c r="DE173" s="89" t="s">
        <v>137</v>
      </c>
      <c r="DF173" s="89">
        <v>7.5</v>
      </c>
      <c r="DG173" s="89" t="s">
        <v>137</v>
      </c>
      <c r="DH173" s="89">
        <v>7.3</v>
      </c>
      <c r="DI173" s="89" t="s">
        <v>137</v>
      </c>
      <c r="DJ173" s="89">
        <v>7.3</v>
      </c>
      <c r="DK173" s="89" t="s">
        <v>137</v>
      </c>
      <c r="DL173" s="89">
        <v>7.4</v>
      </c>
      <c r="DM173" s="89" t="s">
        <v>137</v>
      </c>
      <c r="DN173" s="89">
        <v>7.5</v>
      </c>
      <c r="DO173" s="89" t="s">
        <v>137</v>
      </c>
      <c r="DP173" s="89">
        <v>7.5</v>
      </c>
      <c r="DQ173" s="89" t="s">
        <v>137</v>
      </c>
      <c r="DR173" s="89">
        <v>7.6</v>
      </c>
      <c r="DS173" s="89" t="s">
        <v>137</v>
      </c>
      <c r="DT173" s="89">
        <v>7.8</v>
      </c>
      <c r="DU173" s="301"/>
      <c r="DV173" s="301"/>
      <c r="DW173" s="301"/>
      <c r="DX173" s="301"/>
      <c r="DY173" s="301"/>
      <c r="DZ173" s="301"/>
      <c r="EA173" s="301"/>
      <c r="EB173" s="301"/>
      <c r="EC173" s="301"/>
      <c r="ED173" s="301"/>
      <c r="EE173" s="301"/>
      <c r="EF173" s="301"/>
      <c r="EG173" s="301"/>
      <c r="EH173" s="301"/>
      <c r="EI173" s="301"/>
      <c r="EJ173" s="301"/>
      <c r="EK173" s="301"/>
      <c r="EL173" s="301"/>
      <c r="EM173" s="301"/>
      <c r="EN173" s="89" t="s">
        <v>137</v>
      </c>
      <c r="EO173" s="89">
        <v>7.9</v>
      </c>
      <c r="EP173" s="89" t="s">
        <v>137</v>
      </c>
      <c r="EQ173" s="89">
        <v>7.9</v>
      </c>
      <c r="ER173" s="89" t="s">
        <v>137</v>
      </c>
      <c r="ES173" s="89">
        <v>7.9</v>
      </c>
      <c r="ET173" s="89" t="s">
        <v>137</v>
      </c>
      <c r="EU173" s="89">
        <v>7.7</v>
      </c>
      <c r="EV173" s="89" t="s">
        <v>137</v>
      </c>
      <c r="EW173" s="89">
        <v>7.5</v>
      </c>
      <c r="EX173" s="89" t="s">
        <v>137</v>
      </c>
      <c r="EY173" s="89">
        <v>7</v>
      </c>
      <c r="EZ173" s="89" t="s">
        <v>143</v>
      </c>
      <c r="FA173" s="89">
        <v>6.7</v>
      </c>
      <c r="FB173" s="89" t="s">
        <v>143</v>
      </c>
      <c r="FC173" s="89">
        <v>6.8</v>
      </c>
      <c r="FD173" s="89" t="s">
        <v>143</v>
      </c>
      <c r="FE173" s="89">
        <v>6.8</v>
      </c>
      <c r="FF173" s="89" t="s">
        <v>137</v>
      </c>
      <c r="FG173" s="89">
        <v>6.9</v>
      </c>
      <c r="FH173" s="89" t="s">
        <v>137</v>
      </c>
      <c r="FI173" s="89">
        <v>7</v>
      </c>
      <c r="FJ173" s="89" t="s">
        <v>137</v>
      </c>
      <c r="FK173" s="89">
        <v>7.2</v>
      </c>
      <c r="FL173" s="89" t="s">
        <v>137</v>
      </c>
      <c r="FM173" s="89">
        <v>7.3</v>
      </c>
      <c r="FN173" s="89" t="s">
        <v>137</v>
      </c>
      <c r="FO173" s="89">
        <v>7.5</v>
      </c>
      <c r="FP173" s="89" t="s">
        <v>137</v>
      </c>
      <c r="FQ173" s="89">
        <v>7.5</v>
      </c>
      <c r="FR173" s="301"/>
      <c r="FS173" s="301"/>
      <c r="FT173" s="301"/>
      <c r="FU173" s="301"/>
      <c r="FV173" s="301"/>
      <c r="FW173" s="301"/>
      <c r="FX173" s="301"/>
      <c r="FY173" s="301"/>
      <c r="FZ173" s="301"/>
      <c r="GA173" s="301"/>
      <c r="GB173" s="301"/>
      <c r="GC173" s="301"/>
      <c r="GD173" s="301"/>
      <c r="GE173" s="301"/>
      <c r="GF173" s="304"/>
      <c r="GG173" s="304"/>
    </row>
    <row r="174" spans="1:189" ht="15" customHeight="1" outlineLevel="1" x14ac:dyDescent="0.3">
      <c r="A174" s="1"/>
      <c r="B174" s="301"/>
      <c r="C174" s="301"/>
      <c r="D174" s="301"/>
      <c r="E174" s="301"/>
      <c r="F174" s="301"/>
      <c r="G174" s="5" t="s">
        <v>139</v>
      </c>
      <c r="H174" s="5"/>
      <c r="I174" s="89" t="s">
        <v>135</v>
      </c>
      <c r="J174" s="89">
        <f t="shared" si="387"/>
        <v>8.1583333333333332</v>
      </c>
      <c r="K174" s="89" t="s">
        <v>137</v>
      </c>
      <c r="L174" s="93">
        <v>8.8000000000000007</v>
      </c>
      <c r="M174" s="89" t="s">
        <v>140</v>
      </c>
      <c r="N174" s="93">
        <v>8.07</v>
      </c>
      <c r="O174" s="89" t="s">
        <v>140</v>
      </c>
      <c r="P174" s="93">
        <v>8.02</v>
      </c>
      <c r="Q174" s="89" t="s">
        <v>140</v>
      </c>
      <c r="R174" s="93">
        <v>7.95</v>
      </c>
      <c r="S174" s="89" t="s">
        <v>137</v>
      </c>
      <c r="T174" s="93">
        <v>7.91</v>
      </c>
      <c r="U174" s="89" t="s">
        <v>137</v>
      </c>
      <c r="V174" s="93">
        <v>7.91</v>
      </c>
      <c r="W174" s="89" t="s">
        <v>137</v>
      </c>
      <c r="X174" s="93">
        <v>7.93</v>
      </c>
      <c r="Y174" s="89" t="s">
        <v>135</v>
      </c>
      <c r="Z174" s="93">
        <v>8</v>
      </c>
      <c r="AA174" s="89" t="s">
        <v>135</v>
      </c>
      <c r="AB174" s="89">
        <v>8.3000000000000007</v>
      </c>
      <c r="AC174" s="89" t="s">
        <v>141</v>
      </c>
      <c r="AD174" s="89">
        <v>8.4</v>
      </c>
      <c r="AE174" s="89" t="s">
        <v>141</v>
      </c>
      <c r="AF174" s="89">
        <v>8.35</v>
      </c>
      <c r="AG174" s="89" t="s">
        <v>135</v>
      </c>
      <c r="AH174" s="89">
        <v>8.26</v>
      </c>
      <c r="AI174" s="89" t="s">
        <v>135</v>
      </c>
      <c r="AJ174" s="89">
        <v>8.09</v>
      </c>
      <c r="AK174" s="89" t="s">
        <v>135</v>
      </c>
      <c r="AL174" s="89">
        <v>8.07</v>
      </c>
      <c r="AM174" s="89" t="s">
        <v>135</v>
      </c>
      <c r="AN174" s="89">
        <v>8.16</v>
      </c>
      <c r="AO174" s="89" t="s">
        <v>135</v>
      </c>
      <c r="AP174" s="89">
        <v>8.3000000000000007</v>
      </c>
      <c r="AQ174" s="89" t="s">
        <v>135</v>
      </c>
      <c r="AR174" s="89">
        <v>8.34</v>
      </c>
      <c r="AS174" s="89" t="s">
        <v>138</v>
      </c>
      <c r="AT174" s="89">
        <v>8.3000000000000007</v>
      </c>
      <c r="AU174" s="89" t="s">
        <v>138</v>
      </c>
      <c r="AV174" s="89">
        <v>8.33</v>
      </c>
      <c r="AW174" s="89" t="s">
        <v>138</v>
      </c>
      <c r="AX174" s="89">
        <v>8.32</v>
      </c>
      <c r="AY174" s="89" t="s">
        <v>135</v>
      </c>
      <c r="AZ174" s="89">
        <v>8.27</v>
      </c>
      <c r="BA174" s="89" t="s">
        <v>135</v>
      </c>
      <c r="BB174" s="89">
        <v>8.1999999999999993</v>
      </c>
      <c r="BC174" s="89" t="s">
        <v>135</v>
      </c>
      <c r="BD174" s="89">
        <v>8.1999999999999993</v>
      </c>
      <c r="BE174" s="89" t="s">
        <v>135</v>
      </c>
      <c r="BF174" s="89">
        <v>8.27</v>
      </c>
      <c r="BG174" s="89" t="s">
        <v>135</v>
      </c>
      <c r="BH174" s="89">
        <v>8.1</v>
      </c>
      <c r="BI174" s="89" t="s">
        <v>135</v>
      </c>
      <c r="BJ174" s="89">
        <v>8.1999999999999993</v>
      </c>
      <c r="BK174" s="89" t="s">
        <v>135</v>
      </c>
      <c r="BL174" s="89">
        <v>8.1999999999999993</v>
      </c>
      <c r="BM174" s="89" t="s">
        <v>135</v>
      </c>
      <c r="BN174" s="89">
        <v>8.1999999999999993</v>
      </c>
      <c r="BO174" s="89" t="s">
        <v>135</v>
      </c>
      <c r="BP174" s="89">
        <v>8.1999999999999993</v>
      </c>
      <c r="BQ174" s="89" t="s">
        <v>135</v>
      </c>
      <c r="BR174" s="89">
        <v>8.1999999999999993</v>
      </c>
      <c r="BS174" s="89" t="s">
        <v>138</v>
      </c>
      <c r="BT174" s="89">
        <v>8.3000000000000007</v>
      </c>
      <c r="BU174" s="89" t="s">
        <v>135</v>
      </c>
      <c r="BV174" s="89">
        <v>8.3000000000000007</v>
      </c>
      <c r="BW174" s="89" t="s">
        <v>135</v>
      </c>
      <c r="BX174" s="89">
        <v>8.3000000000000007</v>
      </c>
      <c r="BY174" s="89" t="s">
        <v>138</v>
      </c>
      <c r="BZ174" s="89">
        <v>8.3000000000000007</v>
      </c>
      <c r="CA174" s="89" t="s">
        <v>138</v>
      </c>
      <c r="CB174" s="89">
        <v>8.4</v>
      </c>
      <c r="CC174" s="89" t="s">
        <v>138</v>
      </c>
      <c r="CD174" s="89">
        <v>8.4</v>
      </c>
      <c r="CE174" s="89" t="s">
        <v>135</v>
      </c>
      <c r="CF174" s="89">
        <v>8.3000000000000007</v>
      </c>
      <c r="CG174" s="89" t="s">
        <v>135</v>
      </c>
      <c r="CH174" s="89">
        <v>8</v>
      </c>
      <c r="CI174" s="89" t="s">
        <v>135</v>
      </c>
      <c r="CJ174" s="89">
        <v>8.1999999999999993</v>
      </c>
      <c r="CK174" s="89" t="s">
        <v>135</v>
      </c>
      <c r="CL174" s="89">
        <v>8.1</v>
      </c>
      <c r="CM174" s="89" t="s">
        <v>135</v>
      </c>
      <c r="CN174" s="89">
        <v>8</v>
      </c>
      <c r="CO174" s="89" t="s">
        <v>135</v>
      </c>
      <c r="CP174" s="89">
        <v>8</v>
      </c>
      <c r="CQ174" s="89" t="s">
        <v>135</v>
      </c>
      <c r="CR174" s="89">
        <v>8</v>
      </c>
      <c r="CS174" s="89" t="s">
        <v>135</v>
      </c>
      <c r="CT174" s="89">
        <v>7.9</v>
      </c>
      <c r="CU174" s="89" t="s">
        <v>135</v>
      </c>
      <c r="CV174" s="89">
        <v>7.9</v>
      </c>
      <c r="CW174" s="89" t="s">
        <v>137</v>
      </c>
      <c r="CX174" s="89">
        <v>7.7</v>
      </c>
      <c r="CY174" s="89" t="s">
        <v>137</v>
      </c>
      <c r="CZ174" s="89">
        <v>7.7</v>
      </c>
      <c r="DA174" s="89" t="s">
        <v>137</v>
      </c>
      <c r="DB174" s="89">
        <v>7.7</v>
      </c>
      <c r="DC174" s="89" t="s">
        <v>137</v>
      </c>
      <c r="DD174" s="89">
        <v>7.7</v>
      </c>
      <c r="DE174" s="89" t="s">
        <v>137</v>
      </c>
      <c r="DF174" s="89">
        <v>7.6</v>
      </c>
      <c r="DG174" s="89" t="s">
        <v>137</v>
      </c>
      <c r="DH174" s="89">
        <v>7.6</v>
      </c>
      <c r="DI174" s="89" t="s">
        <v>137</v>
      </c>
      <c r="DJ174" s="89">
        <v>7.5</v>
      </c>
      <c r="DK174" s="89" t="s">
        <v>137</v>
      </c>
      <c r="DL174" s="89">
        <v>7.5</v>
      </c>
      <c r="DM174" s="89" t="s">
        <v>137</v>
      </c>
      <c r="DN174" s="89">
        <v>7.5</v>
      </c>
      <c r="DO174" s="89" t="s">
        <v>137</v>
      </c>
      <c r="DP174" s="89">
        <v>7.6</v>
      </c>
      <c r="DQ174" s="89" t="s">
        <v>137</v>
      </c>
      <c r="DR174" s="89">
        <v>7.6</v>
      </c>
      <c r="DS174" s="89" t="s">
        <v>137</v>
      </c>
      <c r="DT174" s="89">
        <v>7.6</v>
      </c>
      <c r="DU174" s="301"/>
      <c r="DV174" s="301"/>
      <c r="DW174" s="301"/>
      <c r="DX174" s="301"/>
      <c r="DY174" s="301"/>
      <c r="DZ174" s="301"/>
      <c r="EA174" s="301"/>
      <c r="EB174" s="301"/>
      <c r="EC174" s="301"/>
      <c r="ED174" s="301"/>
      <c r="EE174" s="301"/>
      <c r="EF174" s="301"/>
      <c r="EG174" s="301"/>
      <c r="EH174" s="301"/>
      <c r="EI174" s="301"/>
      <c r="EJ174" s="301"/>
      <c r="EK174" s="301"/>
      <c r="EL174" s="301"/>
      <c r="EM174" s="301"/>
      <c r="EN174" s="89" t="s">
        <v>137</v>
      </c>
      <c r="EO174" s="89">
        <v>7.6</v>
      </c>
      <c r="EP174" s="89" t="s">
        <v>137</v>
      </c>
      <c r="EQ174" s="89">
        <v>7.7</v>
      </c>
      <c r="ER174" s="89" t="s">
        <v>137</v>
      </c>
      <c r="ES174" s="89">
        <v>7.7</v>
      </c>
      <c r="ET174" s="89" t="s">
        <v>137</v>
      </c>
      <c r="EU174" s="89">
        <v>7.6</v>
      </c>
      <c r="EV174" s="89" t="s">
        <v>137</v>
      </c>
      <c r="EW174" s="89">
        <v>7.4</v>
      </c>
      <c r="EX174" s="89" t="s">
        <v>137</v>
      </c>
      <c r="EY174" s="89">
        <v>7.4</v>
      </c>
      <c r="EZ174" s="89" t="s">
        <v>137</v>
      </c>
      <c r="FA174" s="89">
        <v>7.3</v>
      </c>
      <c r="FB174" s="89" t="s">
        <v>137</v>
      </c>
      <c r="FC174" s="89">
        <v>7.2</v>
      </c>
      <c r="FD174" s="89" t="s">
        <v>137</v>
      </c>
      <c r="FE174" s="89">
        <v>7.2</v>
      </c>
      <c r="FF174" s="89" t="s">
        <v>137</v>
      </c>
      <c r="FG174" s="89">
        <v>7.2</v>
      </c>
      <c r="FH174" s="89" t="s">
        <v>137</v>
      </c>
      <c r="FI174" s="89">
        <v>7.2</v>
      </c>
      <c r="FJ174" s="89" t="s">
        <v>137</v>
      </c>
      <c r="FK174" s="89">
        <v>7.1</v>
      </c>
      <c r="FL174" s="89" t="s">
        <v>137</v>
      </c>
      <c r="FM174" s="89">
        <v>7.1</v>
      </c>
      <c r="FN174" s="89" t="s">
        <v>137</v>
      </c>
      <c r="FO174" s="89">
        <v>7.1</v>
      </c>
      <c r="FP174" s="89" t="s">
        <v>137</v>
      </c>
      <c r="FQ174" s="89">
        <v>7.1</v>
      </c>
      <c r="FR174" s="301"/>
      <c r="FS174" s="301"/>
      <c r="FT174" s="301"/>
      <c r="FU174" s="301"/>
      <c r="FV174" s="301"/>
      <c r="FW174" s="301"/>
      <c r="FX174" s="301"/>
      <c r="FY174" s="301"/>
      <c r="FZ174" s="301"/>
      <c r="GA174" s="301"/>
      <c r="GB174" s="301"/>
      <c r="GC174" s="301"/>
      <c r="GD174" s="301"/>
      <c r="GE174" s="301"/>
      <c r="GF174" s="304"/>
      <c r="GG174" s="304"/>
    </row>
    <row r="175" spans="1:189" ht="15" customHeight="1" outlineLevel="1" x14ac:dyDescent="0.3">
      <c r="A175" s="1"/>
      <c r="B175" s="301"/>
      <c r="C175" s="301"/>
      <c r="D175" s="301"/>
      <c r="E175" s="301"/>
      <c r="F175" s="301"/>
      <c r="G175" s="5" t="s">
        <v>142</v>
      </c>
      <c r="H175" s="5"/>
      <c r="I175" s="89" t="s">
        <v>135</v>
      </c>
      <c r="J175" s="89">
        <f t="shared" si="387"/>
        <v>8.0625</v>
      </c>
      <c r="K175" s="89" t="s">
        <v>140</v>
      </c>
      <c r="L175" s="93">
        <v>8.07</v>
      </c>
      <c r="M175" s="89" t="s">
        <v>137</v>
      </c>
      <c r="N175" s="93">
        <v>7.85</v>
      </c>
      <c r="O175" s="89" t="s">
        <v>137</v>
      </c>
      <c r="P175" s="93">
        <v>7.53</v>
      </c>
      <c r="Q175" s="89" t="s">
        <v>140</v>
      </c>
      <c r="R175" s="93">
        <v>7.98</v>
      </c>
      <c r="S175" s="89" t="s">
        <v>135</v>
      </c>
      <c r="T175" s="93">
        <v>8.1300000000000008</v>
      </c>
      <c r="U175" s="89" t="s">
        <v>135</v>
      </c>
      <c r="V175" s="93">
        <v>8.1999999999999993</v>
      </c>
      <c r="W175" s="89" t="s">
        <v>135</v>
      </c>
      <c r="X175" s="93">
        <v>8.06</v>
      </c>
      <c r="Y175" s="89" t="s">
        <v>138</v>
      </c>
      <c r="Z175" s="93">
        <v>8.4600000000000009</v>
      </c>
      <c r="AA175" s="89" t="s">
        <v>141</v>
      </c>
      <c r="AB175" s="93">
        <v>8.6</v>
      </c>
      <c r="AC175" s="89" t="s">
        <v>141</v>
      </c>
      <c r="AD175" s="93">
        <v>8.5</v>
      </c>
      <c r="AE175" s="89" t="s">
        <v>135</v>
      </c>
      <c r="AF175" s="93">
        <v>7.96</v>
      </c>
      <c r="AG175" s="89" t="s">
        <v>137</v>
      </c>
      <c r="AH175" s="93">
        <v>7.41</v>
      </c>
      <c r="AI175" s="89" t="s">
        <v>135</v>
      </c>
      <c r="AJ175" s="93">
        <v>8.14</v>
      </c>
      <c r="AK175" s="89" t="s">
        <v>137</v>
      </c>
      <c r="AL175" s="93">
        <v>7.3</v>
      </c>
      <c r="AM175" s="89" t="s">
        <v>135</v>
      </c>
      <c r="AN175" s="89">
        <v>8.4</v>
      </c>
      <c r="AO175" s="89" t="s">
        <v>135</v>
      </c>
      <c r="AP175" s="89">
        <v>8.25</v>
      </c>
      <c r="AQ175" s="89" t="s">
        <v>138</v>
      </c>
      <c r="AR175" s="89">
        <v>8.56</v>
      </c>
      <c r="AS175" s="89" t="s">
        <v>137</v>
      </c>
      <c r="AT175" s="89">
        <v>7.77</v>
      </c>
      <c r="AU175" s="89" t="s">
        <v>137</v>
      </c>
      <c r="AV175" s="89">
        <v>7.43</v>
      </c>
      <c r="AW175" s="89" t="s">
        <v>137</v>
      </c>
      <c r="AX175" s="89">
        <v>7.87</v>
      </c>
      <c r="AY175" s="89" t="s">
        <v>137</v>
      </c>
      <c r="AZ175" s="89">
        <v>7.38</v>
      </c>
      <c r="BA175" s="89" t="s">
        <v>137</v>
      </c>
      <c r="BB175" s="89">
        <v>7.4</v>
      </c>
      <c r="BC175" s="89" t="s">
        <v>137</v>
      </c>
      <c r="BD175" s="89">
        <v>7.5</v>
      </c>
      <c r="BE175" s="89" t="s">
        <v>137</v>
      </c>
      <c r="BF175" s="89">
        <v>7.43</v>
      </c>
      <c r="BG175" s="89" t="s">
        <v>137</v>
      </c>
      <c r="BH175" s="89">
        <v>7.4</v>
      </c>
      <c r="BI175" s="89" t="s">
        <v>137</v>
      </c>
      <c r="BJ175" s="89">
        <v>7.3</v>
      </c>
      <c r="BK175" s="89" t="s">
        <v>137</v>
      </c>
      <c r="BL175" s="89">
        <v>7.8</v>
      </c>
      <c r="BM175" s="89" t="s">
        <v>138</v>
      </c>
      <c r="BN175" s="89">
        <v>8.6</v>
      </c>
      <c r="BO175" s="89" t="s">
        <v>135</v>
      </c>
      <c r="BP175" s="89">
        <v>8.1999999999999993</v>
      </c>
      <c r="BQ175" s="89" t="s">
        <v>135</v>
      </c>
      <c r="BR175" s="89">
        <v>8.3000000000000007</v>
      </c>
      <c r="BS175" s="89" t="s">
        <v>135</v>
      </c>
      <c r="BT175" s="89">
        <v>7.9</v>
      </c>
      <c r="BU175" s="89" t="s">
        <v>135</v>
      </c>
      <c r="BV175" s="89">
        <v>8.1999999999999993</v>
      </c>
      <c r="BW175" s="89" t="s">
        <v>135</v>
      </c>
      <c r="BX175" s="89">
        <v>7.4</v>
      </c>
      <c r="BY175" s="89" t="s">
        <v>137</v>
      </c>
      <c r="BZ175" s="89">
        <v>7.7</v>
      </c>
      <c r="CA175" s="89" t="s">
        <v>137</v>
      </c>
      <c r="CB175" s="89">
        <v>7.3</v>
      </c>
      <c r="CC175" s="89" t="s">
        <v>135</v>
      </c>
      <c r="CD175" s="89">
        <v>7.9</v>
      </c>
      <c r="CE175" s="89" t="s">
        <v>137</v>
      </c>
      <c r="CF175" s="89">
        <v>7.5</v>
      </c>
      <c r="CG175" s="89" t="s">
        <v>137</v>
      </c>
      <c r="CH175" s="89">
        <v>7.6</v>
      </c>
      <c r="CI175" s="89" t="s">
        <v>137</v>
      </c>
      <c r="CJ175" s="89">
        <v>7.7</v>
      </c>
      <c r="CK175" s="89" t="s">
        <v>137</v>
      </c>
      <c r="CL175" s="89">
        <v>7</v>
      </c>
      <c r="CM175" s="89" t="s">
        <v>137</v>
      </c>
      <c r="CN175" s="89">
        <v>7.5</v>
      </c>
      <c r="CO175" s="89" t="s">
        <v>137</v>
      </c>
      <c r="CP175" s="89">
        <v>7.7</v>
      </c>
      <c r="CQ175" s="89" t="s">
        <v>137</v>
      </c>
      <c r="CR175" s="89">
        <v>7.4</v>
      </c>
      <c r="CS175" s="89" t="s">
        <v>137</v>
      </c>
      <c r="CT175" s="89">
        <v>7.4</v>
      </c>
      <c r="CU175" s="89" t="s">
        <v>143</v>
      </c>
      <c r="CV175" s="89">
        <v>6.7</v>
      </c>
      <c r="CW175" s="89" t="s">
        <v>143</v>
      </c>
      <c r="CX175" s="89">
        <v>6.6</v>
      </c>
      <c r="CY175" s="89" t="s">
        <v>137</v>
      </c>
      <c r="CZ175" s="89">
        <v>7.2</v>
      </c>
      <c r="DA175" s="89" t="s">
        <v>381</v>
      </c>
      <c r="DB175" s="89">
        <v>7.1</v>
      </c>
      <c r="DC175" s="89" t="s">
        <v>137</v>
      </c>
      <c r="DD175" s="89">
        <v>7.1</v>
      </c>
      <c r="DE175" s="89" t="s">
        <v>392</v>
      </c>
      <c r="DF175" s="89">
        <v>5.6</v>
      </c>
      <c r="DG175" s="89" t="s">
        <v>143</v>
      </c>
      <c r="DH175" s="89">
        <v>6.4</v>
      </c>
      <c r="DI175" s="89" t="s">
        <v>392</v>
      </c>
      <c r="DJ175" s="89">
        <v>5.7</v>
      </c>
      <c r="DK175" s="89" t="s">
        <v>137</v>
      </c>
      <c r="DL175" s="89">
        <v>7.5</v>
      </c>
      <c r="DM175" s="89" t="s">
        <v>137</v>
      </c>
      <c r="DN175" s="89">
        <v>7.6</v>
      </c>
      <c r="DO175" s="89" t="s">
        <v>137</v>
      </c>
      <c r="DP175" s="89">
        <v>7.5</v>
      </c>
      <c r="DQ175" s="89" t="s">
        <v>135</v>
      </c>
      <c r="DR175" s="89">
        <v>7.9</v>
      </c>
      <c r="DS175" s="89" t="s">
        <v>137</v>
      </c>
      <c r="DT175" s="89">
        <v>7.1</v>
      </c>
      <c r="DU175" s="301"/>
      <c r="DV175" s="301"/>
      <c r="DW175" s="301"/>
      <c r="DX175" s="301"/>
      <c r="DY175" s="301"/>
      <c r="DZ175" s="301"/>
      <c r="EA175" s="301"/>
      <c r="EB175" s="301"/>
      <c r="EC175" s="301"/>
      <c r="ED175" s="301"/>
      <c r="EE175" s="301"/>
      <c r="EF175" s="301"/>
      <c r="EG175" s="301"/>
      <c r="EH175" s="301"/>
      <c r="EI175" s="301"/>
      <c r="EJ175" s="301"/>
      <c r="EK175" s="301"/>
      <c r="EL175" s="301"/>
      <c r="EM175" s="301"/>
      <c r="EN175" s="89" t="s">
        <v>143</v>
      </c>
      <c r="EO175" s="89">
        <v>6.9</v>
      </c>
      <c r="EP175" s="89" t="s">
        <v>143</v>
      </c>
      <c r="EQ175" s="89"/>
      <c r="ER175" s="89" t="s">
        <v>137</v>
      </c>
      <c r="ES175" s="89">
        <v>7.1</v>
      </c>
      <c r="ET175" s="89" t="s">
        <v>143</v>
      </c>
      <c r="EU175" s="89">
        <v>6.2</v>
      </c>
      <c r="EV175" s="89" t="s">
        <v>143</v>
      </c>
      <c r="EW175" s="89">
        <v>6.2</v>
      </c>
      <c r="EX175" s="89" t="s">
        <v>392</v>
      </c>
      <c r="EY175" s="89">
        <v>5.8</v>
      </c>
      <c r="EZ175" s="89" t="s">
        <v>143</v>
      </c>
      <c r="FA175" s="89">
        <v>4.8</v>
      </c>
      <c r="FB175" s="89" t="s">
        <v>137</v>
      </c>
      <c r="FC175" s="89">
        <v>7.1</v>
      </c>
      <c r="FD175" s="89" t="s">
        <v>137</v>
      </c>
      <c r="FE175" s="89">
        <v>7.4</v>
      </c>
      <c r="FF175" s="89" t="s">
        <v>137</v>
      </c>
      <c r="FG175" s="89">
        <v>7</v>
      </c>
      <c r="FH175" s="89" t="s">
        <v>137</v>
      </c>
      <c r="FI175" s="89">
        <v>7.2</v>
      </c>
      <c r="FJ175" s="89" t="s">
        <v>440</v>
      </c>
      <c r="FK175" s="89">
        <v>6.5</v>
      </c>
      <c r="FL175" s="89" t="s">
        <v>440</v>
      </c>
      <c r="FM175" s="89">
        <v>6.4</v>
      </c>
      <c r="FN175" s="89" t="s">
        <v>137</v>
      </c>
      <c r="FO175" s="89">
        <v>7.3</v>
      </c>
      <c r="FP175" s="89" t="s">
        <v>137</v>
      </c>
      <c r="FQ175" s="89">
        <v>7.5</v>
      </c>
      <c r="FR175" s="301"/>
      <c r="FS175" s="301"/>
      <c r="FT175" s="301"/>
      <c r="FU175" s="301"/>
      <c r="FV175" s="301"/>
      <c r="FW175" s="301"/>
      <c r="FX175" s="301"/>
      <c r="FY175" s="301"/>
      <c r="FZ175" s="301"/>
      <c r="GA175" s="301"/>
      <c r="GB175" s="301"/>
      <c r="GC175" s="301"/>
      <c r="GD175" s="301"/>
      <c r="GE175" s="301"/>
      <c r="GF175" s="304"/>
      <c r="GG175" s="304"/>
    </row>
    <row r="176" spans="1:189" ht="11.25" customHeight="1" outlineLevel="1" x14ac:dyDescent="0.3">
      <c r="A176" s="1"/>
      <c r="B176" s="301"/>
      <c r="C176" s="301"/>
      <c r="D176" s="301"/>
      <c r="E176" s="301"/>
      <c r="F176" s="301"/>
      <c r="G176" s="5" t="s">
        <v>144</v>
      </c>
      <c r="H176" s="5"/>
      <c r="I176" s="284">
        <f>SUM(K176:AH176)</f>
        <v>40380</v>
      </c>
      <c r="J176" s="281"/>
      <c r="K176" s="23"/>
      <c r="L176" s="23"/>
      <c r="M176" s="23"/>
      <c r="N176" s="23"/>
      <c r="O176" s="23"/>
      <c r="P176" s="23"/>
      <c r="Q176" s="284"/>
      <c r="R176" s="281"/>
      <c r="S176" s="284"/>
      <c r="T176" s="281"/>
      <c r="U176" s="284"/>
      <c r="V176" s="281"/>
      <c r="W176" s="284"/>
      <c r="X176" s="281"/>
      <c r="Y176" s="284"/>
      <c r="Z176" s="281"/>
      <c r="AA176" s="284"/>
      <c r="AB176" s="281"/>
      <c r="AC176" s="284"/>
      <c r="AD176" s="281"/>
      <c r="AE176" s="284">
        <v>22619</v>
      </c>
      <c r="AF176" s="281"/>
      <c r="AG176" s="284">
        <v>17761</v>
      </c>
      <c r="AH176" s="281"/>
      <c r="AI176" s="284">
        <v>21096</v>
      </c>
      <c r="AJ176" s="281"/>
      <c r="AK176" s="284">
        <v>19895</v>
      </c>
      <c r="AL176" s="281"/>
      <c r="AM176" s="284">
        <v>17339</v>
      </c>
      <c r="AN176" s="281"/>
      <c r="AO176" s="284">
        <v>37387</v>
      </c>
      <c r="AP176" s="281"/>
      <c r="AQ176" s="284">
        <v>30006</v>
      </c>
      <c r="AR176" s="281"/>
      <c r="AS176" s="284">
        <v>26061</v>
      </c>
      <c r="AT176" s="281"/>
      <c r="AU176" s="284">
        <v>29512</v>
      </c>
      <c r="AV176" s="281"/>
      <c r="AW176" s="284">
        <v>23499</v>
      </c>
      <c r="AX176" s="281"/>
      <c r="AY176" s="284">
        <v>22126</v>
      </c>
      <c r="AZ176" s="281"/>
      <c r="BA176" s="284">
        <v>22385</v>
      </c>
      <c r="BB176" s="281"/>
      <c r="BC176" s="428" t="s">
        <v>145</v>
      </c>
      <c r="BD176" s="281"/>
      <c r="BE176" s="428" t="s">
        <v>145</v>
      </c>
      <c r="BF176" s="281"/>
      <c r="BG176" s="428" t="s">
        <v>145</v>
      </c>
      <c r="BH176" s="281"/>
      <c r="BI176" s="428" t="s">
        <v>145</v>
      </c>
      <c r="BJ176" s="281"/>
      <c r="BK176" s="284" t="s">
        <v>145</v>
      </c>
      <c r="BL176" s="281"/>
      <c r="BM176" s="284" t="s">
        <v>145</v>
      </c>
      <c r="BN176" s="281"/>
      <c r="BO176" s="284" t="s">
        <v>145</v>
      </c>
      <c r="BP176" s="281"/>
      <c r="BQ176" s="284" t="s">
        <v>145</v>
      </c>
      <c r="BR176" s="281"/>
      <c r="BS176" s="284" t="s">
        <v>145</v>
      </c>
      <c r="BT176" s="281"/>
      <c r="BU176" s="284" t="s">
        <v>145</v>
      </c>
      <c r="BV176" s="281"/>
      <c r="BW176" s="284" t="s">
        <v>145</v>
      </c>
      <c r="BX176" s="281"/>
      <c r="BY176" s="284" t="s">
        <v>145</v>
      </c>
      <c r="BZ176" s="281"/>
      <c r="CA176" s="284" t="s">
        <v>145</v>
      </c>
      <c r="CB176" s="281"/>
      <c r="CC176" s="284" t="s">
        <v>145</v>
      </c>
      <c r="CD176" s="281"/>
      <c r="CE176" s="284" t="s">
        <v>145</v>
      </c>
      <c r="CF176" s="281"/>
      <c r="CG176" s="284" t="s">
        <v>145</v>
      </c>
      <c r="CH176" s="281"/>
      <c r="CI176" s="284" t="s">
        <v>145</v>
      </c>
      <c r="CJ176" s="281"/>
      <c r="CK176" s="284" t="s">
        <v>145</v>
      </c>
      <c r="CL176" s="281"/>
      <c r="CM176" s="284" t="s">
        <v>145</v>
      </c>
      <c r="CN176" s="281"/>
      <c r="CO176" s="284" t="s">
        <v>145</v>
      </c>
      <c r="CP176" s="281"/>
      <c r="CQ176" s="284" t="s">
        <v>145</v>
      </c>
      <c r="CR176" s="281"/>
      <c r="CS176" s="284" t="s">
        <v>145</v>
      </c>
      <c r="CT176" s="281"/>
      <c r="CU176" s="284" t="s">
        <v>145</v>
      </c>
      <c r="CV176" s="281"/>
      <c r="CW176" s="284" t="s">
        <v>145</v>
      </c>
      <c r="CX176" s="281"/>
      <c r="CY176" s="284" t="s">
        <v>145</v>
      </c>
      <c r="CZ176" s="281"/>
      <c r="DA176" s="284" t="s">
        <v>145</v>
      </c>
      <c r="DB176" s="281"/>
      <c r="DC176" s="284" t="s">
        <v>145</v>
      </c>
      <c r="DD176" s="281"/>
      <c r="DE176" s="284" t="s">
        <v>145</v>
      </c>
      <c r="DF176" s="281"/>
      <c r="DG176" s="284" t="s">
        <v>145</v>
      </c>
      <c r="DH176" s="281"/>
      <c r="DI176" s="284" t="s">
        <v>145</v>
      </c>
      <c r="DJ176" s="281"/>
      <c r="DK176" s="284" t="s">
        <v>145</v>
      </c>
      <c r="DL176" s="281"/>
      <c r="DM176" s="284" t="s">
        <v>145</v>
      </c>
      <c r="DN176" s="281"/>
      <c r="DO176" s="284" t="s">
        <v>145</v>
      </c>
      <c r="DP176" s="281"/>
      <c r="DQ176" s="284" t="s">
        <v>145</v>
      </c>
      <c r="DR176" s="281"/>
      <c r="DS176" s="284" t="s">
        <v>145</v>
      </c>
      <c r="DT176" s="281"/>
      <c r="DU176" s="301"/>
      <c r="DV176" s="301"/>
      <c r="DW176" s="301"/>
      <c r="DX176" s="301"/>
      <c r="DY176" s="301"/>
      <c r="DZ176" s="301"/>
      <c r="EA176" s="301"/>
      <c r="EB176" s="301"/>
      <c r="EC176" s="301"/>
      <c r="ED176" s="301"/>
      <c r="EE176" s="301"/>
      <c r="EF176" s="301"/>
      <c r="EG176" s="301"/>
      <c r="EH176" s="301"/>
      <c r="EI176" s="301"/>
      <c r="EJ176" s="301"/>
      <c r="EK176" s="301"/>
      <c r="EL176" s="301"/>
      <c r="EM176" s="301"/>
      <c r="EN176" s="284" t="s">
        <v>145</v>
      </c>
      <c r="EO176" s="281"/>
      <c r="EP176" s="284" t="s">
        <v>145</v>
      </c>
      <c r="EQ176" s="281"/>
      <c r="ER176" s="284" t="s">
        <v>145</v>
      </c>
      <c r="ES176" s="281"/>
      <c r="ET176" s="284" t="s">
        <v>145</v>
      </c>
      <c r="EU176" s="281"/>
      <c r="EV176" s="284" t="s">
        <v>145</v>
      </c>
      <c r="EW176" s="281"/>
      <c r="EX176" s="284" t="s">
        <v>145</v>
      </c>
      <c r="EY176" s="281"/>
      <c r="EZ176" s="284" t="s">
        <v>145</v>
      </c>
      <c r="FA176" s="281"/>
      <c r="FB176" s="284" t="s">
        <v>145</v>
      </c>
      <c r="FC176" s="281"/>
      <c r="FD176" s="284" t="s">
        <v>145</v>
      </c>
      <c r="FE176" s="281"/>
      <c r="FF176" s="284" t="s">
        <v>145</v>
      </c>
      <c r="FG176" s="281"/>
      <c r="FH176" s="284" t="s">
        <v>145</v>
      </c>
      <c r="FI176" s="281"/>
      <c r="FJ176" s="284" t="s">
        <v>145</v>
      </c>
      <c r="FK176" s="281"/>
      <c r="FL176" s="284" t="s">
        <v>145</v>
      </c>
      <c r="FM176" s="281"/>
      <c r="FN176" s="284" t="s">
        <v>145</v>
      </c>
      <c r="FO176" s="281"/>
      <c r="FP176" s="284" t="s">
        <v>145</v>
      </c>
      <c r="FQ176" s="281"/>
      <c r="FR176" s="301"/>
      <c r="FS176" s="301"/>
      <c r="FT176" s="301"/>
      <c r="FU176" s="301"/>
      <c r="FV176" s="301"/>
      <c r="FW176" s="301"/>
      <c r="FX176" s="301"/>
      <c r="FY176" s="301"/>
      <c r="FZ176" s="301"/>
      <c r="GA176" s="301"/>
      <c r="GB176" s="301"/>
      <c r="GC176" s="301"/>
      <c r="GD176" s="301"/>
      <c r="GE176" s="301"/>
      <c r="GF176" s="304"/>
      <c r="GG176" s="304"/>
    </row>
    <row r="177" spans="1:189" ht="15" customHeight="1" outlineLevel="1" x14ac:dyDescent="0.3">
      <c r="A177" s="1"/>
      <c r="B177" s="301"/>
      <c r="C177" s="301"/>
      <c r="D177" s="301"/>
      <c r="E177" s="301"/>
      <c r="F177" s="301"/>
      <c r="G177" s="5" t="s">
        <v>146</v>
      </c>
      <c r="H177" s="5"/>
      <c r="I177" s="341">
        <f t="shared" ref="I177:I179" si="388">AVERAGE(K177:AH177)</f>
        <v>89.90000000000002</v>
      </c>
      <c r="J177" s="281"/>
      <c r="K177" s="341">
        <v>79.8</v>
      </c>
      <c r="L177" s="281"/>
      <c r="M177" s="341">
        <v>87</v>
      </c>
      <c r="N177" s="281"/>
      <c r="O177" s="341">
        <v>88.9</v>
      </c>
      <c r="P177" s="281"/>
      <c r="Q177" s="341">
        <v>86.4</v>
      </c>
      <c r="R177" s="281"/>
      <c r="S177" s="341">
        <v>88.8</v>
      </c>
      <c r="T177" s="281"/>
      <c r="U177" s="341">
        <v>89.1</v>
      </c>
      <c r="V177" s="281"/>
      <c r="W177" s="341">
        <v>93.1</v>
      </c>
      <c r="X177" s="281"/>
      <c r="Y177" s="341">
        <v>89.6</v>
      </c>
      <c r="Z177" s="281"/>
      <c r="AA177" s="341">
        <v>93.9</v>
      </c>
      <c r="AB177" s="281"/>
      <c r="AC177" s="341">
        <v>96.5</v>
      </c>
      <c r="AD177" s="281"/>
      <c r="AE177" s="341">
        <v>93.2</v>
      </c>
      <c r="AF177" s="281"/>
      <c r="AG177" s="341">
        <v>92.5</v>
      </c>
      <c r="AH177" s="281"/>
      <c r="AI177" s="341">
        <v>93</v>
      </c>
      <c r="AJ177" s="281"/>
      <c r="AK177" s="341">
        <v>92.2</v>
      </c>
      <c r="AL177" s="281"/>
      <c r="AM177" s="341">
        <v>93.3</v>
      </c>
      <c r="AN177" s="281"/>
      <c r="AO177" s="341">
        <v>93.5</v>
      </c>
      <c r="AP177" s="281"/>
      <c r="AQ177" s="341">
        <v>91.6</v>
      </c>
      <c r="AR177" s="281"/>
      <c r="AS177" s="341">
        <v>90.9</v>
      </c>
      <c r="AT177" s="281"/>
      <c r="AU177" s="341">
        <v>91.3</v>
      </c>
      <c r="AV177" s="281"/>
      <c r="AW177" s="341">
        <v>88</v>
      </c>
      <c r="AX177" s="281"/>
      <c r="AY177" s="341">
        <v>91.4</v>
      </c>
      <c r="AZ177" s="281"/>
      <c r="BA177" s="341">
        <v>91.1</v>
      </c>
      <c r="BB177" s="281"/>
      <c r="BC177" s="341">
        <v>91.3</v>
      </c>
      <c r="BD177" s="281"/>
      <c r="BE177" s="341">
        <v>92.7</v>
      </c>
      <c r="BF177" s="281"/>
      <c r="BG177" s="341">
        <v>88.6</v>
      </c>
      <c r="BH177" s="281"/>
      <c r="BI177" s="341">
        <v>77.8</v>
      </c>
      <c r="BJ177" s="281"/>
      <c r="BK177" s="341">
        <v>91.4</v>
      </c>
      <c r="BL177" s="281"/>
      <c r="BM177" s="341">
        <v>89.7</v>
      </c>
      <c r="BN177" s="281"/>
      <c r="BO177" s="341">
        <v>92.9</v>
      </c>
      <c r="BP177" s="281"/>
      <c r="BQ177" s="341">
        <v>100</v>
      </c>
      <c r="BR177" s="281"/>
      <c r="BS177" s="341">
        <v>91.4</v>
      </c>
      <c r="BT177" s="281"/>
      <c r="BU177" s="341">
        <v>95.5</v>
      </c>
      <c r="BV177" s="281"/>
      <c r="BW177" s="341">
        <v>87.1</v>
      </c>
      <c r="BX177" s="281"/>
      <c r="BY177" s="341">
        <v>86.8</v>
      </c>
      <c r="BZ177" s="281"/>
      <c r="CA177" s="341">
        <v>85.7</v>
      </c>
      <c r="CB177" s="281"/>
      <c r="CC177" s="341">
        <v>94.1</v>
      </c>
      <c r="CD177" s="281"/>
      <c r="CE177" s="341">
        <v>93.2</v>
      </c>
      <c r="CF177" s="281"/>
      <c r="CG177" s="341">
        <v>85.2</v>
      </c>
      <c r="CH177" s="281"/>
      <c r="CI177" s="341">
        <v>90.8</v>
      </c>
      <c r="CJ177" s="281"/>
      <c r="CK177" s="341">
        <v>89.4</v>
      </c>
      <c r="CL177" s="281"/>
      <c r="CM177" s="341">
        <v>95.7</v>
      </c>
      <c r="CN177" s="281"/>
      <c r="CO177" s="341">
        <v>91.1</v>
      </c>
      <c r="CP177" s="281"/>
      <c r="CQ177" s="341">
        <v>91.8</v>
      </c>
      <c r="CR177" s="281"/>
      <c r="CS177" s="341">
        <v>96.3</v>
      </c>
      <c r="CT177" s="281"/>
      <c r="CU177" s="341">
        <v>86.3</v>
      </c>
      <c r="CV177" s="281"/>
      <c r="CW177" s="341">
        <v>83.1</v>
      </c>
      <c r="CX177" s="281"/>
      <c r="CY177" s="341">
        <v>87.9</v>
      </c>
      <c r="CZ177" s="281"/>
      <c r="DA177" s="341">
        <v>87.2</v>
      </c>
      <c r="DB177" s="281"/>
      <c r="DC177" s="341">
        <v>81.599999999999994</v>
      </c>
      <c r="DD177" s="281"/>
      <c r="DE177" s="341">
        <v>71.099999999999994</v>
      </c>
      <c r="DF177" s="281"/>
      <c r="DG177" s="341">
        <v>81.7</v>
      </c>
      <c r="DH177" s="281"/>
      <c r="DI177" s="341">
        <v>66.7</v>
      </c>
      <c r="DJ177" s="281"/>
      <c r="DK177" s="365">
        <v>88.9</v>
      </c>
      <c r="DL177" s="340"/>
      <c r="DM177" s="365">
        <v>90</v>
      </c>
      <c r="DN177" s="340"/>
      <c r="DO177" s="365">
        <v>93.2</v>
      </c>
      <c r="DP177" s="340"/>
      <c r="DQ177" s="341">
        <v>93.6</v>
      </c>
      <c r="DR177" s="281"/>
      <c r="DS177" s="365">
        <v>84.6</v>
      </c>
      <c r="DT177" s="340"/>
      <c r="DU177" s="301"/>
      <c r="DV177" s="301"/>
      <c r="DW177" s="301"/>
      <c r="DX177" s="301"/>
      <c r="DY177" s="301"/>
      <c r="DZ177" s="301"/>
      <c r="EA177" s="301"/>
      <c r="EB177" s="301"/>
      <c r="EC177" s="301"/>
      <c r="ED177" s="301"/>
      <c r="EE177" s="301"/>
      <c r="EF177" s="301"/>
      <c r="EG177" s="301"/>
      <c r="EH177" s="301"/>
      <c r="EI177" s="301"/>
      <c r="EJ177" s="301"/>
      <c r="EK177" s="301"/>
      <c r="EL177" s="301"/>
      <c r="EM177" s="301"/>
      <c r="EN177" s="365">
        <v>88.9</v>
      </c>
      <c r="EO177" s="340"/>
      <c r="EP177" s="365">
        <v>89.7</v>
      </c>
      <c r="EQ177" s="340"/>
      <c r="ER177" s="365">
        <v>90.7</v>
      </c>
      <c r="ES177" s="340"/>
      <c r="ET177" s="365">
        <v>92.9</v>
      </c>
      <c r="EU177" s="340"/>
      <c r="EV177" s="365">
        <v>97.6</v>
      </c>
      <c r="EW177" s="340"/>
      <c r="EX177" s="365">
        <v>83.3</v>
      </c>
      <c r="EY177" s="340"/>
      <c r="EZ177" s="365">
        <v>90.7</v>
      </c>
      <c r="FA177" s="340"/>
      <c r="FB177" s="365">
        <v>97.1</v>
      </c>
      <c r="FC177" s="340"/>
      <c r="FD177" s="365">
        <v>92.1</v>
      </c>
      <c r="FE177" s="340"/>
      <c r="FF177" s="365">
        <v>92.1</v>
      </c>
      <c r="FG177" s="340"/>
      <c r="FH177" s="365">
        <v>97.1</v>
      </c>
      <c r="FI177" s="340"/>
      <c r="FJ177" s="365">
        <v>84.6</v>
      </c>
      <c r="FK177" s="340"/>
      <c r="FL177" s="365">
        <v>78.8</v>
      </c>
      <c r="FM177" s="340"/>
      <c r="FN177" s="365">
        <v>90.3</v>
      </c>
      <c r="FO177" s="340"/>
      <c r="FP177" s="365">
        <v>88.9</v>
      </c>
      <c r="FQ177" s="340"/>
      <c r="FR177" s="301"/>
      <c r="FS177" s="301"/>
      <c r="FT177" s="301"/>
      <c r="FU177" s="301"/>
      <c r="FV177" s="301"/>
      <c r="FW177" s="301"/>
      <c r="FX177" s="301"/>
      <c r="FY177" s="301"/>
      <c r="FZ177" s="301"/>
      <c r="GA177" s="301"/>
      <c r="GB177" s="301"/>
      <c r="GC177" s="301"/>
      <c r="GD177" s="301"/>
      <c r="GE177" s="301"/>
      <c r="GF177" s="304"/>
      <c r="GG177" s="304"/>
    </row>
    <row r="178" spans="1:189" ht="15" customHeight="1" outlineLevel="1" x14ac:dyDescent="0.3">
      <c r="A178" s="1"/>
      <c r="B178" s="301"/>
      <c r="C178" s="301"/>
      <c r="D178" s="301"/>
      <c r="E178" s="301"/>
      <c r="F178" s="301"/>
      <c r="G178" s="5" t="s">
        <v>147</v>
      </c>
      <c r="H178" s="5"/>
      <c r="I178" s="341">
        <f t="shared" si="388"/>
        <v>66.108333333333334</v>
      </c>
      <c r="J178" s="281"/>
      <c r="K178" s="341">
        <v>63.6</v>
      </c>
      <c r="L178" s="281"/>
      <c r="M178" s="341">
        <v>52.2</v>
      </c>
      <c r="N178" s="281"/>
      <c r="O178" s="341">
        <v>58.9</v>
      </c>
      <c r="P178" s="281"/>
      <c r="Q178" s="341">
        <v>65.5</v>
      </c>
      <c r="R178" s="281"/>
      <c r="S178" s="341">
        <v>62.6</v>
      </c>
      <c r="T178" s="281"/>
      <c r="U178" s="341">
        <v>62</v>
      </c>
      <c r="V178" s="281"/>
      <c r="W178" s="341">
        <v>73.599999999999994</v>
      </c>
      <c r="X178" s="281"/>
      <c r="Y178" s="341">
        <v>64.5</v>
      </c>
      <c r="Z178" s="281"/>
      <c r="AA178" s="341">
        <v>73.5</v>
      </c>
      <c r="AB178" s="281"/>
      <c r="AC178" s="341">
        <v>77.599999999999994</v>
      </c>
      <c r="AD178" s="281"/>
      <c r="AE178" s="341">
        <v>70.5</v>
      </c>
      <c r="AF178" s="281"/>
      <c r="AG178" s="341">
        <v>68.8</v>
      </c>
      <c r="AH178" s="281"/>
      <c r="AI178" s="341">
        <v>69.900000000000006</v>
      </c>
      <c r="AJ178" s="281"/>
      <c r="AK178" s="341">
        <v>68.8</v>
      </c>
      <c r="AL178" s="281"/>
      <c r="AM178" s="341">
        <v>70</v>
      </c>
      <c r="AN178" s="281"/>
      <c r="AO178" s="341">
        <v>70.5</v>
      </c>
      <c r="AP178" s="281"/>
      <c r="AQ178" s="341">
        <v>70.099999999999994</v>
      </c>
      <c r="AR178" s="281"/>
      <c r="AS178" s="341">
        <v>72.099999999999994</v>
      </c>
      <c r="AT178" s="281"/>
      <c r="AU178" s="341">
        <v>72.5</v>
      </c>
      <c r="AV178" s="281"/>
      <c r="AW178" s="341">
        <v>76</v>
      </c>
      <c r="AX178" s="281"/>
      <c r="AY178" s="341">
        <v>70.5</v>
      </c>
      <c r="AZ178" s="281"/>
      <c r="BA178" s="341">
        <v>70.7</v>
      </c>
      <c r="BB178" s="281"/>
      <c r="BC178" s="341">
        <v>69.400000000000006</v>
      </c>
      <c r="BD178" s="281"/>
      <c r="BE178" s="341">
        <v>68.599999999999994</v>
      </c>
      <c r="BF178" s="281"/>
      <c r="BG178" s="341">
        <v>57.1</v>
      </c>
      <c r="BH178" s="281"/>
      <c r="BI178" s="341">
        <v>61.1</v>
      </c>
      <c r="BJ178" s="281"/>
      <c r="BK178" s="341">
        <v>67.2</v>
      </c>
      <c r="BL178" s="281"/>
      <c r="BM178" s="341">
        <v>65.5</v>
      </c>
      <c r="BN178" s="281"/>
      <c r="BO178" s="341">
        <v>78.599999999999994</v>
      </c>
      <c r="BP178" s="281"/>
      <c r="BQ178" s="341">
        <v>77.8</v>
      </c>
      <c r="BR178" s="281"/>
      <c r="BS178" s="341">
        <v>71.400000000000006</v>
      </c>
      <c r="BT178" s="281"/>
      <c r="BU178" s="341">
        <v>72.7</v>
      </c>
      <c r="BV178" s="281"/>
      <c r="BW178" s="341">
        <v>61.3</v>
      </c>
      <c r="BX178" s="281"/>
      <c r="BY178" s="341">
        <v>65.8</v>
      </c>
      <c r="BZ178" s="281"/>
      <c r="CA178" s="341">
        <v>60</v>
      </c>
      <c r="CB178" s="281"/>
      <c r="CC178" s="341">
        <v>70.599999999999994</v>
      </c>
      <c r="CD178" s="281"/>
      <c r="CE178" s="341">
        <v>70.5</v>
      </c>
      <c r="CF178" s="281"/>
      <c r="CG178" s="341">
        <v>81.5</v>
      </c>
      <c r="CH178" s="281"/>
      <c r="CI178" s="341">
        <v>69.7</v>
      </c>
      <c r="CJ178" s="281"/>
      <c r="CK178" s="341">
        <v>59.1</v>
      </c>
      <c r="CL178" s="281"/>
      <c r="CM178" s="341">
        <v>60.9</v>
      </c>
      <c r="CN178" s="281"/>
      <c r="CO178" s="341">
        <v>68.900000000000006</v>
      </c>
      <c r="CP178" s="281"/>
      <c r="CQ178" s="341">
        <v>69.400000000000006</v>
      </c>
      <c r="CR178" s="281"/>
      <c r="CS178" s="341">
        <v>59.3</v>
      </c>
      <c r="CT178" s="281"/>
      <c r="CU178" s="341">
        <v>53.4</v>
      </c>
      <c r="CV178" s="281"/>
      <c r="CW178" s="341">
        <v>47.5</v>
      </c>
      <c r="CX178" s="281"/>
      <c r="CY178" s="341">
        <v>71.2</v>
      </c>
      <c r="CZ178" s="281"/>
      <c r="DA178" s="341">
        <v>59</v>
      </c>
      <c r="DB178" s="281"/>
      <c r="DC178" s="341">
        <v>65.8</v>
      </c>
      <c r="DD178" s="281"/>
      <c r="DE178" s="341">
        <v>50</v>
      </c>
      <c r="DF178" s="281"/>
      <c r="DG178" s="341">
        <v>53.3</v>
      </c>
      <c r="DH178" s="281"/>
      <c r="DI178" s="341">
        <v>47.1</v>
      </c>
      <c r="DJ178" s="281"/>
      <c r="DK178" s="365">
        <v>64.8</v>
      </c>
      <c r="DL178" s="340"/>
      <c r="DM178" s="365">
        <v>68.3</v>
      </c>
      <c r="DN178" s="340"/>
      <c r="DO178" s="365">
        <v>68.5</v>
      </c>
      <c r="DP178" s="340"/>
      <c r="DQ178" s="341">
        <v>78.2</v>
      </c>
      <c r="DR178" s="281"/>
      <c r="DS178" s="365">
        <v>69.2</v>
      </c>
      <c r="DT178" s="340"/>
      <c r="DU178" s="301"/>
      <c r="DV178" s="301"/>
      <c r="DW178" s="301"/>
      <c r="DX178" s="301"/>
      <c r="DY178" s="301"/>
      <c r="DZ178" s="301"/>
      <c r="EA178" s="301"/>
      <c r="EB178" s="301"/>
      <c r="EC178" s="301"/>
      <c r="ED178" s="301"/>
      <c r="EE178" s="301"/>
      <c r="EF178" s="301"/>
      <c r="EG178" s="301"/>
      <c r="EH178" s="301"/>
      <c r="EI178" s="301"/>
      <c r="EJ178" s="301"/>
      <c r="EK178" s="301"/>
      <c r="EL178" s="301"/>
      <c r="EM178" s="301"/>
      <c r="EN178" s="365">
        <v>59.3</v>
      </c>
      <c r="EO178" s="340"/>
      <c r="EP178" s="365">
        <v>72.400000000000006</v>
      </c>
      <c r="EQ178" s="340"/>
      <c r="ER178" s="365">
        <v>55.8</v>
      </c>
      <c r="ES178" s="340"/>
      <c r="ET178" s="365">
        <v>57.1</v>
      </c>
      <c r="EU178" s="340"/>
      <c r="EV178" s="365">
        <v>54.8</v>
      </c>
      <c r="EW178" s="340"/>
      <c r="EX178" s="365">
        <v>62.5</v>
      </c>
      <c r="EY178" s="340"/>
      <c r="EZ178" s="365">
        <v>29.6</v>
      </c>
      <c r="FA178" s="340"/>
      <c r="FB178" s="365">
        <v>60.9</v>
      </c>
      <c r="FC178" s="340"/>
      <c r="FD178" s="365">
        <v>61.9</v>
      </c>
      <c r="FE178" s="340"/>
      <c r="FF178" s="365">
        <v>67</v>
      </c>
      <c r="FG178" s="340"/>
      <c r="FH178" s="365">
        <v>61.4</v>
      </c>
      <c r="FI178" s="340"/>
      <c r="FJ178" s="365">
        <v>55.4</v>
      </c>
      <c r="FK178" s="340"/>
      <c r="FL178" s="365">
        <v>57.6</v>
      </c>
      <c r="FM178" s="340"/>
      <c r="FN178" s="365">
        <v>61.9</v>
      </c>
      <c r="FO178" s="340"/>
      <c r="FP178" s="365">
        <v>61.7</v>
      </c>
      <c r="FQ178" s="340"/>
      <c r="FR178" s="301"/>
      <c r="FS178" s="301"/>
      <c r="FT178" s="301"/>
      <c r="FU178" s="301"/>
      <c r="FV178" s="301"/>
      <c r="FW178" s="301"/>
      <c r="FX178" s="301"/>
      <c r="FY178" s="301"/>
      <c r="FZ178" s="301"/>
      <c r="GA178" s="301"/>
      <c r="GB178" s="301"/>
      <c r="GC178" s="301"/>
      <c r="GD178" s="301"/>
      <c r="GE178" s="301"/>
      <c r="GF178" s="304"/>
      <c r="GG178" s="304"/>
    </row>
    <row r="179" spans="1:189" ht="15" customHeight="1" outlineLevel="1" x14ac:dyDescent="0.3">
      <c r="A179" s="1"/>
      <c r="B179" s="302"/>
      <c r="C179" s="302"/>
      <c r="D179" s="302"/>
      <c r="E179" s="302"/>
      <c r="F179" s="302"/>
      <c r="G179" s="5" t="s">
        <v>148</v>
      </c>
      <c r="H179" s="5"/>
      <c r="I179" s="341">
        <f t="shared" si="388"/>
        <v>6.7966666666666669</v>
      </c>
      <c r="J179" s="281"/>
      <c r="K179" s="341">
        <v>6.93</v>
      </c>
      <c r="L179" s="281"/>
      <c r="M179" s="341">
        <v>5.59</v>
      </c>
      <c r="N179" s="281"/>
      <c r="O179" s="341">
        <v>7.08</v>
      </c>
      <c r="P179" s="281"/>
      <c r="Q179" s="341">
        <v>6.3</v>
      </c>
      <c r="R179" s="281"/>
      <c r="S179" s="341">
        <v>6.62</v>
      </c>
      <c r="T179" s="281"/>
      <c r="U179" s="341">
        <v>6.62</v>
      </c>
      <c r="V179" s="281"/>
      <c r="W179" s="341">
        <v>6.83</v>
      </c>
      <c r="X179" s="281"/>
      <c r="Y179" s="341">
        <v>6.75</v>
      </c>
      <c r="Z179" s="281"/>
      <c r="AA179" s="341">
        <v>7.64</v>
      </c>
      <c r="AB179" s="281"/>
      <c r="AC179" s="341">
        <v>7</v>
      </c>
      <c r="AD179" s="281"/>
      <c r="AE179" s="341">
        <v>7.16</v>
      </c>
      <c r="AF179" s="281"/>
      <c r="AG179" s="341">
        <v>7.04</v>
      </c>
      <c r="AH179" s="281"/>
      <c r="AI179" s="341">
        <v>7.13</v>
      </c>
      <c r="AJ179" s="281"/>
      <c r="AK179" s="341">
        <v>7.16</v>
      </c>
      <c r="AL179" s="281"/>
      <c r="AM179" s="341">
        <v>7.28</v>
      </c>
      <c r="AN179" s="281"/>
      <c r="AO179" s="341">
        <v>7.3</v>
      </c>
      <c r="AP179" s="281"/>
      <c r="AQ179" s="341">
        <v>7.45</v>
      </c>
      <c r="AR179" s="281"/>
      <c r="AS179" s="341">
        <v>7.5</v>
      </c>
      <c r="AT179" s="281"/>
      <c r="AU179" s="341">
        <v>7.47</v>
      </c>
      <c r="AV179" s="281"/>
      <c r="AW179" s="341">
        <v>6.76</v>
      </c>
      <c r="AX179" s="281"/>
      <c r="AY179" s="341">
        <v>7.25</v>
      </c>
      <c r="AZ179" s="281"/>
      <c r="BA179" s="341">
        <v>7.23</v>
      </c>
      <c r="BB179" s="281"/>
      <c r="BC179" s="341">
        <v>7.03</v>
      </c>
      <c r="BD179" s="281"/>
      <c r="BE179" s="341">
        <v>6.98</v>
      </c>
      <c r="BF179" s="281"/>
      <c r="BG179" s="341">
        <v>6.5</v>
      </c>
      <c r="BH179" s="281"/>
      <c r="BI179" s="341">
        <v>7.1</v>
      </c>
      <c r="BJ179" s="281"/>
      <c r="BK179" s="341">
        <v>7.3</v>
      </c>
      <c r="BL179" s="281"/>
      <c r="BM179" s="341">
        <v>7.3</v>
      </c>
      <c r="BN179" s="281"/>
      <c r="BO179" s="341">
        <v>7.7</v>
      </c>
      <c r="BP179" s="281"/>
      <c r="BQ179" s="341">
        <v>7.11</v>
      </c>
      <c r="BR179" s="281"/>
      <c r="BS179" s="341">
        <v>7.2</v>
      </c>
      <c r="BT179" s="281"/>
      <c r="BU179" s="341">
        <v>8</v>
      </c>
      <c r="BV179" s="281"/>
      <c r="BW179" s="341">
        <v>7.2</v>
      </c>
      <c r="BX179" s="281"/>
      <c r="BY179" s="341">
        <v>7.4</v>
      </c>
      <c r="BZ179" s="281"/>
      <c r="CA179" s="341">
        <v>6.7</v>
      </c>
      <c r="CB179" s="281"/>
      <c r="CC179" s="341">
        <v>7.7</v>
      </c>
      <c r="CD179" s="281"/>
      <c r="CE179" s="341">
        <v>6.9</v>
      </c>
      <c r="CF179" s="281"/>
      <c r="CG179" s="341">
        <v>7.1</v>
      </c>
      <c r="CH179" s="281"/>
      <c r="CI179" s="341">
        <v>7.2</v>
      </c>
      <c r="CJ179" s="281"/>
      <c r="CK179" s="341">
        <v>6.06</v>
      </c>
      <c r="CL179" s="281"/>
      <c r="CM179" s="341">
        <v>6.2</v>
      </c>
      <c r="CN179" s="281"/>
      <c r="CO179" s="341">
        <v>6.6</v>
      </c>
      <c r="CP179" s="281"/>
      <c r="CQ179" s="341">
        <v>7.1</v>
      </c>
      <c r="CR179" s="281"/>
      <c r="CS179" s="341">
        <v>6.5</v>
      </c>
      <c r="CT179" s="281"/>
      <c r="CU179" s="341">
        <v>5.8</v>
      </c>
      <c r="CV179" s="281"/>
      <c r="CW179" s="341">
        <v>5.9</v>
      </c>
      <c r="CX179" s="281"/>
      <c r="CY179" s="341">
        <v>6.3</v>
      </c>
      <c r="CZ179" s="281"/>
      <c r="DA179" s="341">
        <v>5.8</v>
      </c>
      <c r="DB179" s="281"/>
      <c r="DC179" s="341">
        <v>6.5</v>
      </c>
      <c r="DD179" s="281"/>
      <c r="DE179" s="341">
        <v>4.8</v>
      </c>
      <c r="DF179" s="281"/>
      <c r="DG179" s="341">
        <v>5.4</v>
      </c>
      <c r="DH179" s="281"/>
      <c r="DI179" s="341">
        <v>5</v>
      </c>
      <c r="DJ179" s="281"/>
      <c r="DK179" s="365">
        <v>7.26</v>
      </c>
      <c r="DL179" s="340"/>
      <c r="DM179" s="365">
        <v>7.12</v>
      </c>
      <c r="DN179" s="340"/>
      <c r="DO179" s="365">
        <v>7.11</v>
      </c>
      <c r="DP179" s="340"/>
      <c r="DQ179" s="341">
        <v>7.7</v>
      </c>
      <c r="DR179" s="281"/>
      <c r="DS179" s="365">
        <v>6.74</v>
      </c>
      <c r="DT179" s="340"/>
      <c r="DU179" s="302"/>
      <c r="DV179" s="302"/>
      <c r="DW179" s="302"/>
      <c r="DX179" s="302"/>
      <c r="DY179" s="302"/>
      <c r="DZ179" s="302"/>
      <c r="EA179" s="302"/>
      <c r="EB179" s="302"/>
      <c r="EC179" s="302"/>
      <c r="ED179" s="302"/>
      <c r="EE179" s="302"/>
      <c r="EF179" s="302"/>
      <c r="EG179" s="302"/>
      <c r="EH179" s="302"/>
      <c r="EI179" s="302"/>
      <c r="EJ179" s="302"/>
      <c r="EK179" s="302"/>
      <c r="EL179" s="302"/>
      <c r="EM179" s="302"/>
      <c r="EN179" s="365">
        <v>6.2</v>
      </c>
      <c r="EO179" s="340"/>
      <c r="EP179" s="365">
        <v>6.8</v>
      </c>
      <c r="EQ179" s="340"/>
      <c r="ER179" s="365">
        <v>6.7</v>
      </c>
      <c r="ES179" s="340"/>
      <c r="ET179" s="365">
        <v>6.3</v>
      </c>
      <c r="EU179" s="340"/>
      <c r="EV179" s="365">
        <v>5.4</v>
      </c>
      <c r="EW179" s="340"/>
      <c r="EX179" s="365">
        <v>5.23</v>
      </c>
      <c r="EY179" s="340"/>
      <c r="EZ179" s="365">
        <v>3.5</v>
      </c>
      <c r="FA179" s="340"/>
      <c r="FB179" s="365">
        <v>6.2</v>
      </c>
      <c r="FC179" s="340"/>
      <c r="FD179" s="365">
        <v>6.6</v>
      </c>
      <c r="FE179" s="340"/>
      <c r="FF179" s="365">
        <v>6.3</v>
      </c>
      <c r="FG179" s="340"/>
      <c r="FH179" s="365">
        <v>6.5</v>
      </c>
      <c r="FI179" s="340"/>
      <c r="FJ179" s="365">
        <v>5.9</v>
      </c>
      <c r="FK179" s="340"/>
      <c r="FL179" s="365">
        <v>5.5</v>
      </c>
      <c r="FM179" s="340"/>
      <c r="FN179" s="365">
        <v>5.9</v>
      </c>
      <c r="FO179" s="340"/>
      <c r="FP179" s="365">
        <v>6.05</v>
      </c>
      <c r="FQ179" s="340"/>
      <c r="FR179" s="302"/>
      <c r="FS179" s="302"/>
      <c r="FT179" s="302"/>
      <c r="FU179" s="302"/>
      <c r="FV179" s="302"/>
      <c r="FW179" s="302"/>
      <c r="FX179" s="302"/>
      <c r="FY179" s="302"/>
      <c r="FZ179" s="302"/>
      <c r="GA179" s="302"/>
      <c r="GB179" s="302"/>
      <c r="GC179" s="302"/>
      <c r="GD179" s="302"/>
      <c r="GE179" s="302"/>
      <c r="GF179" s="305"/>
      <c r="GG179" s="305"/>
    </row>
    <row r="180" spans="1:189" ht="8.25" customHeight="1" x14ac:dyDescent="0.3">
      <c r="A180" s="1"/>
      <c r="B180" s="18"/>
      <c r="C180" s="18"/>
      <c r="D180" s="18"/>
      <c r="E180" s="18"/>
      <c r="F180" s="18"/>
      <c r="G180" s="3"/>
      <c r="H180" s="3"/>
      <c r="I180" s="19"/>
      <c r="J180" s="20"/>
      <c r="K180" s="19"/>
      <c r="L180" s="20"/>
      <c r="M180" s="19"/>
      <c r="N180" s="20"/>
      <c r="O180" s="19"/>
      <c r="P180" s="20"/>
      <c r="Q180" s="19"/>
      <c r="R180" s="20"/>
      <c r="S180" s="19"/>
      <c r="T180" s="20"/>
      <c r="U180" s="19"/>
      <c r="V180" s="20"/>
      <c r="W180" s="19"/>
      <c r="X180" s="20"/>
      <c r="Y180" s="19"/>
      <c r="Z180" s="20"/>
      <c r="AA180" s="19"/>
      <c r="AB180" s="20"/>
      <c r="AC180" s="19"/>
      <c r="AD180" s="20"/>
      <c r="AE180" s="19"/>
      <c r="AF180" s="20"/>
      <c r="AG180" s="19"/>
      <c r="AH180" s="20"/>
      <c r="AI180" s="19"/>
      <c r="AJ180" s="20"/>
      <c r="AK180" s="19"/>
      <c r="AL180" s="20"/>
      <c r="AM180" s="19"/>
      <c r="AN180" s="20"/>
      <c r="AO180" s="19"/>
      <c r="AP180" s="20"/>
      <c r="AQ180" s="19"/>
      <c r="AR180" s="20"/>
      <c r="AS180" s="19"/>
      <c r="AT180" s="20"/>
      <c r="AU180" s="19"/>
      <c r="AV180" s="20"/>
      <c r="AW180" s="19"/>
      <c r="AX180" s="20"/>
      <c r="AY180" s="19"/>
      <c r="AZ180" s="20"/>
      <c r="BA180" s="19"/>
      <c r="BB180" s="20"/>
      <c r="BC180" s="19"/>
      <c r="BD180" s="20"/>
      <c r="BE180" s="19"/>
      <c r="BF180" s="20"/>
      <c r="BG180" s="19"/>
      <c r="BH180" s="20"/>
      <c r="BI180" s="19"/>
      <c r="BJ180" s="20"/>
      <c r="BK180" s="19"/>
      <c r="BL180" s="20"/>
      <c r="BM180" s="19"/>
      <c r="BN180" s="20"/>
      <c r="BO180" s="19"/>
      <c r="BP180" s="20"/>
      <c r="BQ180" s="19"/>
      <c r="BR180" s="20"/>
      <c r="BS180" s="19"/>
      <c r="BT180" s="20"/>
      <c r="BU180" s="19"/>
      <c r="BV180" s="20"/>
      <c r="BW180" s="19"/>
      <c r="BX180" s="20"/>
      <c r="BY180" s="19"/>
      <c r="BZ180" s="20"/>
      <c r="CA180" s="19"/>
      <c r="CB180" s="20"/>
      <c r="CC180" s="19"/>
      <c r="CD180" s="20"/>
      <c r="CE180" s="19"/>
      <c r="CF180" s="20"/>
      <c r="CG180" s="19"/>
      <c r="CH180" s="20"/>
      <c r="CI180" s="19"/>
      <c r="CJ180" s="20"/>
      <c r="CK180" s="19"/>
      <c r="CL180" s="20"/>
      <c r="CM180" s="19"/>
      <c r="CN180" s="20"/>
      <c r="CO180" s="19"/>
      <c r="CP180" s="20"/>
      <c r="CQ180" s="19"/>
      <c r="CR180" s="20"/>
      <c r="CS180" s="19"/>
      <c r="CT180" s="20"/>
      <c r="CU180" s="19"/>
      <c r="CV180" s="20"/>
      <c r="CW180" s="19"/>
      <c r="CX180" s="20"/>
      <c r="CY180" s="19"/>
      <c r="CZ180" s="20"/>
      <c r="DA180" s="19"/>
      <c r="DB180" s="20"/>
      <c r="DC180" s="19"/>
      <c r="DD180" s="20"/>
      <c r="DE180" s="19"/>
      <c r="DF180" s="20"/>
      <c r="DG180" s="19"/>
      <c r="DH180" s="20"/>
      <c r="DI180" s="19"/>
      <c r="DJ180" s="20"/>
      <c r="DK180" s="19"/>
      <c r="DL180" s="20"/>
      <c r="DM180" s="19"/>
      <c r="DN180" s="20"/>
      <c r="DO180" s="19"/>
      <c r="DP180" s="20"/>
      <c r="DQ180" s="19"/>
      <c r="DR180" s="20"/>
      <c r="DS180" s="19"/>
      <c r="DT180" s="20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19"/>
      <c r="EO180" s="20"/>
      <c r="EP180" s="19"/>
      <c r="EQ180" s="20"/>
      <c r="ER180" s="19"/>
      <c r="ES180" s="20"/>
      <c r="ET180" s="19"/>
      <c r="EU180" s="20"/>
      <c r="EV180" s="19"/>
      <c r="EW180" s="20"/>
      <c r="EX180" s="19"/>
      <c r="EY180" s="20"/>
      <c r="EZ180" s="19"/>
      <c r="FA180" s="20"/>
      <c r="FB180" s="19"/>
      <c r="FC180" s="20"/>
      <c r="FD180" s="19"/>
      <c r="FE180" s="20"/>
      <c r="FF180" s="19"/>
      <c r="FG180" s="20"/>
      <c r="FH180" s="19"/>
      <c r="FI180" s="20"/>
      <c r="FJ180" s="19"/>
      <c r="FK180" s="20"/>
      <c r="FL180" s="19"/>
      <c r="FM180" s="20"/>
      <c r="FN180" s="19"/>
      <c r="FO180" s="20"/>
      <c r="FP180" s="19"/>
      <c r="FQ180" s="20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</row>
    <row r="181" spans="1:189" ht="15" customHeight="1" x14ac:dyDescent="0.3">
      <c r="A181" s="63"/>
      <c r="B181" s="313" t="s">
        <v>395</v>
      </c>
      <c r="C181" s="313" t="s">
        <v>149</v>
      </c>
      <c r="D181" s="313" t="s">
        <v>96</v>
      </c>
      <c r="E181" s="313" t="s">
        <v>150</v>
      </c>
      <c r="F181" s="313" t="s">
        <v>114</v>
      </c>
      <c r="G181" s="5" t="s">
        <v>28</v>
      </c>
      <c r="H181" s="5"/>
      <c r="I181" s="284">
        <v>62</v>
      </c>
      <c r="J181" s="281"/>
      <c r="K181" s="284">
        <v>43</v>
      </c>
      <c r="L181" s="281"/>
      <c r="M181" s="284">
        <v>43</v>
      </c>
      <c r="N181" s="281"/>
      <c r="O181" s="284">
        <v>43</v>
      </c>
      <c r="P181" s="281"/>
      <c r="Q181" s="284">
        <v>43</v>
      </c>
      <c r="R181" s="281"/>
      <c r="S181" s="284">
        <v>43</v>
      </c>
      <c r="T181" s="281"/>
      <c r="U181" s="284">
        <v>43</v>
      </c>
      <c r="V181" s="281"/>
      <c r="W181" s="284">
        <v>54</v>
      </c>
      <c r="X181" s="281"/>
      <c r="Y181" s="284">
        <v>62</v>
      </c>
      <c r="Z181" s="281"/>
      <c r="AA181" s="284">
        <v>62</v>
      </c>
      <c r="AB181" s="281"/>
      <c r="AC181" s="284">
        <v>62</v>
      </c>
      <c r="AD181" s="281"/>
      <c r="AE181" s="284">
        <v>62</v>
      </c>
      <c r="AF181" s="281"/>
      <c r="AG181" s="284">
        <v>62</v>
      </c>
      <c r="AH181" s="281"/>
      <c r="AI181" s="284">
        <v>62</v>
      </c>
      <c r="AJ181" s="281"/>
      <c r="AK181" s="284">
        <v>62</v>
      </c>
      <c r="AL181" s="281"/>
      <c r="AM181" s="284">
        <v>62</v>
      </c>
      <c r="AN181" s="281"/>
      <c r="AO181" s="284">
        <v>62</v>
      </c>
      <c r="AP181" s="281"/>
      <c r="AQ181" s="284">
        <v>62</v>
      </c>
      <c r="AR181" s="281"/>
      <c r="AS181" s="284">
        <v>62</v>
      </c>
      <c r="AT181" s="281"/>
      <c r="AU181" s="284">
        <v>62</v>
      </c>
      <c r="AV181" s="281"/>
      <c r="AW181" s="284">
        <v>62</v>
      </c>
      <c r="AX181" s="281"/>
      <c r="AY181" s="284">
        <v>60</v>
      </c>
      <c r="AZ181" s="281"/>
      <c r="BA181" s="284">
        <v>60</v>
      </c>
      <c r="BB181" s="281"/>
      <c r="BC181" s="284">
        <v>60</v>
      </c>
      <c r="BD181" s="281"/>
      <c r="BE181" s="284">
        <v>60</v>
      </c>
      <c r="BF181" s="281"/>
      <c r="BG181" s="284">
        <v>60</v>
      </c>
      <c r="BH181" s="281"/>
      <c r="BI181" s="284">
        <v>60</v>
      </c>
      <c r="BJ181" s="281"/>
      <c r="BK181" s="284">
        <v>60</v>
      </c>
      <c r="BL181" s="281"/>
      <c r="BM181" s="284">
        <v>60</v>
      </c>
      <c r="BN181" s="281"/>
      <c r="BO181" s="284">
        <v>60</v>
      </c>
      <c r="BP181" s="281"/>
      <c r="BQ181" s="284">
        <v>60</v>
      </c>
      <c r="BR181" s="281"/>
      <c r="BS181" s="284">
        <v>60</v>
      </c>
      <c r="BT181" s="281"/>
      <c r="BU181" s="284">
        <v>60</v>
      </c>
      <c r="BV181" s="281"/>
      <c r="BW181" s="284">
        <v>60</v>
      </c>
      <c r="BX181" s="281"/>
      <c r="BY181" s="284">
        <v>60</v>
      </c>
      <c r="BZ181" s="281"/>
      <c r="CA181" s="284">
        <v>60</v>
      </c>
      <c r="CB181" s="281"/>
      <c r="CC181" s="284">
        <v>60</v>
      </c>
      <c r="CD181" s="281"/>
      <c r="CE181" s="284">
        <v>60</v>
      </c>
      <c r="CF181" s="281"/>
      <c r="CG181" s="284">
        <v>60</v>
      </c>
      <c r="CH181" s="281"/>
      <c r="CI181" s="284">
        <v>60</v>
      </c>
      <c r="CJ181" s="281"/>
      <c r="CK181" s="284">
        <v>60</v>
      </c>
      <c r="CL181" s="281"/>
      <c r="CM181" s="284">
        <v>60</v>
      </c>
      <c r="CN181" s="281"/>
      <c r="CO181" s="284">
        <v>60</v>
      </c>
      <c r="CP181" s="281"/>
      <c r="CQ181" s="284">
        <v>60</v>
      </c>
      <c r="CR181" s="281"/>
      <c r="CS181" s="284">
        <v>60</v>
      </c>
      <c r="CT181" s="281"/>
      <c r="CU181" s="284">
        <v>60</v>
      </c>
      <c r="CV181" s="281"/>
      <c r="CW181" s="284">
        <v>60</v>
      </c>
      <c r="CX181" s="281"/>
      <c r="CY181" s="284">
        <v>60</v>
      </c>
      <c r="CZ181" s="281"/>
      <c r="DA181" s="284">
        <v>60</v>
      </c>
      <c r="DB181" s="281"/>
      <c r="DC181" s="284">
        <v>60</v>
      </c>
      <c r="DD181" s="281"/>
      <c r="DE181" s="284">
        <v>60</v>
      </c>
      <c r="DF181" s="281"/>
      <c r="DG181" s="284">
        <v>60</v>
      </c>
      <c r="DH181" s="281"/>
      <c r="DI181" s="284">
        <v>60</v>
      </c>
      <c r="DJ181" s="281"/>
      <c r="DK181" s="284">
        <v>60</v>
      </c>
      <c r="DL181" s="281"/>
      <c r="DM181" s="284">
        <v>60</v>
      </c>
      <c r="DN181" s="281"/>
      <c r="DO181" s="284">
        <v>60</v>
      </c>
      <c r="DP181" s="281"/>
      <c r="DQ181" s="284">
        <v>60</v>
      </c>
      <c r="DR181" s="281"/>
      <c r="DS181" s="284">
        <v>60</v>
      </c>
      <c r="DT181" s="281"/>
      <c r="DU181" s="308" t="s">
        <v>29</v>
      </c>
      <c r="DV181" s="308" t="s">
        <v>29</v>
      </c>
      <c r="DW181" s="308" t="s">
        <v>29</v>
      </c>
      <c r="DX181" s="308" t="s">
        <v>29</v>
      </c>
      <c r="DY181" s="308" t="s">
        <v>29</v>
      </c>
      <c r="DZ181" s="308" t="s">
        <v>29</v>
      </c>
      <c r="EA181" s="308" t="s">
        <v>29</v>
      </c>
      <c r="EB181" s="308" t="s">
        <v>29</v>
      </c>
      <c r="EC181" s="308" t="s">
        <v>29</v>
      </c>
      <c r="ED181" s="308" t="s">
        <v>29</v>
      </c>
      <c r="EE181" s="308" t="s">
        <v>29</v>
      </c>
      <c r="EF181" s="308" t="s">
        <v>29</v>
      </c>
      <c r="EG181" s="308" t="s">
        <v>29</v>
      </c>
      <c r="EH181" s="308" t="s">
        <v>29</v>
      </c>
      <c r="EI181" s="308" t="s">
        <v>29</v>
      </c>
      <c r="EJ181" s="308" t="s">
        <v>29</v>
      </c>
      <c r="EK181" s="308"/>
      <c r="EL181" s="308"/>
      <c r="EM181" s="308"/>
      <c r="EN181" s="284">
        <v>60</v>
      </c>
      <c r="EO181" s="281"/>
      <c r="EP181" s="284">
        <v>60</v>
      </c>
      <c r="EQ181" s="281"/>
      <c r="ER181" s="284">
        <v>60</v>
      </c>
      <c r="ES181" s="281"/>
      <c r="ET181" s="284">
        <v>60</v>
      </c>
      <c r="EU181" s="281"/>
      <c r="EV181" s="284">
        <v>60</v>
      </c>
      <c r="EW181" s="281"/>
      <c r="EX181" s="284">
        <v>60</v>
      </c>
      <c r="EY181" s="281"/>
      <c r="EZ181" s="284">
        <v>60</v>
      </c>
      <c r="FA181" s="281"/>
      <c r="FB181" s="284">
        <v>60</v>
      </c>
      <c r="FC181" s="281"/>
      <c r="FD181" s="284">
        <v>60</v>
      </c>
      <c r="FE181" s="281"/>
      <c r="FF181" s="284">
        <v>60</v>
      </c>
      <c r="FG181" s="281"/>
      <c r="FH181" s="284">
        <v>60</v>
      </c>
      <c r="FI181" s="281"/>
      <c r="FJ181" s="284">
        <v>60</v>
      </c>
      <c r="FK181" s="281"/>
      <c r="FL181" s="284">
        <v>60</v>
      </c>
      <c r="FM181" s="281"/>
      <c r="FN181" s="284">
        <v>60</v>
      </c>
      <c r="FO181" s="281"/>
      <c r="FP181" s="284">
        <v>60</v>
      </c>
      <c r="FQ181" s="281"/>
      <c r="FR181" s="308" t="s">
        <v>29</v>
      </c>
      <c r="FS181" s="308" t="s">
        <v>29</v>
      </c>
      <c r="FT181" s="308" t="s">
        <v>29</v>
      </c>
      <c r="FU181" s="308" t="s">
        <v>29</v>
      </c>
      <c r="FV181" s="308" t="s">
        <v>29</v>
      </c>
      <c r="FW181" s="308" t="s">
        <v>29</v>
      </c>
      <c r="FX181" s="308" t="s">
        <v>29</v>
      </c>
      <c r="FY181" s="308" t="s">
        <v>29</v>
      </c>
      <c r="FZ181" s="308" t="s">
        <v>29</v>
      </c>
      <c r="GA181" s="308" t="s">
        <v>29</v>
      </c>
      <c r="GB181" s="308" t="s">
        <v>29</v>
      </c>
      <c r="GC181" s="308" t="s">
        <v>29</v>
      </c>
      <c r="GD181" s="308" t="s">
        <v>29</v>
      </c>
      <c r="GE181" s="308" t="s">
        <v>29</v>
      </c>
      <c r="GF181" s="308"/>
      <c r="GG181" s="308"/>
    </row>
    <row r="182" spans="1:189" ht="4.5" customHeight="1" x14ac:dyDescent="0.3">
      <c r="A182" s="1"/>
      <c r="B182" s="301"/>
      <c r="C182" s="301"/>
      <c r="D182" s="301"/>
      <c r="E182" s="301"/>
      <c r="F182" s="301"/>
      <c r="G182" s="5"/>
      <c r="H182" s="5"/>
      <c r="I182" s="421"/>
      <c r="J182" s="281"/>
      <c r="K182" s="387"/>
      <c r="L182" s="281"/>
      <c r="M182" s="421"/>
      <c r="N182" s="281"/>
      <c r="O182" s="421"/>
      <c r="P182" s="281"/>
      <c r="Q182" s="387"/>
      <c r="R182" s="281"/>
      <c r="S182" s="387"/>
      <c r="T182" s="281"/>
      <c r="U182" s="387"/>
      <c r="V182" s="281"/>
      <c r="W182" s="387"/>
      <c r="X182" s="281"/>
      <c r="Y182" s="421"/>
      <c r="Z182" s="281"/>
      <c r="AA182" s="421"/>
      <c r="AB182" s="281"/>
      <c r="AC182" s="387"/>
      <c r="AD182" s="281"/>
      <c r="AE182" s="387"/>
      <c r="AF182" s="281"/>
      <c r="AG182" s="387"/>
      <c r="AH182" s="281"/>
      <c r="AI182" s="351"/>
      <c r="AJ182" s="281"/>
      <c r="AK182" s="328"/>
      <c r="AL182" s="281"/>
      <c r="AM182" s="328"/>
      <c r="AN182" s="281"/>
      <c r="AO182" s="351"/>
      <c r="AP182" s="281"/>
      <c r="AQ182" s="351"/>
      <c r="AR182" s="281"/>
      <c r="AS182" s="351"/>
      <c r="AT182" s="281"/>
      <c r="AU182" s="351"/>
      <c r="AV182" s="281"/>
      <c r="AW182" s="351"/>
      <c r="AX182" s="281"/>
      <c r="AY182" s="351"/>
      <c r="AZ182" s="281"/>
      <c r="BA182" s="351"/>
      <c r="BB182" s="281"/>
      <c r="BC182" s="422"/>
      <c r="BD182" s="281"/>
      <c r="BE182" s="422"/>
      <c r="BF182" s="281"/>
      <c r="BG182" s="351"/>
      <c r="BH182" s="281"/>
      <c r="BI182" s="422"/>
      <c r="BJ182" s="281"/>
      <c r="BK182" s="422"/>
      <c r="BL182" s="281"/>
      <c r="BM182" s="422"/>
      <c r="BN182" s="281"/>
      <c r="BO182" s="351"/>
      <c r="BP182" s="281"/>
      <c r="BQ182" s="422"/>
      <c r="BR182" s="281"/>
      <c r="BS182" s="422"/>
      <c r="BT182" s="281"/>
      <c r="BU182" s="422"/>
      <c r="BV182" s="281"/>
      <c r="BW182" s="422"/>
      <c r="BX182" s="281"/>
      <c r="BY182" s="422"/>
      <c r="BZ182" s="281"/>
      <c r="CA182" s="351"/>
      <c r="CB182" s="281"/>
      <c r="CC182" s="422"/>
      <c r="CD182" s="281"/>
      <c r="CE182" s="351"/>
      <c r="CF182" s="281"/>
      <c r="CG182" s="351"/>
      <c r="CH182" s="281"/>
      <c r="CI182" s="351"/>
      <c r="CJ182" s="281"/>
      <c r="CK182" s="351"/>
      <c r="CL182" s="281"/>
      <c r="CM182" s="351"/>
      <c r="CN182" s="281"/>
      <c r="CO182" s="351"/>
      <c r="CP182" s="281"/>
      <c r="CQ182" s="351"/>
      <c r="CR182" s="281"/>
      <c r="CS182" s="351"/>
      <c r="CT182" s="281"/>
      <c r="CU182" s="351"/>
      <c r="CV182" s="281"/>
      <c r="CW182" s="351"/>
      <c r="CX182" s="281"/>
      <c r="CY182" s="351"/>
      <c r="CZ182" s="281"/>
      <c r="DA182" s="351"/>
      <c r="DB182" s="281"/>
      <c r="DC182" s="351"/>
      <c r="DD182" s="281"/>
      <c r="DE182" s="351"/>
      <c r="DF182" s="281"/>
      <c r="DG182" s="351"/>
      <c r="DH182" s="281"/>
      <c r="DI182" s="351"/>
      <c r="DJ182" s="281"/>
      <c r="DK182" s="351"/>
      <c r="DL182" s="281"/>
      <c r="DM182" s="351"/>
      <c r="DN182" s="281"/>
      <c r="DO182" s="351"/>
      <c r="DP182" s="281"/>
      <c r="DQ182" s="351"/>
      <c r="DR182" s="281"/>
      <c r="DS182" s="351"/>
      <c r="DT182" s="281"/>
      <c r="DU182" s="301"/>
      <c r="DV182" s="301"/>
      <c r="DW182" s="301"/>
      <c r="DX182" s="301"/>
      <c r="DY182" s="301"/>
      <c r="DZ182" s="301"/>
      <c r="EA182" s="301"/>
      <c r="EB182" s="301"/>
      <c r="EC182" s="301"/>
      <c r="ED182" s="301"/>
      <c r="EE182" s="301"/>
      <c r="EF182" s="301"/>
      <c r="EG182" s="301"/>
      <c r="EH182" s="301"/>
      <c r="EI182" s="301"/>
      <c r="EJ182" s="301"/>
      <c r="EK182" s="301"/>
      <c r="EL182" s="301"/>
      <c r="EM182" s="301"/>
      <c r="EN182" s="351"/>
      <c r="EO182" s="281"/>
      <c r="EP182" s="351"/>
      <c r="EQ182" s="281"/>
      <c r="ER182" s="351"/>
      <c r="ES182" s="281"/>
      <c r="ET182" s="351"/>
      <c r="EU182" s="281"/>
      <c r="EV182" s="351"/>
      <c r="EW182" s="281"/>
      <c r="EX182" s="351"/>
      <c r="EY182" s="281"/>
      <c r="EZ182" s="351"/>
      <c r="FA182" s="281"/>
      <c r="FB182" s="351"/>
      <c r="FC182" s="281"/>
      <c r="FD182" s="351"/>
      <c r="FE182" s="281"/>
      <c r="FF182" s="328"/>
      <c r="FG182" s="281"/>
      <c r="FH182" s="328"/>
      <c r="FI182" s="281"/>
      <c r="FJ182" s="328"/>
      <c r="FK182" s="281"/>
      <c r="FL182" s="351"/>
      <c r="FM182" s="281"/>
      <c r="FN182" s="351"/>
      <c r="FO182" s="281"/>
      <c r="FP182" s="328"/>
      <c r="FQ182" s="281"/>
      <c r="FR182" s="301"/>
      <c r="FS182" s="301"/>
      <c r="FT182" s="301"/>
      <c r="FU182" s="301"/>
      <c r="FV182" s="301"/>
      <c r="FW182" s="301"/>
      <c r="FX182" s="301"/>
      <c r="FY182" s="301"/>
      <c r="FZ182" s="301"/>
      <c r="GA182" s="301"/>
      <c r="GB182" s="301"/>
      <c r="GC182" s="301"/>
      <c r="GD182" s="301"/>
      <c r="GE182" s="301"/>
      <c r="GF182" s="289"/>
      <c r="GG182" s="289"/>
    </row>
    <row r="183" spans="1:189" ht="15" customHeight="1" x14ac:dyDescent="0.3">
      <c r="A183" s="1"/>
      <c r="B183" s="301"/>
      <c r="C183" s="301"/>
      <c r="D183" s="301"/>
      <c r="E183" s="301"/>
      <c r="F183" s="301"/>
      <c r="G183" s="5" t="s">
        <v>30</v>
      </c>
      <c r="H183" s="5"/>
      <c r="I183" s="284">
        <v>57</v>
      </c>
      <c r="J183" s="281"/>
      <c r="K183" s="284">
        <v>43</v>
      </c>
      <c r="L183" s="281"/>
      <c r="M183" s="284">
        <v>38</v>
      </c>
      <c r="N183" s="281"/>
      <c r="O183" s="284">
        <v>39</v>
      </c>
      <c r="P183" s="281"/>
      <c r="Q183" s="284">
        <v>44</v>
      </c>
      <c r="R183" s="281"/>
      <c r="S183" s="284">
        <v>53</v>
      </c>
      <c r="T183" s="281"/>
      <c r="U183" s="284">
        <v>65</v>
      </c>
      <c r="V183" s="281"/>
      <c r="W183" s="284">
        <v>68</v>
      </c>
      <c r="X183" s="281"/>
      <c r="Y183" s="284">
        <v>59</v>
      </c>
      <c r="Z183" s="281"/>
      <c r="AA183" s="284">
        <v>61</v>
      </c>
      <c r="AB183" s="281"/>
      <c r="AC183" s="284">
        <v>64</v>
      </c>
      <c r="AD183" s="281"/>
      <c r="AE183" s="284">
        <v>65</v>
      </c>
      <c r="AF183" s="281"/>
      <c r="AG183" s="284">
        <v>63</v>
      </c>
      <c r="AH183" s="281"/>
      <c r="AI183" s="284">
        <v>60</v>
      </c>
      <c r="AJ183" s="281"/>
      <c r="AK183" s="284">
        <v>62</v>
      </c>
      <c r="AL183" s="281"/>
      <c r="AM183" s="284">
        <v>62</v>
      </c>
      <c r="AN183" s="281"/>
      <c r="AO183" s="284">
        <v>57</v>
      </c>
      <c r="AP183" s="281"/>
      <c r="AQ183" s="284">
        <v>58</v>
      </c>
      <c r="AR183" s="281"/>
      <c r="AS183" s="284">
        <v>56</v>
      </c>
      <c r="AT183" s="281"/>
      <c r="AU183" s="284">
        <v>56</v>
      </c>
      <c r="AV183" s="281"/>
      <c r="AW183" s="284">
        <v>58</v>
      </c>
      <c r="AX183" s="281"/>
      <c r="AY183" s="284">
        <v>59</v>
      </c>
      <c r="AZ183" s="281"/>
      <c r="BA183" s="284">
        <v>59</v>
      </c>
      <c r="BB183" s="281"/>
      <c r="BC183" s="284">
        <v>61</v>
      </c>
      <c r="BD183" s="281"/>
      <c r="BE183" s="284">
        <v>61</v>
      </c>
      <c r="BF183" s="281"/>
      <c r="BG183" s="284">
        <v>59</v>
      </c>
      <c r="BH183" s="281"/>
      <c r="BI183" s="284">
        <v>63</v>
      </c>
      <c r="BJ183" s="281"/>
      <c r="BK183" s="284">
        <v>65</v>
      </c>
      <c r="BL183" s="281"/>
      <c r="BM183" s="284">
        <v>65</v>
      </c>
      <c r="BN183" s="281"/>
      <c r="BO183" s="284">
        <v>58</v>
      </c>
      <c r="BP183" s="281"/>
      <c r="BQ183" s="284">
        <v>65</v>
      </c>
      <c r="BR183" s="281"/>
      <c r="BS183" s="284">
        <v>66</v>
      </c>
      <c r="BT183" s="281"/>
      <c r="BU183" s="284">
        <v>66</v>
      </c>
      <c r="BV183" s="281"/>
      <c r="BW183" s="284">
        <v>68</v>
      </c>
      <c r="BX183" s="281"/>
      <c r="BY183" s="284">
        <v>64</v>
      </c>
      <c r="BZ183" s="281"/>
      <c r="CA183" s="284">
        <v>58</v>
      </c>
      <c r="CB183" s="281"/>
      <c r="CC183" s="284">
        <v>63</v>
      </c>
      <c r="CD183" s="281"/>
      <c r="CE183" s="284">
        <v>55</v>
      </c>
      <c r="CF183" s="281"/>
      <c r="CG183" s="284">
        <v>59</v>
      </c>
      <c r="CH183" s="281"/>
      <c r="CI183" s="284">
        <v>58</v>
      </c>
      <c r="CJ183" s="281"/>
      <c r="CK183" s="284">
        <v>56</v>
      </c>
      <c r="CL183" s="281"/>
      <c r="CM183" s="284">
        <v>57</v>
      </c>
      <c r="CN183" s="281"/>
      <c r="CO183" s="284">
        <v>59</v>
      </c>
      <c r="CP183" s="281"/>
      <c r="CQ183" s="284">
        <v>58</v>
      </c>
      <c r="CR183" s="281"/>
      <c r="CS183" s="284">
        <v>58</v>
      </c>
      <c r="CT183" s="281"/>
      <c r="CU183" s="284">
        <v>58</v>
      </c>
      <c r="CV183" s="281"/>
      <c r="CW183" s="284">
        <v>59</v>
      </c>
      <c r="CX183" s="281"/>
      <c r="CY183" s="284">
        <v>58</v>
      </c>
      <c r="CZ183" s="281"/>
      <c r="DA183" s="284">
        <v>56</v>
      </c>
      <c r="DB183" s="281"/>
      <c r="DC183" s="284">
        <v>57</v>
      </c>
      <c r="DD183" s="281"/>
      <c r="DE183" s="284">
        <v>56</v>
      </c>
      <c r="DF183" s="281"/>
      <c r="DG183" s="284">
        <v>47</v>
      </c>
      <c r="DH183" s="281"/>
      <c r="DI183" s="284">
        <v>51</v>
      </c>
      <c r="DJ183" s="281"/>
      <c r="DK183" s="284">
        <v>51</v>
      </c>
      <c r="DL183" s="281"/>
      <c r="DM183" s="284">
        <v>56</v>
      </c>
      <c r="DN183" s="281"/>
      <c r="DO183" s="284">
        <v>58</v>
      </c>
      <c r="DP183" s="281"/>
      <c r="DQ183" s="284">
        <v>49</v>
      </c>
      <c r="DR183" s="281"/>
      <c r="DS183" s="284">
        <v>51</v>
      </c>
      <c r="DT183" s="281"/>
      <c r="DU183" s="301"/>
      <c r="DV183" s="301"/>
      <c r="DW183" s="301"/>
      <c r="DX183" s="301"/>
      <c r="DY183" s="301"/>
      <c r="DZ183" s="301"/>
      <c r="EA183" s="301"/>
      <c r="EB183" s="301"/>
      <c r="EC183" s="301"/>
      <c r="ED183" s="301"/>
      <c r="EE183" s="301"/>
      <c r="EF183" s="301"/>
      <c r="EG183" s="301"/>
      <c r="EH183" s="301"/>
      <c r="EI183" s="301"/>
      <c r="EJ183" s="301"/>
      <c r="EK183" s="301"/>
      <c r="EL183" s="301"/>
      <c r="EM183" s="301"/>
      <c r="EN183" s="284">
        <v>40</v>
      </c>
      <c r="EO183" s="281"/>
      <c r="EP183" s="284">
        <v>50</v>
      </c>
      <c r="EQ183" s="281"/>
      <c r="ER183" s="284">
        <v>45</v>
      </c>
      <c r="ES183" s="281"/>
      <c r="ET183" s="284">
        <v>42</v>
      </c>
      <c r="EU183" s="281"/>
      <c r="EV183" s="284">
        <v>25</v>
      </c>
      <c r="EW183" s="281"/>
      <c r="EX183" s="284">
        <v>12</v>
      </c>
      <c r="EY183" s="281"/>
      <c r="EZ183" s="284">
        <v>46</v>
      </c>
      <c r="FA183" s="281"/>
      <c r="FB183" s="284">
        <v>56</v>
      </c>
      <c r="FC183" s="281"/>
      <c r="FD183" s="284">
        <v>39</v>
      </c>
      <c r="FE183" s="281"/>
      <c r="FF183" s="284">
        <v>62</v>
      </c>
      <c r="FG183" s="281"/>
      <c r="FH183" s="284">
        <v>61</v>
      </c>
      <c r="FI183" s="281"/>
      <c r="FJ183" s="284">
        <v>61</v>
      </c>
      <c r="FK183" s="281"/>
      <c r="FL183" s="284">
        <v>56</v>
      </c>
      <c r="FM183" s="281"/>
      <c r="FN183" s="284">
        <v>50</v>
      </c>
      <c r="FO183" s="281"/>
      <c r="FP183" s="284">
        <v>62</v>
      </c>
      <c r="FQ183" s="281"/>
      <c r="FR183" s="301"/>
      <c r="FS183" s="301"/>
      <c r="FT183" s="301"/>
      <c r="FU183" s="301"/>
      <c r="FV183" s="301"/>
      <c r="FW183" s="301"/>
      <c r="FX183" s="301"/>
      <c r="FY183" s="301"/>
      <c r="FZ183" s="301"/>
      <c r="GA183" s="301"/>
      <c r="GB183" s="301"/>
      <c r="GC183" s="301"/>
      <c r="GD183" s="301"/>
      <c r="GE183" s="301"/>
      <c r="GF183" s="289"/>
      <c r="GG183" s="289"/>
    </row>
    <row r="184" spans="1:189" ht="15" customHeight="1" x14ac:dyDescent="0.3">
      <c r="A184" s="1"/>
      <c r="B184" s="301"/>
      <c r="C184" s="301"/>
      <c r="D184" s="301"/>
      <c r="E184" s="301"/>
      <c r="F184" s="301"/>
      <c r="G184" s="5" t="s">
        <v>151</v>
      </c>
      <c r="H184" s="5"/>
      <c r="I184" s="23">
        <v>48153</v>
      </c>
      <c r="J184" s="30">
        <f>(29473+5372)/I184</f>
        <v>0.72363092642202975</v>
      </c>
      <c r="K184" s="23">
        <f>2515+516+827</f>
        <v>3858</v>
      </c>
      <c r="L184" s="30">
        <v>0.64</v>
      </c>
      <c r="M184" s="23">
        <f>1778+390+687</f>
        <v>2855</v>
      </c>
      <c r="N184" s="30">
        <v>0.62</v>
      </c>
      <c r="O184" s="23">
        <f>1997+423+758</f>
        <v>3178</v>
      </c>
      <c r="P184" s="30">
        <v>0.63</v>
      </c>
      <c r="Q184" s="23">
        <f>2131+450+680</f>
        <v>3261</v>
      </c>
      <c r="R184" s="30">
        <v>0.65</v>
      </c>
      <c r="S184" s="23">
        <f>2163+388+540</f>
        <v>3091</v>
      </c>
      <c r="T184" s="30">
        <v>0.7</v>
      </c>
      <c r="U184" s="23">
        <v>2443</v>
      </c>
      <c r="V184" s="30">
        <v>0.77</v>
      </c>
      <c r="W184" s="23">
        <v>3452</v>
      </c>
      <c r="X184" s="30">
        <v>0.78239999999999998</v>
      </c>
      <c r="Y184" s="23">
        <v>2474</v>
      </c>
      <c r="Z184" s="30">
        <v>0.74</v>
      </c>
      <c r="AA184" s="23">
        <v>2404</v>
      </c>
      <c r="AB184" s="30">
        <f>(1577+293)/AA184</f>
        <v>0.77787021630615638</v>
      </c>
      <c r="AC184" s="23">
        <v>9829</v>
      </c>
      <c r="AD184" s="30">
        <f>(6431+1072)/AC184</f>
        <v>0.76335334215077832</v>
      </c>
      <c r="AE184" s="23">
        <v>5115</v>
      </c>
      <c r="AF184" s="30">
        <f>(3411+553)/AE184</f>
        <v>0.77497556207233631</v>
      </c>
      <c r="AG184" s="23">
        <v>5957</v>
      </c>
      <c r="AH184" s="30">
        <f>(3774+713)/AG184</f>
        <v>0.7532314923619271</v>
      </c>
      <c r="AI184" s="23">
        <v>3787</v>
      </c>
      <c r="AJ184" s="30">
        <f>(2504+464)/AI184</f>
        <v>0.7837338262476895</v>
      </c>
      <c r="AK184" s="23">
        <v>3244</v>
      </c>
      <c r="AL184" s="30">
        <f>(2196+412)/AK184</f>
        <v>0.80394574599260171</v>
      </c>
      <c r="AM184" s="23">
        <v>3292</v>
      </c>
      <c r="AN184" s="30">
        <f>(2216+480)/AM184</f>
        <v>0.81895504252733897</v>
      </c>
      <c r="AO184" s="23">
        <v>3240</v>
      </c>
      <c r="AP184" s="30">
        <f>(2042+354)/AO184</f>
        <v>0.73950617283950615</v>
      </c>
      <c r="AQ184" s="23">
        <v>3276</v>
      </c>
      <c r="AR184" s="30">
        <f>(2055+338)/AQ184</f>
        <v>0.73046398046398042</v>
      </c>
      <c r="AS184" s="23">
        <v>3142</v>
      </c>
      <c r="AT184" s="30">
        <f>(1923+266)/AS184</f>
        <v>0.69669000636537237</v>
      </c>
      <c r="AU184" s="23">
        <v>3386</v>
      </c>
      <c r="AV184" s="30">
        <f>(2026+401)/AU184</f>
        <v>0.71677495569994099</v>
      </c>
      <c r="AW184" s="23">
        <v>3284</v>
      </c>
      <c r="AX184" s="30">
        <f>(2055+353)/AW184</f>
        <v>0.73325213154689406</v>
      </c>
      <c r="AY184" s="23">
        <v>2758</v>
      </c>
      <c r="AZ184" s="30">
        <f>(1726+315)/AY184</f>
        <v>0.74002900652646841</v>
      </c>
      <c r="BA184" s="23">
        <v>3247</v>
      </c>
      <c r="BB184" s="30">
        <f>(2030+357)/BA184</f>
        <v>0.73514012935016937</v>
      </c>
      <c r="BC184" s="23">
        <v>2871</v>
      </c>
      <c r="BD184" s="30">
        <f>(1822+328)/BC184</f>
        <v>0.74886799024730055</v>
      </c>
      <c r="BE184" s="23">
        <v>3508</v>
      </c>
      <c r="BF184" s="30">
        <f>(2229+364)/BE184</f>
        <v>0.73916761687571264</v>
      </c>
      <c r="BG184" s="23">
        <v>2538</v>
      </c>
      <c r="BH184" s="30">
        <f>(1607+254)/BG184</f>
        <v>0.73325453112687156</v>
      </c>
      <c r="BI184" s="23">
        <v>1920</v>
      </c>
      <c r="BJ184" s="30">
        <f>(1272+186)/BI184</f>
        <v>0.75937500000000002</v>
      </c>
      <c r="BK184" s="23">
        <v>2077</v>
      </c>
      <c r="BL184" s="30">
        <f>(1373+235)/BK184</f>
        <v>0.77419354838709675</v>
      </c>
      <c r="BM184" s="23">
        <f>1438+183+256</f>
        <v>1877</v>
      </c>
      <c r="BN184" s="30">
        <f>(1438+183)/BM184</f>
        <v>0.86361214704315392</v>
      </c>
      <c r="BO184" s="23">
        <f>1452+224+299</f>
        <v>1975</v>
      </c>
      <c r="BP184" s="30">
        <f>(1452+224)/BO184</f>
        <v>0.8486075949367089</v>
      </c>
      <c r="BQ184" s="23">
        <f>1112+139+182</f>
        <v>1433</v>
      </c>
      <c r="BR184" s="94">
        <f>(1112+139)/BQ184</f>
        <v>0.8729937194696441</v>
      </c>
      <c r="BS184" s="23">
        <f>1212+184+177</f>
        <v>1573</v>
      </c>
      <c r="BT184" s="94">
        <f>(1212+189)/BS184</f>
        <v>0.89065479974570883</v>
      </c>
      <c r="BU184" s="23">
        <f>1564+181+249</f>
        <v>1994</v>
      </c>
      <c r="BV184" s="94">
        <f>(1564+181)/BU184</f>
        <v>0.87512537612838515</v>
      </c>
      <c r="BW184" s="23">
        <f>1572+170+229</f>
        <v>1971</v>
      </c>
      <c r="BX184" s="94">
        <f>(1572+170)/BW184</f>
        <v>0.88381532217148651</v>
      </c>
      <c r="BY184" s="23">
        <f>1483+214+245</f>
        <v>1942</v>
      </c>
      <c r="BZ184" s="94">
        <f>(1483+214)/BY184</f>
        <v>0.87384140061791971</v>
      </c>
      <c r="CA184" s="23">
        <f>1153+154+251</f>
        <v>1558</v>
      </c>
      <c r="CB184" s="94">
        <f>(1153+154)/CA184</f>
        <v>0.8388960205391528</v>
      </c>
      <c r="CC184" s="23">
        <f>1419+190+251</f>
        <v>1860</v>
      </c>
      <c r="CD184" s="94">
        <f>(1419+190)/CC184</f>
        <v>0.86505376344086027</v>
      </c>
      <c r="CE184" s="23">
        <f>1278+201+300</f>
        <v>1779</v>
      </c>
      <c r="CF184" s="94">
        <f>(1290+201)/CE184</f>
        <v>0.83811129848229338</v>
      </c>
      <c r="CG184" s="23">
        <f>1279+181+267</f>
        <v>1727</v>
      </c>
      <c r="CH184" s="94">
        <f>(1279+181)/CG184</f>
        <v>0.84539664157498551</v>
      </c>
      <c r="CI184" s="23">
        <f>1541+226+330</f>
        <v>2097</v>
      </c>
      <c r="CJ184" s="94">
        <f>(1541+226)/CI184</f>
        <v>0.84263233190271813</v>
      </c>
      <c r="CK184" s="23">
        <f>1205+179+276</f>
        <v>1660</v>
      </c>
      <c r="CL184" s="94">
        <f>(1205+179)/CK184</f>
        <v>0.83373493975903612</v>
      </c>
      <c r="CM184" s="23">
        <f>1830+264+400</f>
        <v>2494</v>
      </c>
      <c r="CN184" s="94">
        <f>(1830+264)/CM184</f>
        <v>0.83961507618283882</v>
      </c>
      <c r="CO184" s="23">
        <f>1150+166+238</f>
        <v>1554</v>
      </c>
      <c r="CP184" s="94">
        <f>(1150+166)/CO184</f>
        <v>0.84684684684684686</v>
      </c>
      <c r="CQ184" s="23">
        <f>1462+205+314</f>
        <v>1981</v>
      </c>
      <c r="CR184" s="94">
        <f>(1462+205)/CQ184</f>
        <v>0.84149419485108534</v>
      </c>
      <c r="CS184" s="23">
        <f>1460+206+315</f>
        <v>1981</v>
      </c>
      <c r="CT184" s="94">
        <f>(1460+206)/CS184</f>
        <v>0.8409893992932862</v>
      </c>
      <c r="CU184" s="23">
        <f>1571+194+348</f>
        <v>2113</v>
      </c>
      <c r="CV184" s="94">
        <f>(1571+194)/CU184</f>
        <v>0.83530525319451021</v>
      </c>
      <c r="CW184" s="23">
        <f>1578+219+321</f>
        <v>2118</v>
      </c>
      <c r="CX184" s="94">
        <f>(1578+219)/CW184</f>
        <v>0.84844192634560911</v>
      </c>
      <c r="CY184" s="23">
        <f>1318+196+277</f>
        <v>1791</v>
      </c>
      <c r="CZ184" s="94">
        <f>(1318+196)/CY184</f>
        <v>0.84533780011166948</v>
      </c>
      <c r="DA184" s="23">
        <f>1741+280+390</f>
        <v>2411</v>
      </c>
      <c r="DB184" s="94">
        <f>(1741+280)/DA184</f>
        <v>0.83824139361260885</v>
      </c>
      <c r="DC184" s="23">
        <f>1301+202+278</f>
        <v>1781</v>
      </c>
      <c r="DD184" s="94">
        <f>(1301+202)/DC184</f>
        <v>0.84390791690061762</v>
      </c>
      <c r="DE184" s="23">
        <f>763+97+180</f>
        <v>1040</v>
      </c>
      <c r="DF184" s="94">
        <f>(763+97)/DE184</f>
        <v>0.82692307692307687</v>
      </c>
      <c r="DG184" s="23">
        <f>369+65+114</f>
        <v>548</v>
      </c>
      <c r="DH184" s="94">
        <f>(369+65)/DG184</f>
        <v>0.79197080291970801</v>
      </c>
      <c r="DI184" s="23">
        <f>191+27+53</f>
        <v>271</v>
      </c>
      <c r="DJ184" s="94">
        <f>(191+27)/DI184</f>
        <v>0.80442804428044279</v>
      </c>
      <c r="DK184" s="23">
        <v>821</v>
      </c>
      <c r="DL184" s="94">
        <f>(581)/DK184</f>
        <v>0.70767356881851395</v>
      </c>
      <c r="DM184" s="23">
        <v>967</v>
      </c>
      <c r="DN184" s="94">
        <f>(708)/DM184</f>
        <v>0.73216132368148912</v>
      </c>
      <c r="DO184" s="23">
        <v>860</v>
      </c>
      <c r="DP184" s="94">
        <f>(613)/DO184</f>
        <v>0.71279069767441861</v>
      </c>
      <c r="DQ184" s="23">
        <f>836+112+246</f>
        <v>1194</v>
      </c>
      <c r="DR184" s="94">
        <f>(836)/DQ184</f>
        <v>0.70016750418760465</v>
      </c>
      <c r="DS184" s="23">
        <v>1059</v>
      </c>
      <c r="DT184" s="94">
        <f>(755)/DS184</f>
        <v>0.71293673276676106</v>
      </c>
      <c r="DU184" s="301"/>
      <c r="DV184" s="301"/>
      <c r="DW184" s="301"/>
      <c r="DX184" s="301"/>
      <c r="DY184" s="301"/>
      <c r="DZ184" s="301"/>
      <c r="EA184" s="301"/>
      <c r="EB184" s="301"/>
      <c r="EC184" s="301"/>
      <c r="ED184" s="301"/>
      <c r="EE184" s="301"/>
      <c r="EF184" s="301"/>
      <c r="EG184" s="301"/>
      <c r="EH184" s="301"/>
      <c r="EI184" s="301"/>
      <c r="EJ184" s="301"/>
      <c r="EK184" s="301"/>
      <c r="EL184" s="301"/>
      <c r="EM184" s="301"/>
      <c r="EN184" s="23">
        <f>437+73+166</f>
        <v>676</v>
      </c>
      <c r="EO184" s="94">
        <f>(437+73)/EN184</f>
        <v>0.75443786982248517</v>
      </c>
      <c r="EP184" s="23">
        <f>469+58+139</f>
        <v>666</v>
      </c>
      <c r="EQ184" s="94">
        <f>(469+58)/EP184</f>
        <v>0.79129129129129128</v>
      </c>
      <c r="ER184" s="23">
        <f>459+58+154</f>
        <v>671</v>
      </c>
      <c r="ES184" s="94">
        <f>(459+58)/ER184</f>
        <v>0.77049180327868849</v>
      </c>
      <c r="ET184" s="23">
        <f>168+16+63</f>
        <v>247</v>
      </c>
      <c r="EU184" s="94">
        <f>(168+19)/ET184</f>
        <v>0.75708502024291502</v>
      </c>
      <c r="EV184" s="23">
        <f>145+11+85</f>
        <v>241</v>
      </c>
      <c r="EW184" s="94">
        <f>(145+11)/EV184</f>
        <v>0.64730290456431538</v>
      </c>
      <c r="EX184" s="23">
        <f>95+22+73</f>
        <v>190</v>
      </c>
      <c r="EY184" s="94">
        <f>(95+22)/EX184</f>
        <v>0.61578947368421055</v>
      </c>
      <c r="EZ184" s="23">
        <f>261+51+81</f>
        <v>393</v>
      </c>
      <c r="FA184" s="94">
        <f>(261+51)/EZ184</f>
        <v>0.79389312977099236</v>
      </c>
      <c r="FB184" s="23">
        <f>357+56+82</f>
        <v>495</v>
      </c>
      <c r="FC184" s="94">
        <f>(357+56)/FB184</f>
        <v>0.83434343434343439</v>
      </c>
      <c r="FD184" s="23">
        <f>277+34+112</f>
        <v>423</v>
      </c>
      <c r="FE184" s="94">
        <f>(277+34)/FD184</f>
        <v>0.73522458628841603</v>
      </c>
      <c r="FF184" s="23">
        <f>771+70+154</f>
        <v>995</v>
      </c>
      <c r="FG184" s="94">
        <f>(771+70)/FF184</f>
        <v>0.84522613065326635</v>
      </c>
      <c r="FH184" s="23">
        <f>687+66+139</f>
        <v>892</v>
      </c>
      <c r="FI184" s="94">
        <f>(687+66)/FH184</f>
        <v>0.844170403587444</v>
      </c>
      <c r="FJ184" s="23">
        <f>621+63+129</f>
        <v>813</v>
      </c>
      <c r="FK184" s="94">
        <f>(621+63)/FJ184</f>
        <v>0.84132841328413288</v>
      </c>
      <c r="FL184" s="23">
        <f>475+58+114</f>
        <v>647</v>
      </c>
      <c r="FM184" s="94">
        <f>(475+58)/FL184</f>
        <v>0.8238021638330757</v>
      </c>
      <c r="FN184" s="23">
        <v>266</v>
      </c>
      <c r="FO184" s="94">
        <f>183/FN184</f>
        <v>0.68796992481203012</v>
      </c>
      <c r="FP184" s="23">
        <v>226</v>
      </c>
      <c r="FQ184" s="94">
        <f>173/FP184</f>
        <v>0.76548672566371678</v>
      </c>
      <c r="FR184" s="301"/>
      <c r="FS184" s="301"/>
      <c r="FT184" s="301"/>
      <c r="FU184" s="301"/>
      <c r="FV184" s="301"/>
      <c r="FW184" s="301"/>
      <c r="FX184" s="301"/>
      <c r="FY184" s="301"/>
      <c r="FZ184" s="301"/>
      <c r="GA184" s="301"/>
      <c r="GB184" s="301"/>
      <c r="GC184" s="301"/>
      <c r="GD184" s="301"/>
      <c r="GE184" s="301"/>
      <c r="GF184" s="289"/>
      <c r="GG184" s="289"/>
    </row>
    <row r="185" spans="1:189" ht="15" customHeight="1" outlineLevel="1" x14ac:dyDescent="0.3">
      <c r="A185" s="1"/>
      <c r="B185" s="301"/>
      <c r="C185" s="301"/>
      <c r="D185" s="301"/>
      <c r="E185" s="301"/>
      <c r="F185" s="301"/>
      <c r="G185" s="5" t="s">
        <v>152</v>
      </c>
      <c r="H185" s="5"/>
      <c r="I185" s="23">
        <v>3276</v>
      </c>
      <c r="J185" s="30">
        <f t="shared" ref="J185:J187" si="389">I185/$I$184</f>
        <v>6.8033144352376798E-2</v>
      </c>
      <c r="K185" s="23">
        <v>352</v>
      </c>
      <c r="L185" s="30">
        <v>0.09</v>
      </c>
      <c r="M185" s="23">
        <v>311</v>
      </c>
      <c r="N185" s="30">
        <v>0.11</v>
      </c>
      <c r="O185" s="23">
        <v>344</v>
      </c>
      <c r="P185" s="30">
        <v>0.11</v>
      </c>
      <c r="Q185" s="23">
        <v>295</v>
      </c>
      <c r="R185" s="30">
        <v>0.09</v>
      </c>
      <c r="S185" s="23">
        <v>229</v>
      </c>
      <c r="T185" s="30">
        <v>7.0000000000000007E-2</v>
      </c>
      <c r="U185" s="23">
        <v>148</v>
      </c>
      <c r="V185" s="30">
        <v>0.06</v>
      </c>
      <c r="W185" s="23">
        <v>157</v>
      </c>
      <c r="X185" s="30">
        <v>4.5499999999999999E-2</v>
      </c>
      <c r="Y185" s="23">
        <v>169</v>
      </c>
      <c r="Z185" s="30">
        <v>6.6400000000000001E-2</v>
      </c>
      <c r="AA185" s="23">
        <v>157</v>
      </c>
      <c r="AB185" s="30">
        <f t="shared" ref="AB185:AB187" si="390">AA185/$AA$184</f>
        <v>6.5307820299500829E-2</v>
      </c>
      <c r="AC185" s="23">
        <v>523</v>
      </c>
      <c r="AD185" s="30">
        <f t="shared" ref="AD185:AD187" si="391">AC185/$AC$184</f>
        <v>5.3209889103672803E-2</v>
      </c>
      <c r="AE185" s="23">
        <v>262</v>
      </c>
      <c r="AF185" s="30">
        <f t="shared" ref="AF185:AF187" si="392">AE185/$AE$184</f>
        <v>5.1221896383186707E-2</v>
      </c>
      <c r="AG185" s="23">
        <v>316</v>
      </c>
      <c r="AH185" s="30">
        <f t="shared" ref="AH185:AH187" si="393">AG185/$AG$184</f>
        <v>5.304683565553131E-2</v>
      </c>
      <c r="AI185" s="23">
        <v>252</v>
      </c>
      <c r="AJ185" s="30">
        <f t="shared" ref="AJ185:AJ187" si="394">AI185/$AI$184</f>
        <v>6.6543438077634007E-2</v>
      </c>
      <c r="AK185" s="23">
        <v>199</v>
      </c>
      <c r="AL185" s="30">
        <f t="shared" ref="AL185:AL187" si="395">AK185/$AK$184</f>
        <v>6.1344019728729965E-2</v>
      </c>
      <c r="AM185" s="23">
        <v>194</v>
      </c>
      <c r="AN185" s="30">
        <f t="shared" ref="AN185:AN187" si="396">AM185/$AM$184</f>
        <v>5.8930741190765495E-2</v>
      </c>
      <c r="AO185" s="23">
        <v>247</v>
      </c>
      <c r="AP185" s="30">
        <f t="shared" ref="AP185:AP187" si="397">AO185/$AO$184</f>
        <v>7.6234567901234562E-2</v>
      </c>
      <c r="AQ185" s="23">
        <v>234</v>
      </c>
      <c r="AR185" s="30">
        <f t="shared" ref="AR185:AR187" si="398">AQ185/$AQ$184</f>
        <v>7.1428571428571425E-2</v>
      </c>
      <c r="AS185" s="23">
        <v>215</v>
      </c>
      <c r="AT185" s="30">
        <f t="shared" ref="AT185:AT187" si="399">AS185/$AS$184</f>
        <v>6.8427753023551877E-2</v>
      </c>
      <c r="AU185" s="23">
        <v>265</v>
      </c>
      <c r="AV185" s="30">
        <f t="shared" ref="AV185:AV187" si="400">AU185/$AU$184</f>
        <v>7.8263437684583576E-2</v>
      </c>
      <c r="AW185" s="23">
        <v>218</v>
      </c>
      <c r="AX185" s="30">
        <f t="shared" ref="AX185:AX187" si="401">AW185/$AW$184</f>
        <v>6.638246041412911E-2</v>
      </c>
      <c r="AY185" s="23">
        <v>191</v>
      </c>
      <c r="AZ185" s="30">
        <f t="shared" ref="AZ185:AZ187" si="402">AY185/$AY$184</f>
        <v>6.9253081943437267E-2</v>
      </c>
      <c r="BA185" s="23">
        <v>214</v>
      </c>
      <c r="BB185" s="30">
        <f t="shared" ref="BB185:BB187" si="403">BA185/$BA$184</f>
        <v>6.5906991068678783E-2</v>
      </c>
      <c r="BC185" s="23">
        <v>191</v>
      </c>
      <c r="BD185" s="30">
        <f t="shared" ref="BD185:BD187" si="404">BC185/$BC$184</f>
        <v>6.6527342389411354E-2</v>
      </c>
      <c r="BE185" s="23">
        <v>209</v>
      </c>
      <c r="BF185" s="30">
        <f t="shared" ref="BF185:BF187" si="405">BE185/$BE$184</f>
        <v>5.9578107183580385E-2</v>
      </c>
      <c r="BG185" s="23">
        <v>179</v>
      </c>
      <c r="BH185" s="30">
        <f t="shared" ref="BH185:BH187" si="406">BG185/$BG$184</f>
        <v>7.0527974783293937E-2</v>
      </c>
      <c r="BI185" s="23">
        <v>124</v>
      </c>
      <c r="BJ185" s="30">
        <f t="shared" ref="BJ185:BJ187" si="407">BI185/$BI$184</f>
        <v>6.458333333333334E-2</v>
      </c>
      <c r="BK185" s="23">
        <v>137</v>
      </c>
      <c r="BL185" s="30">
        <f t="shared" ref="BL185:BL187" si="408">BK185/$BK$184</f>
        <v>6.5960519980741456E-2</v>
      </c>
      <c r="BM185" s="23">
        <v>120</v>
      </c>
      <c r="BN185" s="30">
        <f t="shared" ref="BN185:BN187" si="409">BM185/$BM$184</f>
        <v>6.3931806073521572E-2</v>
      </c>
      <c r="BO185" s="23">
        <v>147</v>
      </c>
      <c r="BP185" s="30">
        <f t="shared" ref="BP185:BP187" si="410">BO185/$BO$184</f>
        <v>7.4430379746835446E-2</v>
      </c>
      <c r="BQ185" s="23">
        <v>83</v>
      </c>
      <c r="BR185" s="30">
        <f>BQ185/BQ184</f>
        <v>5.7920446615491977E-2</v>
      </c>
      <c r="BS185" s="23">
        <v>82</v>
      </c>
      <c r="BT185" s="30">
        <f>BS185/BS184</f>
        <v>5.2129688493324854E-2</v>
      </c>
      <c r="BU185" s="23">
        <v>109</v>
      </c>
      <c r="BV185" s="30">
        <f>BU185/BU184</f>
        <v>5.4663991975927785E-2</v>
      </c>
      <c r="BW185" s="23">
        <v>92</v>
      </c>
      <c r="BX185" s="30">
        <f>BW185/BW184</f>
        <v>4.6676813800101469E-2</v>
      </c>
      <c r="BY185" s="23">
        <v>118</v>
      </c>
      <c r="BZ185" s="30">
        <f>BY185/BY184</f>
        <v>6.0762100926879503E-2</v>
      </c>
      <c r="CA185" s="23">
        <v>131</v>
      </c>
      <c r="CB185" s="30">
        <f>CA185/CA184</f>
        <v>8.4082156611039793E-2</v>
      </c>
      <c r="CC185" s="23">
        <v>118</v>
      </c>
      <c r="CD185" s="30">
        <f>CC185/CC184</f>
        <v>6.3440860215053768E-2</v>
      </c>
      <c r="CE185" s="23">
        <v>153</v>
      </c>
      <c r="CF185" s="30">
        <f>CE185/CE184</f>
        <v>8.6003372681281623E-2</v>
      </c>
      <c r="CG185" s="23">
        <v>129</v>
      </c>
      <c r="CH185" s="30">
        <f>CG185/CG184</f>
        <v>7.4696004632310367E-2</v>
      </c>
      <c r="CI185" s="23">
        <v>170</v>
      </c>
      <c r="CJ185" s="30">
        <f>CI185/CI184</f>
        <v>8.1068192656175486E-2</v>
      </c>
      <c r="CK185" s="23">
        <v>70</v>
      </c>
      <c r="CL185" s="30">
        <f>CK185/CK184</f>
        <v>4.2168674698795178E-2</v>
      </c>
      <c r="CM185" s="23">
        <v>185</v>
      </c>
      <c r="CN185" s="30">
        <f>CM185/CM184</f>
        <v>7.4178027265437055E-2</v>
      </c>
      <c r="CO185" s="23">
        <v>121</v>
      </c>
      <c r="CP185" s="30">
        <f>CO185/CO184</f>
        <v>7.7863577863577865E-2</v>
      </c>
      <c r="CQ185" s="23">
        <v>153</v>
      </c>
      <c r="CR185" s="30">
        <f>CQ185/CQ184</f>
        <v>7.7233720343260981E-2</v>
      </c>
      <c r="CS185" s="23">
        <v>154</v>
      </c>
      <c r="CT185" s="30">
        <f>CS185/CS184</f>
        <v>7.7738515901060068E-2</v>
      </c>
      <c r="CU185" s="23">
        <v>189</v>
      </c>
      <c r="CV185" s="30">
        <f>CU185/CU184</f>
        <v>8.9446284902981538E-2</v>
      </c>
      <c r="CW185" s="23">
        <v>139</v>
      </c>
      <c r="CX185" s="30">
        <f>CW185/CW184</f>
        <v>6.5627950897072712E-2</v>
      </c>
      <c r="CY185" s="23">
        <v>137</v>
      </c>
      <c r="CZ185" s="30">
        <f>CY185/CY184</f>
        <v>7.6493579006141815E-2</v>
      </c>
      <c r="DA185" s="23">
        <v>202</v>
      </c>
      <c r="DB185" s="30">
        <f>DA185/DA184</f>
        <v>8.3782662795520532E-2</v>
      </c>
      <c r="DC185" s="23">
        <v>126</v>
      </c>
      <c r="DD185" s="30">
        <f>DC185/DC184</f>
        <v>7.0746771476698486E-2</v>
      </c>
      <c r="DE185" s="23">
        <v>83</v>
      </c>
      <c r="DF185" s="30">
        <f>DE185/DE184</f>
        <v>7.9807692307692302E-2</v>
      </c>
      <c r="DG185" s="23">
        <v>63</v>
      </c>
      <c r="DH185" s="30">
        <f>DG185/DG184</f>
        <v>0.11496350364963503</v>
      </c>
      <c r="DI185" s="23">
        <v>27</v>
      </c>
      <c r="DJ185" s="30">
        <f>DI185/DI184</f>
        <v>9.9630996309963096E-2</v>
      </c>
      <c r="DK185" s="23">
        <v>98</v>
      </c>
      <c r="DL185" s="30">
        <f>DK185/DK184</f>
        <v>0.11936662606577345</v>
      </c>
      <c r="DM185" s="23">
        <v>85</v>
      </c>
      <c r="DN185" s="30">
        <f>DM185/DM184</f>
        <v>8.790072388831438E-2</v>
      </c>
      <c r="DO185" s="23">
        <v>64</v>
      </c>
      <c r="DP185" s="30">
        <f>DO185/DO184</f>
        <v>7.441860465116279E-2</v>
      </c>
      <c r="DQ185" s="23">
        <v>126</v>
      </c>
      <c r="DR185" s="30">
        <f>DQ185/DQ184</f>
        <v>0.10552763819095477</v>
      </c>
      <c r="DS185" s="23">
        <v>119</v>
      </c>
      <c r="DT185" s="30">
        <f>DS185/DS184</f>
        <v>0.11237016052880075</v>
      </c>
      <c r="DU185" s="301"/>
      <c r="DV185" s="301"/>
      <c r="DW185" s="301"/>
      <c r="DX185" s="301"/>
      <c r="DY185" s="301"/>
      <c r="DZ185" s="301"/>
      <c r="EA185" s="301"/>
      <c r="EB185" s="301"/>
      <c r="EC185" s="301"/>
      <c r="ED185" s="301"/>
      <c r="EE185" s="301"/>
      <c r="EF185" s="301"/>
      <c r="EG185" s="301"/>
      <c r="EH185" s="301"/>
      <c r="EI185" s="301"/>
      <c r="EJ185" s="301"/>
      <c r="EK185" s="301"/>
      <c r="EL185" s="301"/>
      <c r="EM185" s="301"/>
      <c r="EN185" s="23">
        <v>96</v>
      </c>
      <c r="EO185" s="30">
        <f>EN185/EN184</f>
        <v>0.14201183431952663</v>
      </c>
      <c r="EP185" s="23">
        <v>87</v>
      </c>
      <c r="EQ185" s="30">
        <f>EP185/EP184</f>
        <v>0.13063063063063063</v>
      </c>
      <c r="ER185" s="23">
        <v>87</v>
      </c>
      <c r="ES185" s="30">
        <f>ER185/ER184</f>
        <v>0.12965722801788376</v>
      </c>
      <c r="ET185" s="23">
        <v>40</v>
      </c>
      <c r="EU185" s="30">
        <f>ET185/ET184</f>
        <v>0.16194331983805668</v>
      </c>
      <c r="EV185" s="23">
        <v>58</v>
      </c>
      <c r="EW185" s="30">
        <f>EV185/EV184</f>
        <v>0.24066390041493776</v>
      </c>
      <c r="EX185" s="23">
        <v>53</v>
      </c>
      <c r="EY185" s="30">
        <f>EX185/EX184</f>
        <v>0.27894736842105261</v>
      </c>
      <c r="EZ185" s="23">
        <v>40</v>
      </c>
      <c r="FA185" s="30">
        <f>EZ185/EZ184</f>
        <v>0.10178117048346055</v>
      </c>
      <c r="FB185" s="23">
        <v>48</v>
      </c>
      <c r="FC185" s="30">
        <f>FB185/FB184</f>
        <v>9.696969696969697E-2</v>
      </c>
      <c r="FD185" s="23">
        <v>73</v>
      </c>
      <c r="FE185" s="30">
        <f>FD185/FD184</f>
        <v>0.17257683215130024</v>
      </c>
      <c r="FF185" s="23">
        <v>77</v>
      </c>
      <c r="FG185" s="30">
        <f>FF185/FF184</f>
        <v>7.7386934673366839E-2</v>
      </c>
      <c r="FH185" s="23">
        <v>78</v>
      </c>
      <c r="FI185" s="30">
        <f>FH185/FH184</f>
        <v>8.744394618834081E-2</v>
      </c>
      <c r="FJ185" s="23">
        <v>68</v>
      </c>
      <c r="FK185" s="30">
        <f>FJ185/FJ184</f>
        <v>8.3640836408364089E-2</v>
      </c>
      <c r="FL185" s="23">
        <v>56</v>
      </c>
      <c r="FM185" s="30">
        <f>FL185/FL184</f>
        <v>8.6553323029366303E-2</v>
      </c>
      <c r="FN185" s="23">
        <v>24</v>
      </c>
      <c r="FO185" s="30">
        <f>FN185/FN184</f>
        <v>9.0225563909774431E-2</v>
      </c>
      <c r="FP185" s="23">
        <v>20</v>
      </c>
      <c r="FQ185" s="30">
        <f>FP185/FP184</f>
        <v>8.8495575221238937E-2</v>
      </c>
      <c r="FR185" s="301"/>
      <c r="FS185" s="301"/>
      <c r="FT185" s="301"/>
      <c r="FU185" s="301"/>
      <c r="FV185" s="301"/>
      <c r="FW185" s="301"/>
      <c r="FX185" s="301"/>
      <c r="FY185" s="301"/>
      <c r="FZ185" s="301"/>
      <c r="GA185" s="301"/>
      <c r="GB185" s="301"/>
      <c r="GC185" s="301"/>
      <c r="GD185" s="301"/>
      <c r="GE185" s="301"/>
      <c r="GF185" s="289"/>
      <c r="GG185" s="289"/>
    </row>
    <row r="186" spans="1:189" ht="15" customHeight="1" outlineLevel="1" x14ac:dyDescent="0.3">
      <c r="A186" s="1"/>
      <c r="B186" s="301"/>
      <c r="C186" s="301"/>
      <c r="D186" s="301"/>
      <c r="E186" s="301"/>
      <c r="F186" s="301"/>
      <c r="G186" s="5" t="s">
        <v>153</v>
      </c>
      <c r="H186" s="5"/>
      <c r="I186" s="23">
        <v>623</v>
      </c>
      <c r="J186" s="30">
        <f t="shared" si="389"/>
        <v>1.2937927024276784E-2</v>
      </c>
      <c r="K186" s="23">
        <v>66</v>
      </c>
      <c r="L186" s="30">
        <v>0.02</v>
      </c>
      <c r="M186" s="23">
        <v>54</v>
      </c>
      <c r="N186" s="30">
        <v>0.02</v>
      </c>
      <c r="O186" s="23">
        <v>73</v>
      </c>
      <c r="P186" s="30">
        <v>0.02</v>
      </c>
      <c r="Q186" s="23">
        <v>66</v>
      </c>
      <c r="R186" s="30">
        <v>0.02</v>
      </c>
      <c r="S186" s="23">
        <v>58</v>
      </c>
      <c r="T186" s="30">
        <v>0.02</v>
      </c>
      <c r="U186" s="23">
        <v>18</v>
      </c>
      <c r="V186" s="30">
        <v>0.01</v>
      </c>
      <c r="W186" s="23">
        <v>25</v>
      </c>
      <c r="X186" s="30">
        <v>7.1999999999999998E-3</v>
      </c>
      <c r="Y186" s="23">
        <v>21</v>
      </c>
      <c r="Z186" s="30">
        <v>8.2000000000000007E-3</v>
      </c>
      <c r="AA186" s="23">
        <v>28</v>
      </c>
      <c r="AB186" s="30">
        <f t="shared" si="390"/>
        <v>1.1647254575707155E-2</v>
      </c>
      <c r="AC186" s="23">
        <v>96</v>
      </c>
      <c r="AD186" s="30">
        <f t="shared" si="391"/>
        <v>9.7670159731407056E-3</v>
      </c>
      <c r="AE186" s="23">
        <v>51</v>
      </c>
      <c r="AF186" s="30">
        <f t="shared" si="392"/>
        <v>9.9706744868035199E-3</v>
      </c>
      <c r="AG186" s="23">
        <v>63</v>
      </c>
      <c r="AH186" s="30">
        <f t="shared" si="393"/>
        <v>1.0575793184488837E-2</v>
      </c>
      <c r="AI186" s="23">
        <v>49</v>
      </c>
      <c r="AJ186" s="30">
        <f t="shared" si="394"/>
        <v>1.2939001848428836E-2</v>
      </c>
      <c r="AK186" s="23">
        <v>33</v>
      </c>
      <c r="AL186" s="30">
        <f t="shared" si="395"/>
        <v>1.0172626387176326E-2</v>
      </c>
      <c r="AM186" s="23">
        <v>41</v>
      </c>
      <c r="AN186" s="30">
        <f t="shared" si="396"/>
        <v>1.2454434993924665E-2</v>
      </c>
      <c r="AO186" s="23">
        <v>43</v>
      </c>
      <c r="AP186" s="30">
        <f t="shared" si="397"/>
        <v>1.3271604938271606E-2</v>
      </c>
      <c r="AQ186" s="23">
        <v>44</v>
      </c>
      <c r="AR186" s="30">
        <f t="shared" si="398"/>
        <v>1.3431013431013432E-2</v>
      </c>
      <c r="AS186" s="23">
        <v>40</v>
      </c>
      <c r="AT186" s="30">
        <f t="shared" si="399"/>
        <v>1.2730744748567792E-2</v>
      </c>
      <c r="AU186" s="23">
        <v>40</v>
      </c>
      <c r="AV186" s="30">
        <f t="shared" si="400"/>
        <v>1.1813349084465446E-2</v>
      </c>
      <c r="AW186" s="23">
        <v>36</v>
      </c>
      <c r="AX186" s="30">
        <f t="shared" si="401"/>
        <v>1.0962241169305725E-2</v>
      </c>
      <c r="AY186" s="23">
        <v>26</v>
      </c>
      <c r="AZ186" s="30">
        <f t="shared" si="402"/>
        <v>9.4271211022480053E-3</v>
      </c>
      <c r="BA186" s="23">
        <v>48</v>
      </c>
      <c r="BB186" s="30">
        <f t="shared" si="403"/>
        <v>1.4782876501385895E-2</v>
      </c>
      <c r="BC186" s="23">
        <v>30</v>
      </c>
      <c r="BD186" s="30">
        <f t="shared" si="404"/>
        <v>1.0449320794148381E-2</v>
      </c>
      <c r="BE186" s="23">
        <v>42</v>
      </c>
      <c r="BF186" s="30">
        <f t="shared" si="405"/>
        <v>1.1972633979475485E-2</v>
      </c>
      <c r="BG186" s="23">
        <v>28</v>
      </c>
      <c r="BH186" s="30">
        <f t="shared" si="406"/>
        <v>1.103230890464933E-2</v>
      </c>
      <c r="BI186" s="23">
        <v>30</v>
      </c>
      <c r="BJ186" s="30">
        <f t="shared" si="407"/>
        <v>1.5625E-2</v>
      </c>
      <c r="BK186" s="23">
        <v>23</v>
      </c>
      <c r="BL186" s="30">
        <f t="shared" si="408"/>
        <v>1.1073663938372653E-2</v>
      </c>
      <c r="BM186" s="23">
        <v>30</v>
      </c>
      <c r="BN186" s="30">
        <f t="shared" si="409"/>
        <v>1.5982951518380393E-2</v>
      </c>
      <c r="BO186" s="23">
        <v>27</v>
      </c>
      <c r="BP186" s="30">
        <f t="shared" si="410"/>
        <v>1.3670886075949367E-2</v>
      </c>
      <c r="BQ186" s="23">
        <v>11</v>
      </c>
      <c r="BR186" s="30">
        <f>BQ186/BQ184</f>
        <v>7.6762037683182132E-3</v>
      </c>
      <c r="BS186" s="23">
        <v>17</v>
      </c>
      <c r="BT186" s="30">
        <f>BS186/BS184</f>
        <v>1.0807374443738081E-2</v>
      </c>
      <c r="BU186" s="23">
        <v>16</v>
      </c>
      <c r="BV186" s="30">
        <f>BU186/BU184</f>
        <v>8.0240722166499499E-3</v>
      </c>
      <c r="BW186" s="23">
        <v>24</v>
      </c>
      <c r="BX186" s="30">
        <f>BW186/BW184</f>
        <v>1.2176560121765601E-2</v>
      </c>
      <c r="BY186" s="23">
        <v>22</v>
      </c>
      <c r="BZ186" s="30">
        <f>BY186/BY184</f>
        <v>1.132852729145211E-2</v>
      </c>
      <c r="CA186" s="23">
        <v>16</v>
      </c>
      <c r="CB186" s="30">
        <f>CA186/CA184</f>
        <v>1.0269576379974325E-2</v>
      </c>
      <c r="CC186" s="23">
        <v>18</v>
      </c>
      <c r="CD186" s="30">
        <f>CC186/CC184</f>
        <v>9.6774193548387101E-3</v>
      </c>
      <c r="CE186" s="23">
        <v>23</v>
      </c>
      <c r="CF186" s="30">
        <f>CE186/CE184</f>
        <v>1.2928611579539067E-2</v>
      </c>
      <c r="CG186" s="23">
        <v>26</v>
      </c>
      <c r="CH186" s="30">
        <f>CG186/CG184</f>
        <v>1.5055008685581933E-2</v>
      </c>
      <c r="CI186" s="23">
        <v>29</v>
      </c>
      <c r="CJ186" s="30">
        <f>CI186/CI184</f>
        <v>1.3829279923700524E-2</v>
      </c>
      <c r="CK186" s="23">
        <v>11</v>
      </c>
      <c r="CL186" s="30">
        <f>CK186/CK184</f>
        <v>6.6265060240963854E-3</v>
      </c>
      <c r="CM186" s="23">
        <v>41</v>
      </c>
      <c r="CN186" s="30">
        <f>CM186/CM184</f>
        <v>1.6439454691259021E-2</v>
      </c>
      <c r="CO186" s="23">
        <v>19</v>
      </c>
      <c r="CP186" s="30">
        <f>CO186/CO184</f>
        <v>1.2226512226512226E-2</v>
      </c>
      <c r="CQ186" s="23">
        <v>31</v>
      </c>
      <c r="CR186" s="30">
        <f>CQ186/CQ184</f>
        <v>1.5648662291771833E-2</v>
      </c>
      <c r="CS186" s="23">
        <v>31</v>
      </c>
      <c r="CT186" s="30">
        <f>CS186/CS184</f>
        <v>1.5648662291771833E-2</v>
      </c>
      <c r="CU186" s="23">
        <v>22</v>
      </c>
      <c r="CV186" s="30">
        <f>CU186/CU184</f>
        <v>1.0411736867013724E-2</v>
      </c>
      <c r="CW186" s="23">
        <v>30</v>
      </c>
      <c r="CX186" s="30">
        <f>CW186/CW184</f>
        <v>1.4164305949008499E-2</v>
      </c>
      <c r="CY186" s="23">
        <v>19</v>
      </c>
      <c r="CZ186" s="30">
        <f>CY186/CY184</f>
        <v>1.060859854829704E-2</v>
      </c>
      <c r="DA186" s="23">
        <v>35</v>
      </c>
      <c r="DB186" s="30">
        <f>DA186/DA184</f>
        <v>1.4516798009124844E-2</v>
      </c>
      <c r="DC186" s="23">
        <v>29</v>
      </c>
      <c r="DD186" s="30">
        <f>DC186/DC184</f>
        <v>1.6282987085906794E-2</v>
      </c>
      <c r="DE186" s="23">
        <v>20</v>
      </c>
      <c r="DF186" s="30">
        <f>DE186/DE184</f>
        <v>1.9230769230769232E-2</v>
      </c>
      <c r="DG186" s="23">
        <v>7</v>
      </c>
      <c r="DH186" s="30">
        <f>DG186/DG184</f>
        <v>1.2773722627737226E-2</v>
      </c>
      <c r="DI186" s="23">
        <v>5</v>
      </c>
      <c r="DJ186" s="30">
        <f>DI186/DI184</f>
        <v>1.8450184501845018E-2</v>
      </c>
      <c r="DK186" s="23">
        <v>12</v>
      </c>
      <c r="DL186" s="30">
        <f>DK186/DK184</f>
        <v>1.4616321559074299E-2</v>
      </c>
      <c r="DM186" s="23">
        <v>15</v>
      </c>
      <c r="DN186" s="30">
        <f>DM186/DM184</f>
        <v>1.5511892450879007E-2</v>
      </c>
      <c r="DO186" s="23">
        <v>12</v>
      </c>
      <c r="DP186" s="30">
        <f>DO186/DO184</f>
        <v>1.3953488372093023E-2</v>
      </c>
      <c r="DQ186" s="23">
        <v>22</v>
      </c>
      <c r="DR186" s="30">
        <f>DQ186/DQ184</f>
        <v>1.8425460636515914E-2</v>
      </c>
      <c r="DS186" s="23">
        <v>21</v>
      </c>
      <c r="DT186" s="30">
        <f>DS186/DS184</f>
        <v>1.9830028328611898E-2</v>
      </c>
      <c r="DU186" s="301"/>
      <c r="DV186" s="301"/>
      <c r="DW186" s="301"/>
      <c r="DX186" s="301"/>
      <c r="DY186" s="301"/>
      <c r="DZ186" s="301"/>
      <c r="EA186" s="301"/>
      <c r="EB186" s="301"/>
      <c r="EC186" s="301"/>
      <c r="ED186" s="301"/>
      <c r="EE186" s="301"/>
      <c r="EF186" s="301"/>
      <c r="EG186" s="301"/>
      <c r="EH186" s="301"/>
      <c r="EI186" s="301"/>
      <c r="EJ186" s="301"/>
      <c r="EK186" s="301"/>
      <c r="EL186" s="301"/>
      <c r="EM186" s="301"/>
      <c r="EN186" s="23">
        <v>14</v>
      </c>
      <c r="EO186" s="30">
        <f>EN186/EN184</f>
        <v>2.0710059171597635E-2</v>
      </c>
      <c r="EP186" s="23">
        <v>8</v>
      </c>
      <c r="EQ186" s="30">
        <f>EP186/EP184</f>
        <v>1.2012012012012012E-2</v>
      </c>
      <c r="ER186" s="23">
        <v>9</v>
      </c>
      <c r="ES186" s="30">
        <f>ER186/ER184</f>
        <v>1.3412816691505217E-2</v>
      </c>
      <c r="ET186" s="23">
        <v>4</v>
      </c>
      <c r="EU186" s="30">
        <f>ET186/ET184</f>
        <v>1.6194331983805668E-2</v>
      </c>
      <c r="EV186" s="23">
        <v>2</v>
      </c>
      <c r="EW186" s="30">
        <f>EV186/EV184</f>
        <v>8.2987551867219917E-3</v>
      </c>
      <c r="EX186" s="23">
        <v>3</v>
      </c>
      <c r="EY186" s="30">
        <f>EX186/EX184</f>
        <v>1.5789473684210527E-2</v>
      </c>
      <c r="EZ186" s="23">
        <v>10</v>
      </c>
      <c r="FA186" s="30">
        <f>EZ186/EZ184</f>
        <v>2.5445292620865138E-2</v>
      </c>
      <c r="FB186" s="23">
        <v>4</v>
      </c>
      <c r="FC186" s="30">
        <f>FB186/FB184</f>
        <v>8.0808080808080808E-3</v>
      </c>
      <c r="FD186" s="23">
        <v>12</v>
      </c>
      <c r="FE186" s="30">
        <f>FD186/FD184</f>
        <v>2.8368794326241134E-2</v>
      </c>
      <c r="FF186" s="23">
        <v>9</v>
      </c>
      <c r="FG186" s="30">
        <f>FF186/FF184</f>
        <v>9.0452261306532659E-3</v>
      </c>
      <c r="FH186" s="23">
        <v>5</v>
      </c>
      <c r="FI186" s="30">
        <f>FH186/FH184</f>
        <v>5.6053811659192822E-3</v>
      </c>
      <c r="FJ186" s="23">
        <v>12</v>
      </c>
      <c r="FK186" s="30">
        <f>FJ186/FJ184</f>
        <v>1.4760147601476014E-2</v>
      </c>
      <c r="FL186" s="23">
        <v>14</v>
      </c>
      <c r="FM186" s="30">
        <f>FL186/FL184</f>
        <v>2.1638330757341576E-2</v>
      </c>
      <c r="FN186" s="23">
        <v>1</v>
      </c>
      <c r="FO186" s="30">
        <f>FN186/FN184</f>
        <v>3.7593984962406013E-3</v>
      </c>
      <c r="FP186" s="23">
        <v>4</v>
      </c>
      <c r="FQ186" s="30">
        <f>FP186/FP184</f>
        <v>1.7699115044247787E-2</v>
      </c>
      <c r="FR186" s="301"/>
      <c r="FS186" s="301"/>
      <c r="FT186" s="301"/>
      <c r="FU186" s="301"/>
      <c r="FV186" s="301"/>
      <c r="FW186" s="301"/>
      <c r="FX186" s="301"/>
      <c r="FY186" s="301"/>
      <c r="FZ186" s="301"/>
      <c r="GA186" s="301"/>
      <c r="GB186" s="301"/>
      <c r="GC186" s="301"/>
      <c r="GD186" s="301"/>
      <c r="GE186" s="301"/>
      <c r="GF186" s="289"/>
      <c r="GG186" s="289"/>
    </row>
    <row r="187" spans="1:189" ht="15" customHeight="1" outlineLevel="1" x14ac:dyDescent="0.3">
      <c r="A187" s="1"/>
      <c r="B187" s="302"/>
      <c r="C187" s="302"/>
      <c r="D187" s="302"/>
      <c r="E187" s="302"/>
      <c r="F187" s="302"/>
      <c r="G187" s="5" t="s">
        <v>154</v>
      </c>
      <c r="H187" s="5"/>
      <c r="I187" s="23">
        <v>485</v>
      </c>
      <c r="J187" s="30">
        <f t="shared" si="389"/>
        <v>1.0072061969140032E-2</v>
      </c>
      <c r="K187" s="23">
        <v>58</v>
      </c>
      <c r="L187" s="30">
        <v>0.01</v>
      </c>
      <c r="M187" s="23">
        <v>51</v>
      </c>
      <c r="N187" s="30">
        <v>0.02</v>
      </c>
      <c r="O187" s="23">
        <v>0</v>
      </c>
      <c r="P187" s="30">
        <v>0</v>
      </c>
      <c r="Q187" s="23">
        <v>43</v>
      </c>
      <c r="R187" s="30">
        <v>0.01</v>
      </c>
      <c r="S187" s="23">
        <v>40</v>
      </c>
      <c r="T187" s="30">
        <v>0.01</v>
      </c>
      <c r="U187" s="23">
        <v>9</v>
      </c>
      <c r="V187" s="30">
        <v>0</v>
      </c>
      <c r="W187" s="23">
        <v>24</v>
      </c>
      <c r="X187" s="30">
        <v>7.0000000000000001E-3</v>
      </c>
      <c r="Y187" s="23">
        <v>27</v>
      </c>
      <c r="Z187" s="30">
        <v>1.06E-2</v>
      </c>
      <c r="AA187" s="23">
        <v>17</v>
      </c>
      <c r="AB187" s="30">
        <f t="shared" si="390"/>
        <v>7.071547420965058E-3</v>
      </c>
      <c r="AC187" s="23">
        <v>79</v>
      </c>
      <c r="AD187" s="30">
        <f t="shared" si="391"/>
        <v>8.0374402278970396E-3</v>
      </c>
      <c r="AE187" s="23">
        <v>39</v>
      </c>
      <c r="AF187" s="30">
        <f t="shared" si="392"/>
        <v>7.624633431085044E-3</v>
      </c>
      <c r="AG187" s="23">
        <v>52</v>
      </c>
      <c r="AH187" s="30">
        <f t="shared" si="393"/>
        <v>8.7292261205304689E-3</v>
      </c>
      <c r="AI187" s="23">
        <v>36</v>
      </c>
      <c r="AJ187" s="30">
        <f t="shared" si="394"/>
        <v>9.5062054396620015E-3</v>
      </c>
      <c r="AK187" s="23">
        <v>25</v>
      </c>
      <c r="AL187" s="30">
        <f t="shared" si="395"/>
        <v>7.7065351418002465E-3</v>
      </c>
      <c r="AM187" s="23">
        <v>29</v>
      </c>
      <c r="AN187" s="30">
        <f t="shared" si="396"/>
        <v>8.8092345078979346E-3</v>
      </c>
      <c r="AO187" s="23">
        <v>30</v>
      </c>
      <c r="AP187" s="30">
        <f t="shared" si="397"/>
        <v>9.2592592592592587E-3</v>
      </c>
      <c r="AQ187" s="23">
        <v>25</v>
      </c>
      <c r="AR187" s="30">
        <f t="shared" si="398"/>
        <v>7.631257631257631E-3</v>
      </c>
      <c r="AS187" s="23">
        <v>26</v>
      </c>
      <c r="AT187" s="30">
        <f t="shared" si="399"/>
        <v>8.2749840865690635E-3</v>
      </c>
      <c r="AU187" s="23">
        <v>31</v>
      </c>
      <c r="AV187" s="30">
        <f t="shared" si="400"/>
        <v>9.1553455404607201E-3</v>
      </c>
      <c r="AW187" s="23">
        <v>34</v>
      </c>
      <c r="AX187" s="30">
        <f t="shared" si="401"/>
        <v>1.0353227771010963E-2</v>
      </c>
      <c r="AY187" s="23">
        <v>29</v>
      </c>
      <c r="AZ187" s="30">
        <f t="shared" si="402"/>
        <v>1.0514865844815084E-2</v>
      </c>
      <c r="BA187" s="23">
        <v>31</v>
      </c>
      <c r="BB187" s="30">
        <f t="shared" si="403"/>
        <v>9.5472744071450569E-3</v>
      </c>
      <c r="BC187" s="23">
        <v>18</v>
      </c>
      <c r="BD187" s="30">
        <f t="shared" si="404"/>
        <v>6.269592476489028E-3</v>
      </c>
      <c r="BE187" s="23">
        <v>33</v>
      </c>
      <c r="BF187" s="30">
        <f t="shared" si="405"/>
        <v>9.4070695553021659E-3</v>
      </c>
      <c r="BG187" s="23">
        <v>21</v>
      </c>
      <c r="BH187" s="30">
        <f t="shared" si="406"/>
        <v>8.2742316784869974E-3</v>
      </c>
      <c r="BI187" s="23">
        <v>19</v>
      </c>
      <c r="BJ187" s="30">
        <f t="shared" si="407"/>
        <v>9.8958333333333329E-3</v>
      </c>
      <c r="BK187" s="23">
        <v>24</v>
      </c>
      <c r="BL187" s="30">
        <f t="shared" si="408"/>
        <v>1.1555127587867116E-2</v>
      </c>
      <c r="BM187" s="23">
        <v>14</v>
      </c>
      <c r="BN187" s="30">
        <f t="shared" si="409"/>
        <v>7.4587107085775173E-3</v>
      </c>
      <c r="BO187" s="23">
        <v>13</v>
      </c>
      <c r="BP187" s="30">
        <f t="shared" si="410"/>
        <v>6.5822784810126581E-3</v>
      </c>
      <c r="BQ187" s="23">
        <v>12</v>
      </c>
      <c r="BR187" s="30">
        <f>BQ187/BQ184</f>
        <v>8.3740404745289605E-3</v>
      </c>
      <c r="BS187" s="23">
        <v>10</v>
      </c>
      <c r="BT187" s="30">
        <f>BS187/BS184</f>
        <v>6.3572790845518121E-3</v>
      </c>
      <c r="BU187" s="23">
        <v>17</v>
      </c>
      <c r="BV187" s="30">
        <f>BU187/BU184</f>
        <v>8.5255767301905712E-3</v>
      </c>
      <c r="BW187" s="23">
        <v>9</v>
      </c>
      <c r="BX187" s="30">
        <f>BW187/BW184</f>
        <v>4.5662100456621002E-3</v>
      </c>
      <c r="BY187" s="23">
        <v>3</v>
      </c>
      <c r="BZ187" s="30">
        <f>BY187/BY184</f>
        <v>1.544799176107106E-3</v>
      </c>
      <c r="CA187" s="23">
        <v>17</v>
      </c>
      <c r="CB187" s="30">
        <f>CA187/CA184</f>
        <v>1.0911424903722721E-2</v>
      </c>
      <c r="CC187" s="23">
        <v>12</v>
      </c>
      <c r="CD187" s="30">
        <f>CC187/CC184</f>
        <v>6.4516129032258064E-3</v>
      </c>
      <c r="CE187" s="23">
        <v>14</v>
      </c>
      <c r="CF187" s="30">
        <f>CE187/CE184</f>
        <v>7.8695896571107371E-3</v>
      </c>
      <c r="CG187" s="23">
        <v>16</v>
      </c>
      <c r="CH187" s="30">
        <f>CG187/CG184</f>
        <v>9.2646207295888818E-3</v>
      </c>
      <c r="CI187" s="23">
        <v>17</v>
      </c>
      <c r="CJ187" s="30">
        <f>CI187/CI184</f>
        <v>8.1068192656175483E-3</v>
      </c>
      <c r="CK187" s="23">
        <v>9</v>
      </c>
      <c r="CL187" s="30">
        <f>CK187/CK184</f>
        <v>5.4216867469879517E-3</v>
      </c>
      <c r="CM187" s="23">
        <v>27</v>
      </c>
      <c r="CN187" s="30">
        <f>CM187/CM184</f>
        <v>1.082598235765838E-2</v>
      </c>
      <c r="CO187" s="23">
        <v>9</v>
      </c>
      <c r="CP187" s="30">
        <f>CO187/CO184</f>
        <v>5.7915057915057912E-3</v>
      </c>
      <c r="CQ187" s="23">
        <v>26</v>
      </c>
      <c r="CR187" s="30">
        <f>CQ187/CQ184</f>
        <v>1.3124684502776375E-2</v>
      </c>
      <c r="CS187" s="23">
        <v>26</v>
      </c>
      <c r="CT187" s="30">
        <f>CS187/CS184</f>
        <v>1.3124684502776375E-2</v>
      </c>
      <c r="CU187" s="23">
        <v>18</v>
      </c>
      <c r="CV187" s="30">
        <f>CU187/CU184</f>
        <v>8.5186938002839562E-3</v>
      </c>
      <c r="CW187" s="23">
        <v>22</v>
      </c>
      <c r="CX187" s="30">
        <f>CW187/CW184</f>
        <v>1.0387157695939566E-2</v>
      </c>
      <c r="CY187" s="23">
        <v>15</v>
      </c>
      <c r="CZ187" s="30">
        <f>CY187/CY184</f>
        <v>8.3752093802345051E-3</v>
      </c>
      <c r="DA187" s="23">
        <v>21</v>
      </c>
      <c r="DB187" s="30">
        <f>DA187/DA184</f>
        <v>8.7100788054749068E-3</v>
      </c>
      <c r="DC187" s="23">
        <v>18</v>
      </c>
      <c r="DD187" s="30">
        <f>DC187/DC184</f>
        <v>1.0106681639528355E-2</v>
      </c>
      <c r="DE187" s="23">
        <v>12</v>
      </c>
      <c r="DF187" s="30">
        <f>DE187/DE184</f>
        <v>1.1538461538461539E-2</v>
      </c>
      <c r="DG187" s="23">
        <v>8</v>
      </c>
      <c r="DH187" s="30">
        <f>DG187/DG184</f>
        <v>1.4598540145985401E-2</v>
      </c>
      <c r="DI187" s="23">
        <v>5</v>
      </c>
      <c r="DJ187" s="30">
        <f>DI187/DI184</f>
        <v>1.8450184501845018E-2</v>
      </c>
      <c r="DK187" s="23">
        <v>10</v>
      </c>
      <c r="DL187" s="30">
        <f>DK187/DK184</f>
        <v>1.2180267965895249E-2</v>
      </c>
      <c r="DM187" s="23">
        <v>8</v>
      </c>
      <c r="DN187" s="30">
        <f>DM187/DM184</f>
        <v>8.2730093071354711E-3</v>
      </c>
      <c r="DO187" s="23">
        <v>11</v>
      </c>
      <c r="DP187" s="30">
        <f>DO187/DO184</f>
        <v>1.2790697674418604E-2</v>
      </c>
      <c r="DQ187" s="23">
        <v>17</v>
      </c>
      <c r="DR187" s="30">
        <f>DQ187/DQ184</f>
        <v>1.423785594639866E-2</v>
      </c>
      <c r="DS187" s="23">
        <v>12</v>
      </c>
      <c r="DT187" s="30">
        <f>DS187/DS184</f>
        <v>1.1331444759206799E-2</v>
      </c>
      <c r="DU187" s="302"/>
      <c r="DV187" s="302"/>
      <c r="DW187" s="302"/>
      <c r="DX187" s="302"/>
      <c r="DY187" s="302"/>
      <c r="DZ187" s="302"/>
      <c r="EA187" s="302"/>
      <c r="EB187" s="302"/>
      <c r="EC187" s="302"/>
      <c r="ED187" s="302"/>
      <c r="EE187" s="302"/>
      <c r="EF187" s="302"/>
      <c r="EG187" s="302"/>
      <c r="EH187" s="302"/>
      <c r="EI187" s="302"/>
      <c r="EJ187" s="302"/>
      <c r="EK187" s="302"/>
      <c r="EL187" s="302"/>
      <c r="EM187" s="302"/>
      <c r="EN187" s="23">
        <v>9</v>
      </c>
      <c r="EO187" s="30">
        <f>EN187/EN184</f>
        <v>1.3313609467455622E-2</v>
      </c>
      <c r="EP187" s="23">
        <v>6</v>
      </c>
      <c r="EQ187" s="30">
        <f>EP187/EP184</f>
        <v>9.0090090090090089E-3</v>
      </c>
      <c r="ER187" s="23">
        <v>7</v>
      </c>
      <c r="ES187" s="30">
        <f>ER187/ER184</f>
        <v>1.0432190760059613E-2</v>
      </c>
      <c r="ET187" s="23">
        <v>5</v>
      </c>
      <c r="EU187" s="30">
        <f>ET187/ET184</f>
        <v>2.0242914979757085E-2</v>
      </c>
      <c r="EV187" s="23">
        <v>7</v>
      </c>
      <c r="EW187" s="30">
        <f>EV187/EV184</f>
        <v>2.9045643153526972E-2</v>
      </c>
      <c r="EX187" s="23">
        <v>4</v>
      </c>
      <c r="EY187" s="30">
        <f>EX187/EX184</f>
        <v>2.1052631578947368E-2</v>
      </c>
      <c r="EZ187" s="23">
        <v>9</v>
      </c>
      <c r="FA187" s="30">
        <f>EZ187/EZ184</f>
        <v>2.2900763358778626E-2</v>
      </c>
      <c r="FB187" s="23">
        <v>2</v>
      </c>
      <c r="FC187" s="30">
        <f>FB187/FB184</f>
        <v>4.0404040404040404E-3</v>
      </c>
      <c r="FD187" s="23">
        <v>4</v>
      </c>
      <c r="FE187" s="30">
        <f>FD187/FD184</f>
        <v>9.4562647754137114E-3</v>
      </c>
      <c r="FF187" s="23">
        <v>10</v>
      </c>
      <c r="FG187" s="30">
        <f>FF187/FF184</f>
        <v>1.0050251256281407E-2</v>
      </c>
      <c r="FH187" s="23">
        <v>6</v>
      </c>
      <c r="FI187" s="30">
        <f>FH187/FH184</f>
        <v>6.7264573991031393E-3</v>
      </c>
      <c r="FJ187" s="23">
        <v>7</v>
      </c>
      <c r="FK187" s="30">
        <f>FJ187/FJ184</f>
        <v>8.6100861008610082E-3</v>
      </c>
      <c r="FL187" s="23">
        <v>8</v>
      </c>
      <c r="FM187" s="30">
        <f>FL187/FL184</f>
        <v>1.2364760432766615E-2</v>
      </c>
      <c r="FN187" s="23">
        <v>8</v>
      </c>
      <c r="FO187" s="30">
        <f>FN187/FN184</f>
        <v>3.007518796992481E-2</v>
      </c>
      <c r="FP187" s="23">
        <v>3</v>
      </c>
      <c r="FQ187" s="30">
        <f>FP187/FP184</f>
        <v>1.3274336283185841E-2</v>
      </c>
      <c r="FR187" s="302"/>
      <c r="FS187" s="302"/>
      <c r="FT187" s="302"/>
      <c r="FU187" s="302"/>
      <c r="FV187" s="302"/>
      <c r="FW187" s="302"/>
      <c r="FX187" s="302"/>
      <c r="FY187" s="302"/>
      <c r="FZ187" s="302"/>
      <c r="GA187" s="302"/>
      <c r="GB187" s="302"/>
      <c r="GC187" s="302"/>
      <c r="GD187" s="302"/>
      <c r="GE187" s="302"/>
      <c r="GF187" s="290"/>
      <c r="GG187" s="290"/>
    </row>
    <row r="188" spans="1:189" ht="8.25" customHeight="1" x14ac:dyDescent="0.3">
      <c r="A188" s="1"/>
      <c r="B188" s="18"/>
      <c r="C188" s="18"/>
      <c r="D188" s="18"/>
      <c r="E188" s="18"/>
      <c r="F188" s="18"/>
      <c r="G188" s="3"/>
      <c r="H188" s="3"/>
      <c r="I188" s="19"/>
      <c r="J188" s="20"/>
      <c r="K188" s="19"/>
      <c r="L188" s="20"/>
      <c r="M188" s="19"/>
      <c r="N188" s="20"/>
      <c r="O188" s="19"/>
      <c r="P188" s="20"/>
      <c r="Q188" s="19"/>
      <c r="R188" s="20"/>
      <c r="S188" s="19"/>
      <c r="T188" s="20"/>
      <c r="U188" s="19"/>
      <c r="V188" s="20"/>
      <c r="W188" s="19"/>
      <c r="X188" s="20"/>
      <c r="Y188" s="19"/>
      <c r="Z188" s="20"/>
      <c r="AA188" s="19"/>
      <c r="AB188" s="20"/>
      <c r="AC188" s="19"/>
      <c r="AD188" s="20"/>
      <c r="AE188" s="19"/>
      <c r="AF188" s="20"/>
      <c r="AG188" s="19"/>
      <c r="AH188" s="20"/>
      <c r="AI188" s="19"/>
      <c r="AJ188" s="20"/>
      <c r="AK188" s="19"/>
      <c r="AL188" s="20"/>
      <c r="AM188" s="19"/>
      <c r="AN188" s="20"/>
      <c r="AO188" s="19"/>
      <c r="AP188" s="20"/>
      <c r="AQ188" s="19"/>
      <c r="AR188" s="20"/>
      <c r="AS188" s="19"/>
      <c r="AT188" s="20"/>
      <c r="AU188" s="19"/>
      <c r="AV188" s="20"/>
      <c r="AW188" s="19"/>
      <c r="AX188" s="20"/>
      <c r="AY188" s="19"/>
      <c r="AZ188" s="20"/>
      <c r="BA188" s="19"/>
      <c r="BB188" s="20"/>
      <c r="BC188" s="19"/>
      <c r="BD188" s="20"/>
      <c r="BE188" s="19"/>
      <c r="BF188" s="20"/>
      <c r="BG188" s="19"/>
      <c r="BH188" s="20"/>
      <c r="BI188" s="19"/>
      <c r="BJ188" s="20"/>
      <c r="BK188" s="19"/>
      <c r="BL188" s="20"/>
      <c r="BM188" s="19"/>
      <c r="BN188" s="20"/>
      <c r="BO188" s="19"/>
      <c r="BP188" s="20"/>
      <c r="BQ188" s="19"/>
      <c r="BR188" s="20"/>
      <c r="BS188" s="19"/>
      <c r="BT188" s="20"/>
      <c r="BU188" s="19"/>
      <c r="BV188" s="20"/>
      <c r="BW188" s="19"/>
      <c r="BX188" s="20"/>
      <c r="BY188" s="19"/>
      <c r="BZ188" s="20"/>
      <c r="CA188" s="19"/>
      <c r="CB188" s="20"/>
      <c r="CC188" s="19"/>
      <c r="CD188" s="20"/>
      <c r="CE188" s="19"/>
      <c r="CF188" s="20"/>
      <c r="CG188" s="19"/>
      <c r="CH188" s="20"/>
      <c r="CI188" s="19"/>
      <c r="CJ188" s="20"/>
      <c r="CK188" s="19"/>
      <c r="CL188" s="20"/>
      <c r="CM188" s="19"/>
      <c r="CN188" s="20"/>
      <c r="CO188" s="19"/>
      <c r="CP188" s="20"/>
      <c r="CQ188" s="19"/>
      <c r="CR188" s="20"/>
      <c r="CS188" s="19"/>
      <c r="CT188" s="20"/>
      <c r="CU188" s="19"/>
      <c r="CV188" s="20"/>
      <c r="CW188" s="19"/>
      <c r="CX188" s="20"/>
      <c r="CY188" s="19"/>
      <c r="CZ188" s="20"/>
      <c r="DA188" s="19"/>
      <c r="DB188" s="20"/>
      <c r="DC188" s="19"/>
      <c r="DD188" s="20"/>
      <c r="DE188" s="19"/>
      <c r="DF188" s="20"/>
      <c r="DG188" s="19"/>
      <c r="DH188" s="20"/>
      <c r="DI188" s="19"/>
      <c r="DJ188" s="20"/>
      <c r="DK188" s="19"/>
      <c r="DL188" s="20"/>
      <c r="DM188" s="19"/>
      <c r="DN188" s="20"/>
      <c r="DO188" s="19"/>
      <c r="DP188" s="20"/>
      <c r="DQ188" s="19"/>
      <c r="DR188" s="20"/>
      <c r="DS188" s="19"/>
      <c r="DT188" s="20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19"/>
      <c r="EO188" s="20"/>
      <c r="EP188" s="19"/>
      <c r="EQ188" s="20"/>
      <c r="ER188" s="19"/>
      <c r="ES188" s="20"/>
      <c r="ET188" s="19"/>
      <c r="EU188" s="20"/>
      <c r="EV188" s="19"/>
      <c r="EW188" s="20"/>
      <c r="EX188" s="19"/>
      <c r="EY188" s="20"/>
      <c r="EZ188" s="19"/>
      <c r="FA188" s="20"/>
      <c r="FB188" s="19"/>
      <c r="FC188" s="20"/>
      <c r="FD188" s="19"/>
      <c r="FE188" s="20"/>
      <c r="FF188" s="19"/>
      <c r="FG188" s="20"/>
      <c r="FH188" s="19"/>
      <c r="FI188" s="20"/>
      <c r="FJ188" s="19"/>
      <c r="FK188" s="20"/>
      <c r="FL188" s="19"/>
      <c r="FM188" s="20"/>
      <c r="FN188" s="19"/>
      <c r="FO188" s="20"/>
      <c r="FP188" s="19"/>
      <c r="FQ188" s="20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</row>
    <row r="189" spans="1:189" ht="14.4" x14ac:dyDescent="0.3">
      <c r="A189" s="1"/>
      <c r="B189" s="18"/>
      <c r="C189" s="18"/>
      <c r="D189" s="18"/>
      <c r="E189" s="18"/>
      <c r="F189" s="18"/>
      <c r="G189" s="3"/>
      <c r="H189" s="3"/>
      <c r="I189" s="19"/>
      <c r="J189" s="20"/>
      <c r="K189" s="19"/>
      <c r="L189" s="20"/>
      <c r="M189" s="19"/>
      <c r="N189" s="20"/>
      <c r="O189" s="19"/>
      <c r="P189" s="20"/>
      <c r="Q189" s="19"/>
      <c r="R189" s="20"/>
      <c r="S189" s="19"/>
      <c r="T189" s="20"/>
      <c r="U189" s="19"/>
      <c r="V189" s="20"/>
      <c r="W189" s="19"/>
      <c r="X189" s="20"/>
      <c r="Y189" s="19"/>
      <c r="Z189" s="20"/>
      <c r="AA189" s="19"/>
      <c r="AB189" s="20"/>
      <c r="AC189" s="19"/>
      <c r="AD189" s="20"/>
      <c r="AE189" s="19"/>
      <c r="AF189" s="20"/>
      <c r="AG189" s="19"/>
      <c r="AH189" s="20"/>
      <c r="AI189" s="19"/>
      <c r="AJ189" s="20"/>
      <c r="AK189" s="19"/>
      <c r="AL189" s="20"/>
      <c r="AM189" s="19"/>
      <c r="AN189" s="20"/>
      <c r="AO189" s="19"/>
      <c r="AP189" s="20"/>
      <c r="AQ189" s="19"/>
      <c r="AR189" s="20"/>
      <c r="AS189" s="19"/>
      <c r="AT189" s="20"/>
      <c r="AU189" s="19"/>
      <c r="AV189" s="20"/>
      <c r="AW189" s="19"/>
      <c r="AX189" s="20"/>
      <c r="AY189" s="19"/>
      <c r="AZ189" s="20"/>
      <c r="BA189" s="19"/>
      <c r="BB189" s="20"/>
      <c r="BC189" s="19"/>
      <c r="BD189" s="20"/>
      <c r="BE189" s="19"/>
      <c r="BF189" s="20"/>
      <c r="BG189" s="19"/>
      <c r="BH189" s="20"/>
      <c r="BI189" s="19"/>
      <c r="BJ189" s="20"/>
      <c r="BK189" s="19"/>
      <c r="BL189" s="20"/>
      <c r="BM189" s="19"/>
      <c r="BN189" s="20"/>
      <c r="BO189" s="19"/>
      <c r="BP189" s="20"/>
      <c r="BQ189" s="19"/>
      <c r="BR189" s="20"/>
      <c r="BS189" s="19"/>
      <c r="BT189" s="20"/>
      <c r="BU189" s="19"/>
      <c r="BV189" s="20"/>
      <c r="BW189" s="19"/>
      <c r="BX189" s="20"/>
      <c r="BY189" s="19"/>
      <c r="BZ189" s="20"/>
      <c r="CA189" s="19"/>
      <c r="CB189" s="20"/>
      <c r="CC189" s="19"/>
      <c r="CD189" s="20"/>
      <c r="CE189" s="19"/>
      <c r="CF189" s="20"/>
      <c r="CG189" s="19"/>
      <c r="CH189" s="20"/>
      <c r="CI189" s="19"/>
      <c r="CJ189" s="20"/>
      <c r="CK189" s="19"/>
      <c r="CL189" s="20"/>
      <c r="CM189" s="19"/>
      <c r="CN189" s="20"/>
      <c r="CO189" s="19"/>
      <c r="CP189" s="20"/>
      <c r="CQ189" s="19"/>
      <c r="CR189" s="20"/>
      <c r="CS189" s="19"/>
      <c r="CT189" s="20"/>
      <c r="CU189" s="19"/>
      <c r="CV189" s="20"/>
      <c r="CW189" s="19"/>
      <c r="CX189" s="20"/>
      <c r="CY189" s="19"/>
      <c r="CZ189" s="20"/>
      <c r="DA189" s="19"/>
      <c r="DB189" s="20"/>
      <c r="DC189" s="19"/>
      <c r="DD189" s="20"/>
      <c r="DE189" s="19"/>
      <c r="DF189" s="20"/>
      <c r="DG189" s="19"/>
      <c r="DH189" s="20"/>
      <c r="DI189" s="19"/>
      <c r="DJ189" s="20"/>
      <c r="DK189" s="19"/>
      <c r="DL189" s="20"/>
      <c r="DM189" s="19"/>
      <c r="DN189" s="20"/>
      <c r="DO189" s="19"/>
      <c r="DP189" s="20"/>
      <c r="DQ189" s="19"/>
      <c r="DR189" s="20"/>
      <c r="DS189" s="19"/>
      <c r="DT189" s="20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19"/>
      <c r="EO189" s="20"/>
      <c r="EP189" s="19"/>
      <c r="EQ189" s="20"/>
      <c r="ER189" s="19"/>
      <c r="ES189" s="20"/>
      <c r="ET189" s="19"/>
      <c r="EU189" s="20"/>
      <c r="EV189" s="19"/>
      <c r="EW189" s="20"/>
      <c r="EX189" s="19"/>
      <c r="EY189" s="20"/>
      <c r="EZ189" s="19"/>
      <c r="FA189" s="20"/>
      <c r="FB189" s="19"/>
      <c r="FC189" s="20"/>
      <c r="FD189" s="19"/>
      <c r="FE189" s="20"/>
      <c r="FF189" s="19"/>
      <c r="FG189" s="20"/>
      <c r="FH189" s="19"/>
      <c r="FI189" s="20"/>
      <c r="FJ189" s="19"/>
      <c r="FK189" s="20"/>
      <c r="FL189" s="19"/>
      <c r="FM189" s="20"/>
      <c r="FN189" s="19"/>
      <c r="FO189" s="20"/>
      <c r="FP189" s="19"/>
      <c r="FQ189" s="20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</row>
    <row r="190" spans="1:189" ht="15" customHeight="1" x14ac:dyDescent="0.3">
      <c r="A190" s="63"/>
      <c r="B190" s="313" t="s">
        <v>405</v>
      </c>
      <c r="C190" s="313" t="s">
        <v>149</v>
      </c>
      <c r="D190" s="313" t="s">
        <v>96</v>
      </c>
      <c r="E190" s="313" t="s">
        <v>150</v>
      </c>
      <c r="F190" s="313" t="s">
        <v>114</v>
      </c>
      <c r="G190" s="5" t="s">
        <v>28</v>
      </c>
      <c r="H190" s="5"/>
      <c r="I190" s="284">
        <v>62</v>
      </c>
      <c r="J190" s="281"/>
      <c r="K190" s="284">
        <v>43</v>
      </c>
      <c r="L190" s="281"/>
      <c r="M190" s="284">
        <v>43</v>
      </c>
      <c r="N190" s="281"/>
      <c r="O190" s="284">
        <v>43</v>
      </c>
      <c r="P190" s="281"/>
      <c r="Q190" s="284">
        <v>43</v>
      </c>
      <c r="R190" s="281"/>
      <c r="S190" s="284">
        <v>43</v>
      </c>
      <c r="T190" s="281"/>
      <c r="U190" s="284">
        <v>43</v>
      </c>
      <c r="V190" s="281"/>
      <c r="W190" s="284">
        <v>54</v>
      </c>
      <c r="X190" s="281"/>
      <c r="Y190" s="284">
        <v>62</v>
      </c>
      <c r="Z190" s="281"/>
      <c r="AA190" s="284">
        <v>62</v>
      </c>
      <c r="AB190" s="281"/>
      <c r="AC190" s="284">
        <v>62</v>
      </c>
      <c r="AD190" s="281"/>
      <c r="AE190" s="284">
        <v>62</v>
      </c>
      <c r="AF190" s="281"/>
      <c r="AG190" s="284">
        <v>62</v>
      </c>
      <c r="AH190" s="281"/>
      <c r="AI190" s="284">
        <v>62</v>
      </c>
      <c r="AJ190" s="281"/>
      <c r="AK190" s="284">
        <v>62</v>
      </c>
      <c r="AL190" s="281"/>
      <c r="AM190" s="284">
        <v>62</v>
      </c>
      <c r="AN190" s="281"/>
      <c r="AO190" s="284">
        <v>62</v>
      </c>
      <c r="AP190" s="281"/>
      <c r="AQ190" s="284">
        <v>62</v>
      </c>
      <c r="AR190" s="281"/>
      <c r="AS190" s="284">
        <v>62</v>
      </c>
      <c r="AT190" s="281"/>
      <c r="AU190" s="284">
        <v>62</v>
      </c>
      <c r="AV190" s="281"/>
      <c r="AW190" s="284">
        <v>62</v>
      </c>
      <c r="AX190" s="281"/>
      <c r="AY190" s="284">
        <v>60</v>
      </c>
      <c r="AZ190" s="281"/>
      <c r="BA190" s="284">
        <v>60</v>
      </c>
      <c r="BB190" s="281"/>
      <c r="BC190" s="284">
        <v>60</v>
      </c>
      <c r="BD190" s="281"/>
      <c r="BE190" s="284">
        <v>60</v>
      </c>
      <c r="BF190" s="281"/>
      <c r="BG190" s="284">
        <v>60</v>
      </c>
      <c r="BH190" s="281"/>
      <c r="BI190" s="284">
        <v>60</v>
      </c>
      <c r="BJ190" s="281"/>
      <c r="BK190" s="284">
        <v>60</v>
      </c>
      <c r="BL190" s="281"/>
      <c r="BM190" s="284">
        <v>60</v>
      </c>
      <c r="BN190" s="281"/>
      <c r="BO190" s="284">
        <v>60</v>
      </c>
      <c r="BP190" s="281"/>
      <c r="BQ190" s="284">
        <v>60</v>
      </c>
      <c r="BR190" s="281"/>
      <c r="BS190" s="284">
        <v>60</v>
      </c>
      <c r="BT190" s="281"/>
      <c r="BU190" s="284">
        <v>60</v>
      </c>
      <c r="BV190" s="281"/>
      <c r="BW190" s="284">
        <v>60</v>
      </c>
      <c r="BX190" s="281"/>
      <c r="BY190" s="284">
        <v>60</v>
      </c>
      <c r="BZ190" s="281"/>
      <c r="CA190" s="284">
        <v>60</v>
      </c>
      <c r="CB190" s="281"/>
      <c r="CC190" s="284">
        <v>60</v>
      </c>
      <c r="CD190" s="281"/>
      <c r="CE190" s="284">
        <v>60</v>
      </c>
      <c r="CF190" s="281"/>
      <c r="CG190" s="284">
        <v>60</v>
      </c>
      <c r="CH190" s="281"/>
      <c r="CI190" s="284">
        <v>60</v>
      </c>
      <c r="CJ190" s="281"/>
      <c r="CK190" s="284">
        <v>60</v>
      </c>
      <c r="CL190" s="281"/>
      <c r="CM190" s="284">
        <v>60</v>
      </c>
      <c r="CN190" s="281"/>
      <c r="CO190" s="284">
        <v>60</v>
      </c>
      <c r="CP190" s="281"/>
      <c r="CQ190" s="284">
        <v>60</v>
      </c>
      <c r="CR190" s="281"/>
      <c r="CS190" s="284">
        <v>60</v>
      </c>
      <c r="CT190" s="281"/>
      <c r="CU190" s="284">
        <v>60</v>
      </c>
      <c r="CV190" s="281"/>
      <c r="CW190" s="284">
        <v>60</v>
      </c>
      <c r="CX190" s="281"/>
      <c r="CY190" s="284">
        <v>60</v>
      </c>
      <c r="CZ190" s="281"/>
      <c r="DA190" s="284">
        <v>60</v>
      </c>
      <c r="DB190" s="281"/>
      <c r="DC190" s="284">
        <v>60</v>
      </c>
      <c r="DD190" s="281"/>
      <c r="DE190" s="284">
        <v>60</v>
      </c>
      <c r="DF190" s="281"/>
      <c r="DG190" s="284">
        <v>60</v>
      </c>
      <c r="DH190" s="281"/>
      <c r="DI190" s="284">
        <v>60</v>
      </c>
      <c r="DJ190" s="281"/>
      <c r="DK190" s="284">
        <v>60</v>
      </c>
      <c r="DL190" s="281"/>
      <c r="DM190" s="284">
        <v>60</v>
      </c>
      <c r="DN190" s="281"/>
      <c r="DO190" s="284">
        <v>60</v>
      </c>
      <c r="DP190" s="281"/>
      <c r="DQ190" s="284">
        <v>60</v>
      </c>
      <c r="DR190" s="281"/>
      <c r="DS190" s="284">
        <v>60</v>
      </c>
      <c r="DT190" s="281"/>
      <c r="DU190" s="308" t="s">
        <v>29</v>
      </c>
      <c r="DV190" s="308" t="s">
        <v>29</v>
      </c>
      <c r="DW190" s="308" t="s">
        <v>29</v>
      </c>
      <c r="DX190" s="308" t="s">
        <v>29</v>
      </c>
      <c r="DY190" s="308" t="s">
        <v>29</v>
      </c>
      <c r="DZ190" s="308" t="s">
        <v>29</v>
      </c>
      <c r="EA190" s="308" t="s">
        <v>29</v>
      </c>
      <c r="EB190" s="308" t="s">
        <v>29</v>
      </c>
      <c r="EC190" s="308" t="s">
        <v>29</v>
      </c>
      <c r="ED190" s="308" t="s">
        <v>29</v>
      </c>
      <c r="EE190" s="308" t="s">
        <v>29</v>
      </c>
      <c r="EF190" s="308" t="s">
        <v>29</v>
      </c>
      <c r="EG190" s="308" t="s">
        <v>29</v>
      </c>
      <c r="EH190" s="308" t="s">
        <v>29</v>
      </c>
      <c r="EI190" s="308" t="s">
        <v>29</v>
      </c>
      <c r="EJ190" s="308" t="s">
        <v>29</v>
      </c>
      <c r="EK190" s="308"/>
      <c r="EL190" s="308"/>
      <c r="EM190" s="308"/>
      <c r="EN190" s="284">
        <v>60</v>
      </c>
      <c r="EO190" s="281"/>
      <c r="EP190" s="284">
        <v>60</v>
      </c>
      <c r="EQ190" s="281"/>
      <c r="ER190" s="284">
        <v>60</v>
      </c>
      <c r="ES190" s="281"/>
      <c r="ET190" s="284">
        <v>60</v>
      </c>
      <c r="EU190" s="281"/>
      <c r="EV190" s="284">
        <v>60</v>
      </c>
      <c r="EW190" s="281"/>
      <c r="EX190" s="284">
        <v>60</v>
      </c>
      <c r="EY190" s="281"/>
      <c r="EZ190" s="284">
        <v>60</v>
      </c>
      <c r="FA190" s="281"/>
      <c r="FB190" s="284">
        <v>60</v>
      </c>
      <c r="FC190" s="281"/>
      <c r="FD190" s="284">
        <v>60</v>
      </c>
      <c r="FE190" s="281"/>
      <c r="FF190" s="284">
        <v>60</v>
      </c>
      <c r="FG190" s="281"/>
      <c r="FH190" s="284">
        <v>60</v>
      </c>
      <c r="FI190" s="281"/>
      <c r="FJ190" s="284">
        <v>60</v>
      </c>
      <c r="FK190" s="281"/>
      <c r="FL190" s="284">
        <v>60</v>
      </c>
      <c r="FM190" s="281"/>
      <c r="FN190" s="284">
        <v>60</v>
      </c>
      <c r="FO190" s="281"/>
      <c r="FP190" s="284">
        <v>60</v>
      </c>
      <c r="FQ190" s="281"/>
      <c r="FR190" s="308" t="s">
        <v>29</v>
      </c>
      <c r="FS190" s="308" t="s">
        <v>29</v>
      </c>
      <c r="FT190" s="308" t="s">
        <v>29</v>
      </c>
      <c r="FU190" s="308" t="s">
        <v>29</v>
      </c>
      <c r="FV190" s="308" t="s">
        <v>29</v>
      </c>
      <c r="FW190" s="308" t="s">
        <v>29</v>
      </c>
      <c r="FX190" s="308" t="s">
        <v>29</v>
      </c>
      <c r="FY190" s="308" t="s">
        <v>29</v>
      </c>
      <c r="FZ190" s="308" t="s">
        <v>29</v>
      </c>
      <c r="GA190" s="308" t="s">
        <v>29</v>
      </c>
      <c r="GB190" s="308" t="s">
        <v>29</v>
      </c>
      <c r="GC190" s="308" t="s">
        <v>29</v>
      </c>
      <c r="GD190" s="308" t="s">
        <v>29</v>
      </c>
      <c r="GE190" s="308" t="s">
        <v>29</v>
      </c>
      <c r="GF190" s="308"/>
      <c r="GG190" s="308"/>
    </row>
    <row r="191" spans="1:189" ht="4.5" customHeight="1" x14ac:dyDescent="0.3">
      <c r="A191" s="1"/>
      <c r="B191" s="301"/>
      <c r="C191" s="301"/>
      <c r="D191" s="301"/>
      <c r="E191" s="301"/>
      <c r="F191" s="301"/>
      <c r="G191" s="5"/>
      <c r="H191" s="5"/>
      <c r="I191" s="421"/>
      <c r="J191" s="281"/>
      <c r="K191" s="387"/>
      <c r="L191" s="281"/>
      <c r="M191" s="421"/>
      <c r="N191" s="281"/>
      <c r="O191" s="421"/>
      <c r="P191" s="281"/>
      <c r="Q191" s="387"/>
      <c r="R191" s="281"/>
      <c r="S191" s="387"/>
      <c r="T191" s="281"/>
      <c r="U191" s="387"/>
      <c r="V191" s="281"/>
      <c r="W191" s="387"/>
      <c r="X191" s="281"/>
      <c r="Y191" s="421"/>
      <c r="Z191" s="281"/>
      <c r="AA191" s="421"/>
      <c r="AB191" s="281"/>
      <c r="AC191" s="387"/>
      <c r="AD191" s="281"/>
      <c r="AE191" s="387"/>
      <c r="AF191" s="281"/>
      <c r="AG191" s="387"/>
      <c r="AH191" s="281"/>
      <c r="AI191" s="351"/>
      <c r="AJ191" s="281"/>
      <c r="AK191" s="328"/>
      <c r="AL191" s="281"/>
      <c r="AM191" s="328"/>
      <c r="AN191" s="281"/>
      <c r="AO191" s="351"/>
      <c r="AP191" s="281"/>
      <c r="AQ191" s="351"/>
      <c r="AR191" s="281"/>
      <c r="AS191" s="351"/>
      <c r="AT191" s="281"/>
      <c r="AU191" s="351"/>
      <c r="AV191" s="281"/>
      <c r="AW191" s="351"/>
      <c r="AX191" s="281"/>
      <c r="AY191" s="351"/>
      <c r="AZ191" s="281"/>
      <c r="BA191" s="351"/>
      <c r="BB191" s="281"/>
      <c r="BC191" s="422"/>
      <c r="BD191" s="281"/>
      <c r="BE191" s="422"/>
      <c r="BF191" s="281"/>
      <c r="BG191" s="351"/>
      <c r="BH191" s="281"/>
      <c r="BI191" s="422"/>
      <c r="BJ191" s="281"/>
      <c r="BK191" s="422"/>
      <c r="BL191" s="281"/>
      <c r="BM191" s="422"/>
      <c r="BN191" s="281"/>
      <c r="BO191" s="351"/>
      <c r="BP191" s="281"/>
      <c r="BQ191" s="422"/>
      <c r="BR191" s="281"/>
      <c r="BS191" s="422"/>
      <c r="BT191" s="281"/>
      <c r="BU191" s="422"/>
      <c r="BV191" s="281"/>
      <c r="BW191" s="422"/>
      <c r="BX191" s="281"/>
      <c r="BY191" s="422"/>
      <c r="BZ191" s="281"/>
      <c r="CA191" s="351"/>
      <c r="CB191" s="281"/>
      <c r="CC191" s="422"/>
      <c r="CD191" s="281"/>
      <c r="CE191" s="351"/>
      <c r="CF191" s="281"/>
      <c r="CG191" s="351"/>
      <c r="CH191" s="281"/>
      <c r="CI191" s="351"/>
      <c r="CJ191" s="281"/>
      <c r="CK191" s="351"/>
      <c r="CL191" s="281"/>
      <c r="CM191" s="351"/>
      <c r="CN191" s="281"/>
      <c r="CO191" s="351"/>
      <c r="CP191" s="281"/>
      <c r="CQ191" s="351"/>
      <c r="CR191" s="281"/>
      <c r="CS191" s="351"/>
      <c r="CT191" s="281"/>
      <c r="CU191" s="351"/>
      <c r="CV191" s="281"/>
      <c r="CW191" s="351"/>
      <c r="CX191" s="281"/>
      <c r="CY191" s="351"/>
      <c r="CZ191" s="281"/>
      <c r="DA191" s="351"/>
      <c r="DB191" s="281"/>
      <c r="DC191" s="351"/>
      <c r="DD191" s="281"/>
      <c r="DE191" s="351"/>
      <c r="DF191" s="281"/>
      <c r="DG191" s="351"/>
      <c r="DH191" s="281"/>
      <c r="DI191" s="351"/>
      <c r="DJ191" s="281"/>
      <c r="DK191" s="351"/>
      <c r="DL191" s="281"/>
      <c r="DM191" s="351"/>
      <c r="DN191" s="281"/>
      <c r="DO191" s="351"/>
      <c r="DP191" s="281"/>
      <c r="DQ191" s="351"/>
      <c r="DR191" s="281"/>
      <c r="DS191" s="351"/>
      <c r="DT191" s="281"/>
      <c r="DU191" s="301"/>
      <c r="DV191" s="301"/>
      <c r="DW191" s="301"/>
      <c r="DX191" s="301"/>
      <c r="DY191" s="301"/>
      <c r="DZ191" s="301"/>
      <c r="EA191" s="301"/>
      <c r="EB191" s="301"/>
      <c r="EC191" s="301"/>
      <c r="ED191" s="301"/>
      <c r="EE191" s="301"/>
      <c r="EF191" s="301"/>
      <c r="EG191" s="301"/>
      <c r="EH191" s="301"/>
      <c r="EI191" s="301"/>
      <c r="EJ191" s="301"/>
      <c r="EK191" s="301"/>
      <c r="EL191" s="301"/>
      <c r="EM191" s="301"/>
      <c r="EN191" s="351"/>
      <c r="EO191" s="281"/>
      <c r="EP191" s="351"/>
      <c r="EQ191" s="281"/>
      <c r="ER191" s="351"/>
      <c r="ES191" s="281"/>
      <c r="ET191" s="351"/>
      <c r="EU191" s="281"/>
      <c r="EV191" s="328"/>
      <c r="EW191" s="281"/>
      <c r="EX191" s="328"/>
      <c r="EY191" s="281"/>
      <c r="EZ191" s="351"/>
      <c r="FA191" s="281"/>
      <c r="FB191" s="351"/>
      <c r="FC191" s="281"/>
      <c r="FD191" s="351"/>
      <c r="FE191" s="281"/>
      <c r="FF191" s="328"/>
      <c r="FG191" s="281"/>
      <c r="FH191" s="351"/>
      <c r="FI191" s="281"/>
      <c r="FJ191" s="328"/>
      <c r="FK191" s="281"/>
      <c r="FL191" s="351"/>
      <c r="FM191" s="281"/>
      <c r="FN191" s="328"/>
      <c r="FO191" s="281"/>
      <c r="FP191" s="328"/>
      <c r="FQ191" s="281"/>
      <c r="FR191" s="301"/>
      <c r="FS191" s="301"/>
      <c r="FT191" s="301"/>
      <c r="FU191" s="301"/>
      <c r="FV191" s="301"/>
      <c r="FW191" s="301"/>
      <c r="FX191" s="301"/>
      <c r="FY191" s="301"/>
      <c r="FZ191" s="301"/>
      <c r="GA191" s="309"/>
      <c r="GB191" s="309"/>
      <c r="GC191" s="309"/>
      <c r="GD191" s="309"/>
      <c r="GE191" s="309"/>
      <c r="GF191" s="309"/>
      <c r="GG191" s="309"/>
    </row>
    <row r="192" spans="1:189" ht="15" customHeight="1" x14ac:dyDescent="0.3">
      <c r="A192" s="1"/>
      <c r="B192" s="301"/>
      <c r="C192" s="301"/>
      <c r="D192" s="301"/>
      <c r="E192" s="301"/>
      <c r="F192" s="301"/>
      <c r="G192" s="5" t="s">
        <v>30</v>
      </c>
      <c r="H192" s="5"/>
      <c r="I192" s="284"/>
      <c r="J192" s="281"/>
      <c r="K192" s="284"/>
      <c r="L192" s="281"/>
      <c r="M192" s="284"/>
      <c r="N192" s="281"/>
      <c r="O192" s="284"/>
      <c r="P192" s="281"/>
      <c r="Q192" s="284"/>
      <c r="R192" s="281"/>
      <c r="S192" s="284"/>
      <c r="T192" s="281"/>
      <c r="U192" s="284"/>
      <c r="V192" s="281"/>
      <c r="W192" s="284"/>
      <c r="X192" s="281"/>
      <c r="Y192" s="284"/>
      <c r="Z192" s="281"/>
      <c r="AA192" s="284"/>
      <c r="AB192" s="281"/>
      <c r="AC192" s="284"/>
      <c r="AD192" s="281"/>
      <c r="AE192" s="284"/>
      <c r="AF192" s="281"/>
      <c r="AG192" s="284"/>
      <c r="AH192" s="281"/>
      <c r="AI192" s="284"/>
      <c r="AJ192" s="281"/>
      <c r="AK192" s="284"/>
      <c r="AL192" s="281"/>
      <c r="AM192" s="284"/>
      <c r="AN192" s="281"/>
      <c r="AO192" s="284"/>
      <c r="AP192" s="281"/>
      <c r="AQ192" s="284"/>
      <c r="AR192" s="281"/>
      <c r="AS192" s="284"/>
      <c r="AT192" s="281"/>
      <c r="AU192" s="284"/>
      <c r="AV192" s="281"/>
      <c r="AW192" s="284"/>
      <c r="AX192" s="281"/>
      <c r="AY192" s="284"/>
      <c r="AZ192" s="281"/>
      <c r="BA192" s="284"/>
      <c r="BB192" s="281"/>
      <c r="BC192" s="284"/>
      <c r="BD192" s="281"/>
      <c r="BE192" s="284"/>
      <c r="BF192" s="281"/>
      <c r="BG192" s="284"/>
      <c r="BH192" s="281"/>
      <c r="BI192" s="284"/>
      <c r="BJ192" s="281"/>
      <c r="BK192" s="284"/>
      <c r="BL192" s="281"/>
      <c r="BM192" s="284"/>
      <c r="BN192" s="281"/>
      <c r="BO192" s="284"/>
      <c r="BP192" s="281"/>
      <c r="BQ192" s="284"/>
      <c r="BR192" s="281"/>
      <c r="BS192" s="284"/>
      <c r="BT192" s="281"/>
      <c r="BU192" s="284"/>
      <c r="BV192" s="281"/>
      <c r="BW192" s="284"/>
      <c r="BX192" s="281"/>
      <c r="BY192" s="284"/>
      <c r="BZ192" s="281"/>
      <c r="CA192" s="284"/>
      <c r="CB192" s="281"/>
      <c r="CC192" s="284"/>
      <c r="CD192" s="281"/>
      <c r="CE192" s="284"/>
      <c r="CF192" s="281"/>
      <c r="CG192" s="284"/>
      <c r="CH192" s="281"/>
      <c r="CI192" s="284"/>
      <c r="CJ192" s="281"/>
      <c r="CK192" s="284"/>
      <c r="CL192" s="281"/>
      <c r="CM192" s="284"/>
      <c r="CN192" s="281"/>
      <c r="CO192" s="284"/>
      <c r="CP192" s="281"/>
      <c r="CQ192" s="284"/>
      <c r="CR192" s="281"/>
      <c r="CS192" s="284"/>
      <c r="CT192" s="281"/>
      <c r="CU192" s="284"/>
      <c r="CV192" s="281"/>
      <c r="CW192" s="284"/>
      <c r="CX192" s="281"/>
      <c r="CY192" s="284"/>
      <c r="CZ192" s="281"/>
      <c r="DA192" s="284"/>
      <c r="DB192" s="281"/>
      <c r="DC192" s="284"/>
      <c r="DD192" s="281"/>
      <c r="DE192" s="284"/>
      <c r="DF192" s="281"/>
      <c r="DG192" s="284"/>
      <c r="DH192" s="281"/>
      <c r="DI192" s="284"/>
      <c r="DJ192" s="281"/>
      <c r="DK192" s="284">
        <v>13</v>
      </c>
      <c r="DL192" s="281"/>
      <c r="DM192" s="284">
        <v>18</v>
      </c>
      <c r="DN192" s="281"/>
      <c r="DO192" s="284">
        <v>51</v>
      </c>
      <c r="DP192" s="281"/>
      <c r="DQ192" s="284">
        <v>36</v>
      </c>
      <c r="DR192" s="281"/>
      <c r="DS192" s="284">
        <v>23</v>
      </c>
      <c r="DT192" s="281"/>
      <c r="DU192" s="301"/>
      <c r="DV192" s="301"/>
      <c r="DW192" s="301"/>
      <c r="DX192" s="301"/>
      <c r="DY192" s="301"/>
      <c r="DZ192" s="301"/>
      <c r="EA192" s="301"/>
      <c r="EB192" s="301"/>
      <c r="EC192" s="301"/>
      <c r="ED192" s="301"/>
      <c r="EE192" s="301"/>
      <c r="EF192" s="301"/>
      <c r="EG192" s="301"/>
      <c r="EH192" s="301"/>
      <c r="EI192" s="301"/>
      <c r="EJ192" s="301"/>
      <c r="EK192" s="301"/>
      <c r="EL192" s="301"/>
      <c r="EM192" s="301"/>
      <c r="EN192" s="284">
        <v>8</v>
      </c>
      <c r="EO192" s="281"/>
      <c r="EP192" s="284">
        <v>-11</v>
      </c>
      <c r="EQ192" s="281"/>
      <c r="ER192" s="284">
        <v>47</v>
      </c>
      <c r="ES192" s="281"/>
      <c r="ET192" s="284">
        <v>58</v>
      </c>
      <c r="EU192" s="281"/>
      <c r="EV192" s="284">
        <v>61</v>
      </c>
      <c r="EW192" s="281"/>
      <c r="EX192" s="284">
        <v>74</v>
      </c>
      <c r="EY192" s="281"/>
      <c r="EZ192" s="284">
        <v>45</v>
      </c>
      <c r="FA192" s="281"/>
      <c r="FB192" s="284">
        <v>31</v>
      </c>
      <c r="FC192" s="281"/>
      <c r="FD192" s="284">
        <v>57</v>
      </c>
      <c r="FE192" s="281"/>
      <c r="FF192" s="284">
        <v>72</v>
      </c>
      <c r="FG192" s="281"/>
      <c r="FH192" s="284">
        <v>45</v>
      </c>
      <c r="FI192" s="281"/>
      <c r="FJ192" s="284">
        <v>69</v>
      </c>
      <c r="FK192" s="281"/>
      <c r="FL192" s="284">
        <v>33</v>
      </c>
      <c r="FM192" s="281"/>
      <c r="FN192" s="284">
        <v>67</v>
      </c>
      <c r="FO192" s="281"/>
      <c r="FP192" s="284">
        <v>66</v>
      </c>
      <c r="FQ192" s="281"/>
      <c r="FR192" s="301"/>
      <c r="FS192" s="301"/>
      <c r="FT192" s="301"/>
      <c r="FU192" s="301"/>
      <c r="FV192" s="301"/>
      <c r="FW192" s="301"/>
      <c r="FX192" s="301"/>
      <c r="FY192" s="301"/>
      <c r="FZ192" s="301"/>
      <c r="GA192" s="309"/>
      <c r="GB192" s="309"/>
      <c r="GC192" s="309"/>
      <c r="GD192" s="309"/>
      <c r="GE192" s="309"/>
      <c r="GF192" s="309"/>
      <c r="GG192" s="309"/>
    </row>
    <row r="193" spans="1:189" ht="15" customHeight="1" x14ac:dyDescent="0.3">
      <c r="A193" s="1"/>
      <c r="B193" s="301"/>
      <c r="C193" s="301"/>
      <c r="D193" s="301"/>
      <c r="E193" s="301"/>
      <c r="F193" s="301"/>
      <c r="G193" s="5" t="s">
        <v>151</v>
      </c>
      <c r="H193" s="5"/>
      <c r="I193" s="23"/>
      <c r="J193" s="30"/>
      <c r="K193" s="23"/>
      <c r="L193" s="30"/>
      <c r="M193" s="23"/>
      <c r="N193" s="30"/>
      <c r="O193" s="23"/>
      <c r="P193" s="30"/>
      <c r="Q193" s="23"/>
      <c r="R193" s="30"/>
      <c r="S193" s="23"/>
      <c r="T193" s="30"/>
      <c r="U193" s="23"/>
      <c r="V193" s="30"/>
      <c r="W193" s="23"/>
      <c r="X193" s="30"/>
      <c r="Y193" s="23"/>
      <c r="Z193" s="30"/>
      <c r="AA193" s="23"/>
      <c r="AB193" s="30"/>
      <c r="AC193" s="23"/>
      <c r="AD193" s="30"/>
      <c r="AE193" s="23"/>
      <c r="AF193" s="30"/>
      <c r="AG193" s="23"/>
      <c r="AH193" s="30"/>
      <c r="AI193" s="23"/>
      <c r="AJ193" s="30"/>
      <c r="AK193" s="23"/>
      <c r="AL193" s="30"/>
      <c r="AM193" s="23"/>
      <c r="AN193" s="30"/>
      <c r="AO193" s="23"/>
      <c r="AP193" s="30"/>
      <c r="AQ193" s="23"/>
      <c r="AR193" s="30"/>
      <c r="AS193" s="23"/>
      <c r="AT193" s="30"/>
      <c r="AU193" s="23"/>
      <c r="AV193" s="30"/>
      <c r="AW193" s="23"/>
      <c r="AX193" s="30"/>
      <c r="AY193" s="23"/>
      <c r="AZ193" s="30"/>
      <c r="BA193" s="23"/>
      <c r="BB193" s="30"/>
      <c r="BC193" s="23"/>
      <c r="BD193" s="30"/>
      <c r="BE193" s="23"/>
      <c r="BF193" s="30"/>
      <c r="BG193" s="23"/>
      <c r="BH193" s="30"/>
      <c r="BI193" s="23"/>
      <c r="BJ193" s="30"/>
      <c r="BK193" s="23"/>
      <c r="BL193" s="30"/>
      <c r="BM193" s="23"/>
      <c r="BN193" s="30"/>
      <c r="BO193" s="23"/>
      <c r="BP193" s="30"/>
      <c r="BQ193" s="23"/>
      <c r="BR193" s="94"/>
      <c r="BS193" s="23"/>
      <c r="BT193" s="94"/>
      <c r="BU193" s="23"/>
      <c r="BV193" s="94"/>
      <c r="BW193" s="23"/>
      <c r="BX193" s="94"/>
      <c r="BY193" s="23"/>
      <c r="BZ193" s="94"/>
      <c r="CA193" s="23"/>
      <c r="CB193" s="94"/>
      <c r="CC193" s="23"/>
      <c r="CD193" s="94"/>
      <c r="CE193" s="23"/>
      <c r="CF193" s="94"/>
      <c r="CG193" s="23"/>
      <c r="CH193" s="94"/>
      <c r="CI193" s="23"/>
      <c r="CJ193" s="94"/>
      <c r="CK193" s="23"/>
      <c r="CL193" s="94"/>
      <c r="CM193" s="23"/>
      <c r="CN193" s="94"/>
      <c r="CO193" s="23"/>
      <c r="CP193" s="94"/>
      <c r="CQ193" s="23"/>
      <c r="CR193" s="94"/>
      <c r="CS193" s="23"/>
      <c r="CT193" s="94"/>
      <c r="CU193" s="23"/>
      <c r="CV193" s="94"/>
      <c r="CW193" s="23"/>
      <c r="CX193" s="94"/>
      <c r="CY193" s="23"/>
      <c r="CZ193" s="94"/>
      <c r="DA193" s="23"/>
      <c r="DB193" s="94"/>
      <c r="DC193" s="23"/>
      <c r="DD193" s="94"/>
      <c r="DE193" s="23"/>
      <c r="DF193" s="94"/>
      <c r="DG193" s="23"/>
      <c r="DH193" s="94"/>
      <c r="DI193" s="23"/>
      <c r="DJ193" s="94"/>
      <c r="DK193" s="23">
        <v>616</v>
      </c>
      <c r="DL193" s="94">
        <f>(291)/DK193</f>
        <v>0.47240259740259738</v>
      </c>
      <c r="DM193" s="23">
        <v>311</v>
      </c>
      <c r="DN193" s="94">
        <f>(158)/DM193</f>
        <v>0.50803858520900325</v>
      </c>
      <c r="DO193" s="23">
        <v>271</v>
      </c>
      <c r="DP193" s="94">
        <f>(160+22)/DO193</f>
        <v>0.67158671586715868</v>
      </c>
      <c r="DQ193" s="23">
        <v>152</v>
      </c>
      <c r="DR193" s="94">
        <f>(90)/DQ193</f>
        <v>0.59210526315789469</v>
      </c>
      <c r="DS193" s="23">
        <v>127</v>
      </c>
      <c r="DT193" s="94">
        <f>(66)/DS193</f>
        <v>0.51968503937007871</v>
      </c>
      <c r="DU193" s="301"/>
      <c r="DV193" s="301"/>
      <c r="DW193" s="301"/>
      <c r="DX193" s="301"/>
      <c r="DY193" s="301"/>
      <c r="DZ193" s="301"/>
      <c r="EA193" s="301"/>
      <c r="EB193" s="301"/>
      <c r="EC193" s="301"/>
      <c r="ED193" s="301"/>
      <c r="EE193" s="301"/>
      <c r="EF193" s="301"/>
      <c r="EG193" s="301"/>
      <c r="EH193" s="301"/>
      <c r="EI193" s="301"/>
      <c r="EJ193" s="301"/>
      <c r="EK193" s="301"/>
      <c r="EL193" s="301"/>
      <c r="EM193" s="301"/>
      <c r="EN193" s="23">
        <f>98+40+81</f>
        <v>219</v>
      </c>
      <c r="EO193" s="94">
        <f>(98+40)/EN193</f>
        <v>0.63013698630136983</v>
      </c>
      <c r="EP193" s="23">
        <f>82+36+106</f>
        <v>224</v>
      </c>
      <c r="EQ193" s="94">
        <f>(82+36)/EP193</f>
        <v>0.5267857142857143</v>
      </c>
      <c r="ER193" s="23">
        <f>151+35+43</f>
        <v>229</v>
      </c>
      <c r="ES193" s="94">
        <f>(151+35)/ER193</f>
        <v>0.81222707423580787</v>
      </c>
      <c r="ET193" s="23">
        <f>80+11+17</f>
        <v>108</v>
      </c>
      <c r="EU193" s="94">
        <f>(80+11)/ET193</f>
        <v>0.84259259259259256</v>
      </c>
      <c r="EV193" s="23">
        <f>58+5+12</f>
        <v>75</v>
      </c>
      <c r="EW193" s="94">
        <f>(58+5)/EV193</f>
        <v>0.84</v>
      </c>
      <c r="EX193" s="23">
        <f>57+6+6</f>
        <v>69</v>
      </c>
      <c r="EY193" s="94">
        <f>(57+6)/EX193</f>
        <v>0.91304347826086951</v>
      </c>
      <c r="EZ193" s="23">
        <f>14+1+5</f>
        <v>20</v>
      </c>
      <c r="FA193" s="30">
        <f>(14+5)/EZ193</f>
        <v>0.95</v>
      </c>
      <c r="FB193" s="23">
        <f>31+10+14</f>
        <v>55</v>
      </c>
      <c r="FC193" s="30">
        <f>(31+10)/FB193</f>
        <v>0.74545454545454548</v>
      </c>
      <c r="FD193" s="23">
        <f>91+8+22</f>
        <v>121</v>
      </c>
      <c r="FE193" s="30">
        <f>(31+10)/FD193</f>
        <v>0.33884297520661155</v>
      </c>
      <c r="FF193" s="23">
        <f>26+3+3</f>
        <v>32</v>
      </c>
      <c r="FG193" s="30">
        <f>(31+10)/FF193</f>
        <v>1.28125</v>
      </c>
      <c r="FH193" s="23">
        <f>26+3+9</f>
        <v>38</v>
      </c>
      <c r="FI193" s="30">
        <f>(31+10)/FH193</f>
        <v>1.0789473684210527</v>
      </c>
      <c r="FJ193" s="23">
        <f>41+9+4</f>
        <v>54</v>
      </c>
      <c r="FK193" s="30">
        <f>(41+9)/FJ193</f>
        <v>0.92592592592592593</v>
      </c>
      <c r="FL193" s="23">
        <f>22+4+10</f>
        <v>36</v>
      </c>
      <c r="FM193" s="30">
        <f>(41+9)/FL193</f>
        <v>1.3888888888888888</v>
      </c>
      <c r="FN193" s="23">
        <v>24</v>
      </c>
      <c r="FO193" s="30">
        <f>19/FN193</f>
        <v>0.79166666666666663</v>
      </c>
      <c r="FP193" s="23">
        <v>29</v>
      </c>
      <c r="FQ193" s="30">
        <f>22/FP193</f>
        <v>0.75862068965517238</v>
      </c>
      <c r="FR193" s="301"/>
      <c r="FS193" s="301"/>
      <c r="FT193" s="301"/>
      <c r="FU193" s="301"/>
      <c r="FV193" s="301"/>
      <c r="FW193" s="301"/>
      <c r="FX193" s="301"/>
      <c r="FY193" s="301"/>
      <c r="FZ193" s="301"/>
      <c r="GA193" s="309"/>
      <c r="GB193" s="309"/>
      <c r="GC193" s="309"/>
      <c r="GD193" s="309"/>
      <c r="GE193" s="309"/>
      <c r="GF193" s="309"/>
      <c r="GG193" s="309"/>
    </row>
    <row r="194" spans="1:189" ht="15" customHeight="1" outlineLevel="1" x14ac:dyDescent="0.3">
      <c r="A194" s="1"/>
      <c r="B194" s="301"/>
      <c r="C194" s="301"/>
      <c r="D194" s="301"/>
      <c r="E194" s="301"/>
      <c r="F194" s="301"/>
      <c r="G194" s="5" t="s">
        <v>152</v>
      </c>
      <c r="H194" s="5"/>
      <c r="I194" s="23"/>
      <c r="J194" s="30"/>
      <c r="K194" s="23"/>
      <c r="L194" s="30"/>
      <c r="M194" s="23"/>
      <c r="N194" s="30"/>
      <c r="O194" s="23"/>
      <c r="P194" s="30"/>
      <c r="Q194" s="23"/>
      <c r="R194" s="30"/>
      <c r="S194" s="23"/>
      <c r="T194" s="30"/>
      <c r="U194" s="23"/>
      <c r="V194" s="30"/>
      <c r="W194" s="23"/>
      <c r="X194" s="30"/>
      <c r="Y194" s="23"/>
      <c r="Z194" s="30"/>
      <c r="AA194" s="23"/>
      <c r="AB194" s="30"/>
      <c r="AC194" s="23"/>
      <c r="AD194" s="30"/>
      <c r="AE194" s="23"/>
      <c r="AF194" s="30"/>
      <c r="AG194" s="23"/>
      <c r="AH194" s="30"/>
      <c r="AI194" s="23"/>
      <c r="AJ194" s="30"/>
      <c r="AK194" s="23"/>
      <c r="AL194" s="30"/>
      <c r="AM194" s="23"/>
      <c r="AN194" s="30"/>
      <c r="AO194" s="23"/>
      <c r="AP194" s="30"/>
      <c r="AQ194" s="23"/>
      <c r="AR194" s="30"/>
      <c r="AS194" s="23"/>
      <c r="AT194" s="30"/>
      <c r="AU194" s="23"/>
      <c r="AV194" s="30"/>
      <c r="AW194" s="23"/>
      <c r="AX194" s="30"/>
      <c r="AY194" s="23"/>
      <c r="AZ194" s="30"/>
      <c r="BA194" s="23"/>
      <c r="BB194" s="30"/>
      <c r="BC194" s="23"/>
      <c r="BD194" s="30"/>
      <c r="BE194" s="23"/>
      <c r="BF194" s="30"/>
      <c r="BG194" s="23"/>
      <c r="BH194" s="30"/>
      <c r="BI194" s="23"/>
      <c r="BJ194" s="30"/>
      <c r="BK194" s="23"/>
      <c r="BL194" s="30"/>
      <c r="BM194" s="23"/>
      <c r="BN194" s="30"/>
      <c r="BO194" s="23"/>
      <c r="BP194" s="30"/>
      <c r="BQ194" s="23"/>
      <c r="BR194" s="30"/>
      <c r="BS194" s="23"/>
      <c r="BT194" s="30"/>
      <c r="BU194" s="23"/>
      <c r="BV194" s="30"/>
      <c r="BW194" s="23"/>
      <c r="BX194" s="30"/>
      <c r="BY194" s="23"/>
      <c r="BZ194" s="30"/>
      <c r="CA194" s="23"/>
      <c r="CB194" s="30"/>
      <c r="CC194" s="23"/>
      <c r="CD194" s="30"/>
      <c r="CE194" s="23"/>
      <c r="CF194" s="30"/>
      <c r="CG194" s="23"/>
      <c r="CH194" s="30"/>
      <c r="CI194" s="23"/>
      <c r="CJ194" s="30"/>
      <c r="CK194" s="23"/>
      <c r="CL194" s="30"/>
      <c r="CM194" s="23"/>
      <c r="CN194" s="30"/>
      <c r="CO194" s="23"/>
      <c r="CP194" s="30"/>
      <c r="CQ194" s="23"/>
      <c r="CR194" s="30"/>
      <c r="CS194" s="23"/>
      <c r="CT194" s="30"/>
      <c r="CU194" s="23"/>
      <c r="CV194" s="30"/>
      <c r="CW194" s="23"/>
      <c r="CX194" s="30"/>
      <c r="CY194" s="23"/>
      <c r="CZ194" s="30"/>
      <c r="DA194" s="23"/>
      <c r="DB194" s="30"/>
      <c r="DC194" s="23"/>
      <c r="DD194" s="30"/>
      <c r="DE194" s="23"/>
      <c r="DF194" s="30"/>
      <c r="DG194" s="23"/>
      <c r="DH194" s="30"/>
      <c r="DI194" s="23"/>
      <c r="DJ194" s="30"/>
      <c r="DK194" s="23">
        <v>81</v>
      </c>
      <c r="DL194" s="30">
        <f>DK194/DK193</f>
        <v>0.1314935064935065</v>
      </c>
      <c r="DM194" s="23">
        <v>44</v>
      </c>
      <c r="DN194" s="30">
        <f>DM194/DM193</f>
        <v>0.14147909967845659</v>
      </c>
      <c r="DO194" s="23">
        <v>23</v>
      </c>
      <c r="DP194" s="30">
        <f>DO194/DO193</f>
        <v>8.4870848708487087E-2</v>
      </c>
      <c r="DQ194" s="23">
        <v>17</v>
      </c>
      <c r="DR194" s="30">
        <f>DQ194/DQ193</f>
        <v>0.1118421052631579</v>
      </c>
      <c r="DS194" s="23">
        <v>16</v>
      </c>
      <c r="DT194" s="30">
        <f>DS194/DS193</f>
        <v>0.12598425196850394</v>
      </c>
      <c r="DU194" s="301"/>
      <c r="DV194" s="301"/>
      <c r="DW194" s="301"/>
      <c r="DX194" s="301"/>
      <c r="DY194" s="301"/>
      <c r="DZ194" s="301"/>
      <c r="EA194" s="301"/>
      <c r="EB194" s="301"/>
      <c r="EC194" s="301"/>
      <c r="ED194" s="301"/>
      <c r="EE194" s="301"/>
      <c r="EF194" s="301"/>
      <c r="EG194" s="301"/>
      <c r="EH194" s="301"/>
      <c r="EI194" s="301"/>
      <c r="EJ194" s="301"/>
      <c r="EK194" s="301"/>
      <c r="EL194" s="301"/>
      <c r="EM194" s="301"/>
      <c r="EN194" s="23">
        <v>34</v>
      </c>
      <c r="EO194" s="30">
        <f>EN194/EN193</f>
        <v>0.15525114155251141</v>
      </c>
      <c r="EP194" s="23">
        <v>50</v>
      </c>
      <c r="EQ194" s="30">
        <f>EP194/EP193</f>
        <v>0.22321428571428573</v>
      </c>
      <c r="ER194" s="23">
        <v>18</v>
      </c>
      <c r="ES194" s="30">
        <f>ER194/ER193</f>
        <v>7.8602620087336247E-2</v>
      </c>
      <c r="ET194" s="23">
        <v>14</v>
      </c>
      <c r="EU194" s="30">
        <f>ET194/ET193</f>
        <v>0.12962962962962962</v>
      </c>
      <c r="EV194" s="23">
        <v>8</v>
      </c>
      <c r="EW194" s="30">
        <f>EV194/EV193</f>
        <v>0.10666666666666667</v>
      </c>
      <c r="EX194" s="23">
        <v>6</v>
      </c>
      <c r="EY194" s="30">
        <f>EX194/EX193</f>
        <v>8.6956521739130432E-2</v>
      </c>
      <c r="EZ194" s="23">
        <v>4</v>
      </c>
      <c r="FA194" s="30">
        <f>EZ194/EZ193</f>
        <v>0.2</v>
      </c>
      <c r="FB194" s="23">
        <v>5</v>
      </c>
      <c r="FC194" s="30">
        <f>FB194/FB193</f>
        <v>9.0909090909090912E-2</v>
      </c>
      <c r="FD194" s="23">
        <v>15</v>
      </c>
      <c r="FE194" s="30">
        <f>FD194/FD193</f>
        <v>0.12396694214876033</v>
      </c>
      <c r="FF194" s="23">
        <v>2</v>
      </c>
      <c r="FG194" s="30">
        <f>FF194/FF193</f>
        <v>6.25E-2</v>
      </c>
      <c r="FH194" s="23">
        <v>4</v>
      </c>
      <c r="FI194" s="30">
        <f>FH194/FH193</f>
        <v>0.10526315789473684</v>
      </c>
      <c r="FJ194" s="23">
        <v>3</v>
      </c>
      <c r="FK194" s="30">
        <f>FJ194/FJ193</f>
        <v>5.5555555555555552E-2</v>
      </c>
      <c r="FL194" s="23">
        <v>3</v>
      </c>
      <c r="FM194" s="30">
        <f>FL194/FL193</f>
        <v>8.3333333333333329E-2</v>
      </c>
      <c r="FN194" s="23">
        <v>2</v>
      </c>
      <c r="FO194" s="30">
        <f>FN194/FN193</f>
        <v>8.3333333333333329E-2</v>
      </c>
      <c r="FP194" s="23">
        <v>1</v>
      </c>
      <c r="FQ194" s="30">
        <f>FP194/FP193</f>
        <v>3.4482758620689655E-2</v>
      </c>
      <c r="FR194" s="301"/>
      <c r="FS194" s="301"/>
      <c r="FT194" s="301"/>
      <c r="FU194" s="301"/>
      <c r="FV194" s="301"/>
      <c r="FW194" s="301"/>
      <c r="FX194" s="301"/>
      <c r="FY194" s="301"/>
      <c r="FZ194" s="301"/>
      <c r="GA194" s="309"/>
      <c r="GB194" s="309"/>
      <c r="GC194" s="309"/>
      <c r="GD194" s="309"/>
      <c r="GE194" s="309"/>
      <c r="GF194" s="309"/>
      <c r="GG194" s="309"/>
    </row>
    <row r="195" spans="1:189" ht="15" customHeight="1" outlineLevel="1" x14ac:dyDescent="0.3">
      <c r="A195" s="1"/>
      <c r="B195" s="301"/>
      <c r="C195" s="301"/>
      <c r="D195" s="301"/>
      <c r="E195" s="301"/>
      <c r="F195" s="301"/>
      <c r="G195" s="5" t="s">
        <v>153</v>
      </c>
      <c r="H195" s="5"/>
      <c r="I195" s="23"/>
      <c r="J195" s="30"/>
      <c r="K195" s="23"/>
      <c r="L195" s="30"/>
      <c r="M195" s="23"/>
      <c r="N195" s="30"/>
      <c r="O195" s="23"/>
      <c r="P195" s="30"/>
      <c r="Q195" s="23"/>
      <c r="R195" s="30"/>
      <c r="S195" s="23"/>
      <c r="T195" s="30"/>
      <c r="U195" s="23"/>
      <c r="V195" s="30"/>
      <c r="W195" s="23"/>
      <c r="X195" s="30"/>
      <c r="Y195" s="23"/>
      <c r="Z195" s="30"/>
      <c r="AA195" s="23"/>
      <c r="AB195" s="30"/>
      <c r="AC195" s="23"/>
      <c r="AD195" s="30"/>
      <c r="AE195" s="23"/>
      <c r="AF195" s="30"/>
      <c r="AG195" s="23"/>
      <c r="AH195" s="30"/>
      <c r="AI195" s="23"/>
      <c r="AJ195" s="30"/>
      <c r="AK195" s="23"/>
      <c r="AL195" s="30"/>
      <c r="AM195" s="23"/>
      <c r="AN195" s="30"/>
      <c r="AO195" s="23"/>
      <c r="AP195" s="30"/>
      <c r="AQ195" s="23"/>
      <c r="AR195" s="30"/>
      <c r="AS195" s="23"/>
      <c r="AT195" s="30"/>
      <c r="AU195" s="23"/>
      <c r="AV195" s="30"/>
      <c r="AW195" s="23"/>
      <c r="AX195" s="30"/>
      <c r="AY195" s="23"/>
      <c r="AZ195" s="30"/>
      <c r="BA195" s="23"/>
      <c r="BB195" s="30"/>
      <c r="BC195" s="23"/>
      <c r="BD195" s="30"/>
      <c r="BE195" s="23"/>
      <c r="BF195" s="30"/>
      <c r="BG195" s="23"/>
      <c r="BH195" s="30"/>
      <c r="BI195" s="23"/>
      <c r="BJ195" s="30"/>
      <c r="BK195" s="23"/>
      <c r="BL195" s="30"/>
      <c r="BM195" s="23"/>
      <c r="BN195" s="30"/>
      <c r="BO195" s="23"/>
      <c r="BP195" s="30"/>
      <c r="BQ195" s="23"/>
      <c r="BR195" s="30"/>
      <c r="BS195" s="23"/>
      <c r="BT195" s="30"/>
      <c r="BU195" s="23"/>
      <c r="BV195" s="30"/>
      <c r="BW195" s="23"/>
      <c r="BX195" s="30"/>
      <c r="BY195" s="23"/>
      <c r="BZ195" s="30"/>
      <c r="CA195" s="23"/>
      <c r="CB195" s="30"/>
      <c r="CC195" s="23"/>
      <c r="CD195" s="30"/>
      <c r="CE195" s="23"/>
      <c r="CF195" s="30"/>
      <c r="CG195" s="23"/>
      <c r="CH195" s="30"/>
      <c r="CI195" s="23"/>
      <c r="CJ195" s="30"/>
      <c r="CK195" s="23"/>
      <c r="CL195" s="30"/>
      <c r="CM195" s="23"/>
      <c r="CN195" s="30"/>
      <c r="CO195" s="23"/>
      <c r="CP195" s="30"/>
      <c r="CQ195" s="23"/>
      <c r="CR195" s="30"/>
      <c r="CS195" s="23"/>
      <c r="CT195" s="30"/>
      <c r="CU195" s="23"/>
      <c r="CV195" s="30"/>
      <c r="CW195" s="23"/>
      <c r="CX195" s="30"/>
      <c r="CY195" s="23"/>
      <c r="CZ195" s="30"/>
      <c r="DA195" s="23"/>
      <c r="DB195" s="30"/>
      <c r="DC195" s="23"/>
      <c r="DD195" s="30"/>
      <c r="DE195" s="23"/>
      <c r="DF195" s="30"/>
      <c r="DG195" s="23"/>
      <c r="DH195" s="30"/>
      <c r="DI195" s="23"/>
      <c r="DJ195" s="30"/>
      <c r="DK195" s="23">
        <v>10</v>
      </c>
      <c r="DL195" s="30">
        <f>DK195/DK193</f>
        <v>1.6233766233766232E-2</v>
      </c>
      <c r="DM195" s="23">
        <v>5</v>
      </c>
      <c r="DN195" s="30">
        <f>DM195/DM193</f>
        <v>1.607717041800643E-2</v>
      </c>
      <c r="DO195" s="23">
        <v>3</v>
      </c>
      <c r="DP195" s="30">
        <f>DO195/DO193</f>
        <v>1.107011070110701E-2</v>
      </c>
      <c r="DQ195" s="23">
        <v>3</v>
      </c>
      <c r="DR195" s="30">
        <f>DQ195/DQ193</f>
        <v>1.9736842105263157E-2</v>
      </c>
      <c r="DS195" s="23">
        <v>3</v>
      </c>
      <c r="DT195" s="30">
        <f>DS195/DS193</f>
        <v>2.3622047244094488E-2</v>
      </c>
      <c r="DU195" s="301"/>
      <c r="DV195" s="301"/>
      <c r="DW195" s="301"/>
      <c r="DX195" s="301"/>
      <c r="DY195" s="301"/>
      <c r="DZ195" s="301"/>
      <c r="EA195" s="301"/>
      <c r="EB195" s="301"/>
      <c r="EC195" s="301"/>
      <c r="ED195" s="301"/>
      <c r="EE195" s="301"/>
      <c r="EF195" s="301"/>
      <c r="EG195" s="301"/>
      <c r="EH195" s="301"/>
      <c r="EI195" s="301"/>
      <c r="EJ195" s="301"/>
      <c r="EK195" s="301"/>
      <c r="EL195" s="301"/>
      <c r="EM195" s="301"/>
      <c r="EN195" s="23">
        <v>7</v>
      </c>
      <c r="EO195" s="30">
        <f>EN195/EN193</f>
        <v>3.1963470319634701E-2</v>
      </c>
      <c r="EP195" s="23">
        <v>8</v>
      </c>
      <c r="EQ195" s="30">
        <f>EP195/EP193</f>
        <v>3.5714285714285712E-2</v>
      </c>
      <c r="ER195" s="23">
        <v>3</v>
      </c>
      <c r="ES195" s="30">
        <f>ER195/ER193</f>
        <v>1.3100436681222707E-2</v>
      </c>
      <c r="ET195" s="23">
        <v>0</v>
      </c>
      <c r="EU195" s="30">
        <f>ET195/ET193</f>
        <v>0</v>
      </c>
      <c r="EV195" s="23">
        <v>0</v>
      </c>
      <c r="EW195" s="30">
        <f>EV195/EV193</f>
        <v>0</v>
      </c>
      <c r="EX195" s="23">
        <v>0</v>
      </c>
      <c r="EY195" s="30">
        <f>EX195/EX193</f>
        <v>0</v>
      </c>
      <c r="EZ195" s="23">
        <v>0</v>
      </c>
      <c r="FA195" s="30">
        <f>EZ195/EZ193</f>
        <v>0</v>
      </c>
      <c r="FB195" s="23">
        <v>1</v>
      </c>
      <c r="FC195" s="30">
        <f>FB195/FB193</f>
        <v>1.8181818181818181E-2</v>
      </c>
      <c r="FD195" s="23">
        <v>1</v>
      </c>
      <c r="FE195" s="30">
        <f>FD195/FD193</f>
        <v>8.2644628099173556E-3</v>
      </c>
      <c r="FF195" s="23">
        <v>0</v>
      </c>
      <c r="FG195" s="30">
        <f>FF195/FF193</f>
        <v>0</v>
      </c>
      <c r="FH195" s="23">
        <v>2</v>
      </c>
      <c r="FI195" s="30">
        <f>FH195/FH193</f>
        <v>5.2631578947368418E-2</v>
      </c>
      <c r="FJ195" s="23">
        <v>0</v>
      </c>
      <c r="FK195" s="30">
        <f>FJ195/FJ193</f>
        <v>0</v>
      </c>
      <c r="FL195" s="23">
        <v>1</v>
      </c>
      <c r="FM195" s="30">
        <f>FL195/FL193</f>
        <v>2.7777777777777776E-2</v>
      </c>
      <c r="FN195" s="23">
        <v>0</v>
      </c>
      <c r="FO195" s="30">
        <f>FN195/FN193</f>
        <v>0</v>
      </c>
      <c r="FP195" s="23">
        <v>0</v>
      </c>
      <c r="FQ195" s="30">
        <f>FP195/FP193</f>
        <v>0</v>
      </c>
      <c r="FR195" s="301"/>
      <c r="FS195" s="301"/>
      <c r="FT195" s="301"/>
      <c r="FU195" s="301"/>
      <c r="FV195" s="301"/>
      <c r="FW195" s="301"/>
      <c r="FX195" s="301"/>
      <c r="FY195" s="301"/>
      <c r="FZ195" s="301"/>
      <c r="GA195" s="309"/>
      <c r="GB195" s="309"/>
      <c r="GC195" s="309"/>
      <c r="GD195" s="309"/>
      <c r="GE195" s="309"/>
      <c r="GF195" s="309"/>
      <c r="GG195" s="309"/>
    </row>
    <row r="196" spans="1:189" ht="15" customHeight="1" outlineLevel="1" x14ac:dyDescent="0.3">
      <c r="A196" s="1"/>
      <c r="B196" s="302"/>
      <c r="C196" s="302"/>
      <c r="D196" s="302"/>
      <c r="E196" s="302"/>
      <c r="F196" s="302"/>
      <c r="G196" s="5" t="s">
        <v>154</v>
      </c>
      <c r="H196" s="5"/>
      <c r="I196" s="23"/>
      <c r="J196" s="30"/>
      <c r="K196" s="23"/>
      <c r="L196" s="30"/>
      <c r="M196" s="23"/>
      <c r="N196" s="30"/>
      <c r="O196" s="23"/>
      <c r="P196" s="30"/>
      <c r="Q196" s="23"/>
      <c r="R196" s="30"/>
      <c r="S196" s="23"/>
      <c r="T196" s="30"/>
      <c r="U196" s="23"/>
      <c r="V196" s="30"/>
      <c r="W196" s="23"/>
      <c r="X196" s="30"/>
      <c r="Y196" s="23"/>
      <c r="Z196" s="30"/>
      <c r="AA196" s="23"/>
      <c r="AB196" s="30"/>
      <c r="AC196" s="23"/>
      <c r="AD196" s="30"/>
      <c r="AE196" s="23"/>
      <c r="AF196" s="30"/>
      <c r="AG196" s="23"/>
      <c r="AH196" s="30"/>
      <c r="AI196" s="23"/>
      <c r="AJ196" s="30"/>
      <c r="AK196" s="23"/>
      <c r="AL196" s="30"/>
      <c r="AM196" s="23"/>
      <c r="AN196" s="30"/>
      <c r="AO196" s="23"/>
      <c r="AP196" s="30"/>
      <c r="AQ196" s="23"/>
      <c r="AR196" s="30"/>
      <c r="AS196" s="23"/>
      <c r="AT196" s="30"/>
      <c r="AU196" s="23"/>
      <c r="AV196" s="30"/>
      <c r="AW196" s="23"/>
      <c r="AX196" s="30"/>
      <c r="AY196" s="23"/>
      <c r="AZ196" s="30"/>
      <c r="BA196" s="23"/>
      <c r="BB196" s="30"/>
      <c r="BC196" s="23"/>
      <c r="BD196" s="30"/>
      <c r="BE196" s="23"/>
      <c r="BF196" s="30"/>
      <c r="BG196" s="23"/>
      <c r="BH196" s="30"/>
      <c r="BI196" s="23"/>
      <c r="BJ196" s="30"/>
      <c r="BK196" s="23"/>
      <c r="BL196" s="30"/>
      <c r="BM196" s="23"/>
      <c r="BN196" s="30"/>
      <c r="BO196" s="23"/>
      <c r="BP196" s="30"/>
      <c r="BQ196" s="23"/>
      <c r="BR196" s="30"/>
      <c r="BS196" s="23"/>
      <c r="BT196" s="30"/>
      <c r="BU196" s="23"/>
      <c r="BV196" s="30"/>
      <c r="BW196" s="23"/>
      <c r="BX196" s="30"/>
      <c r="BY196" s="23"/>
      <c r="BZ196" s="30"/>
      <c r="CA196" s="23"/>
      <c r="CB196" s="30"/>
      <c r="CC196" s="23"/>
      <c r="CD196" s="30"/>
      <c r="CE196" s="23"/>
      <c r="CF196" s="30"/>
      <c r="CG196" s="23"/>
      <c r="CH196" s="30"/>
      <c r="CI196" s="23"/>
      <c r="CJ196" s="30"/>
      <c r="CK196" s="23"/>
      <c r="CL196" s="30"/>
      <c r="CM196" s="23"/>
      <c r="CN196" s="30"/>
      <c r="CO196" s="23"/>
      <c r="CP196" s="30"/>
      <c r="CQ196" s="23"/>
      <c r="CR196" s="30"/>
      <c r="CS196" s="23"/>
      <c r="CT196" s="30"/>
      <c r="CU196" s="23"/>
      <c r="CV196" s="30"/>
      <c r="CW196" s="23"/>
      <c r="CX196" s="30"/>
      <c r="CY196" s="23"/>
      <c r="CZ196" s="30"/>
      <c r="DA196" s="23"/>
      <c r="DB196" s="30"/>
      <c r="DC196" s="23"/>
      <c r="DD196" s="30"/>
      <c r="DE196" s="23"/>
      <c r="DF196" s="30"/>
      <c r="DG196" s="23"/>
      <c r="DH196" s="30"/>
      <c r="DI196" s="23"/>
      <c r="DJ196" s="30"/>
      <c r="DK196" s="23">
        <v>15</v>
      </c>
      <c r="DL196" s="30">
        <f>DK196/DK193</f>
        <v>2.4350649350649352E-2</v>
      </c>
      <c r="DM196" s="23">
        <v>7</v>
      </c>
      <c r="DN196" s="30">
        <f>DM196/DM193</f>
        <v>2.2508038585209004E-2</v>
      </c>
      <c r="DO196" s="23">
        <v>3</v>
      </c>
      <c r="DP196" s="30">
        <f>DO196/DO193</f>
        <v>1.107011070110701E-2</v>
      </c>
      <c r="DQ196" s="23">
        <v>2</v>
      </c>
      <c r="DR196" s="30">
        <f>DQ196/DQ193</f>
        <v>1.3157894736842105E-2</v>
      </c>
      <c r="DS196" s="23">
        <v>0</v>
      </c>
      <c r="DT196" s="30">
        <f>DS196/DS193</f>
        <v>0</v>
      </c>
      <c r="DU196" s="302"/>
      <c r="DV196" s="302"/>
      <c r="DW196" s="302"/>
      <c r="DX196" s="302"/>
      <c r="DY196" s="302"/>
      <c r="DZ196" s="302"/>
      <c r="EA196" s="302"/>
      <c r="EB196" s="302"/>
      <c r="EC196" s="302"/>
      <c r="ED196" s="302"/>
      <c r="EE196" s="302"/>
      <c r="EF196" s="302"/>
      <c r="EG196" s="302"/>
      <c r="EH196" s="302"/>
      <c r="EI196" s="302"/>
      <c r="EJ196" s="302"/>
      <c r="EK196" s="302"/>
      <c r="EL196" s="302"/>
      <c r="EM196" s="302"/>
      <c r="EN196" s="23">
        <v>9</v>
      </c>
      <c r="EO196" s="30">
        <f>EN196/EN193</f>
        <v>4.1095890410958902E-2</v>
      </c>
      <c r="EP196" s="23">
        <v>8</v>
      </c>
      <c r="EQ196" s="30">
        <f>EP196/EP193</f>
        <v>3.5714285714285712E-2</v>
      </c>
      <c r="ER196" s="23">
        <v>2</v>
      </c>
      <c r="ES196" s="30">
        <f>ER196/ER193</f>
        <v>8.7336244541484712E-3</v>
      </c>
      <c r="ET196" s="23">
        <v>0</v>
      </c>
      <c r="EU196" s="30">
        <f>ET196/ET193</f>
        <v>0</v>
      </c>
      <c r="EV196" s="23">
        <v>1</v>
      </c>
      <c r="EW196" s="30">
        <f>EV196/EV193</f>
        <v>1.3333333333333334E-2</v>
      </c>
      <c r="EX196" s="23">
        <v>0</v>
      </c>
      <c r="EY196" s="30">
        <f>EX196/EX193</f>
        <v>0</v>
      </c>
      <c r="EZ196" s="23">
        <v>0</v>
      </c>
      <c r="FA196" s="30">
        <f>EZ196/EZ193</f>
        <v>0</v>
      </c>
      <c r="FB196" s="23">
        <v>2</v>
      </c>
      <c r="FC196" s="30">
        <f>FB196/FB193</f>
        <v>3.6363636363636362E-2</v>
      </c>
      <c r="FD196" s="23">
        <v>0</v>
      </c>
      <c r="FE196" s="30">
        <f>FD196/FD193</f>
        <v>0</v>
      </c>
      <c r="FF196" s="23">
        <v>0</v>
      </c>
      <c r="FG196" s="30">
        <f>FF196/FF193</f>
        <v>0</v>
      </c>
      <c r="FH196" s="23">
        <v>1</v>
      </c>
      <c r="FI196" s="30">
        <f>FH196/FH193</f>
        <v>2.6315789473684209E-2</v>
      </c>
      <c r="FJ196" s="23">
        <v>0</v>
      </c>
      <c r="FK196" s="30">
        <f>FJ196/FJ193</f>
        <v>0</v>
      </c>
      <c r="FL196" s="23">
        <v>0</v>
      </c>
      <c r="FM196" s="30">
        <f>FL196/FL193</f>
        <v>0</v>
      </c>
      <c r="FN196" s="23">
        <v>0</v>
      </c>
      <c r="FO196" s="30">
        <f>FN196/FN193</f>
        <v>0</v>
      </c>
      <c r="FP196" s="23">
        <v>0</v>
      </c>
      <c r="FQ196" s="30">
        <f>FP196/FP193</f>
        <v>0</v>
      </c>
      <c r="FR196" s="302"/>
      <c r="FS196" s="302"/>
      <c r="FT196" s="302"/>
      <c r="FU196" s="302"/>
      <c r="FV196" s="302"/>
      <c r="FW196" s="302"/>
      <c r="FX196" s="302"/>
      <c r="FY196" s="302"/>
      <c r="FZ196" s="302"/>
      <c r="GA196" s="310"/>
      <c r="GB196" s="310"/>
      <c r="GC196" s="310"/>
      <c r="GD196" s="310"/>
      <c r="GE196" s="310"/>
      <c r="GF196" s="310"/>
      <c r="GG196" s="310"/>
    </row>
    <row r="197" spans="1:189" ht="15.6" outlineLevel="1" x14ac:dyDescent="0.3">
      <c r="A197" s="1"/>
      <c r="B197" s="95"/>
      <c r="C197" s="2"/>
      <c r="D197" s="2"/>
      <c r="E197" s="2"/>
      <c r="F197" s="2"/>
      <c r="G197" s="3"/>
      <c r="H197" s="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</row>
    <row r="198" spans="1:189" ht="15" hidden="1" customHeight="1" outlineLevel="1" x14ac:dyDescent="0.3">
      <c r="A198" s="63"/>
      <c r="B198" s="458" t="s">
        <v>155</v>
      </c>
      <c r="C198" s="313" t="s">
        <v>156</v>
      </c>
      <c r="D198" s="313" t="s">
        <v>25</v>
      </c>
      <c r="E198" s="313" t="s">
        <v>157</v>
      </c>
      <c r="F198" s="313" t="s">
        <v>27</v>
      </c>
      <c r="G198" s="71" t="s">
        <v>28</v>
      </c>
      <c r="H198" s="5"/>
      <c r="I198" s="283"/>
      <c r="J198" s="281"/>
      <c r="K198" s="283"/>
      <c r="L198" s="281"/>
      <c r="M198" s="283"/>
      <c r="N198" s="281"/>
      <c r="O198" s="283"/>
      <c r="P198" s="281"/>
      <c r="Q198" s="283"/>
      <c r="R198" s="281"/>
      <c r="S198" s="283"/>
      <c r="T198" s="281"/>
      <c r="U198" s="283"/>
      <c r="V198" s="281"/>
      <c r="W198" s="283"/>
      <c r="X198" s="281"/>
      <c r="Y198" s="283"/>
      <c r="Z198" s="281"/>
      <c r="AA198" s="283"/>
      <c r="AB198" s="281"/>
      <c r="AC198" s="283"/>
      <c r="AD198" s="281"/>
      <c r="AE198" s="283"/>
      <c r="AF198" s="281"/>
      <c r="AG198" s="283"/>
      <c r="AH198" s="281"/>
      <c r="AI198" s="283"/>
      <c r="AJ198" s="281"/>
      <c r="AK198" s="283"/>
      <c r="AL198" s="281"/>
      <c r="AM198" s="283"/>
      <c r="AN198" s="281"/>
      <c r="AO198" s="283"/>
      <c r="AP198" s="281"/>
      <c r="AQ198" s="283"/>
      <c r="AR198" s="281"/>
      <c r="AS198" s="283"/>
      <c r="AT198" s="281"/>
      <c r="AU198" s="283"/>
      <c r="AV198" s="281"/>
      <c r="AW198" s="283"/>
      <c r="AX198" s="281"/>
      <c r="AY198" s="283"/>
      <c r="AZ198" s="281"/>
      <c r="BA198" s="283"/>
      <c r="BB198" s="281"/>
      <c r="BC198" s="283"/>
      <c r="BD198" s="281"/>
      <c r="BE198" s="283"/>
      <c r="BF198" s="281"/>
      <c r="BG198" s="283"/>
      <c r="BH198" s="281"/>
      <c r="BI198" s="283"/>
      <c r="BJ198" s="281"/>
      <c r="BK198" s="283"/>
      <c r="BL198" s="281"/>
      <c r="BM198" s="283"/>
      <c r="BN198" s="281"/>
      <c r="BO198" s="283"/>
      <c r="BP198" s="281"/>
      <c r="BQ198" s="283"/>
      <c r="BR198" s="281"/>
      <c r="BS198" s="283"/>
      <c r="BT198" s="281"/>
      <c r="BU198" s="283"/>
      <c r="BV198" s="281"/>
      <c r="BW198" s="283"/>
      <c r="BX198" s="281"/>
      <c r="BY198" s="283"/>
      <c r="BZ198" s="281"/>
      <c r="CA198" s="283"/>
      <c r="CB198" s="281"/>
      <c r="CC198" s="283"/>
      <c r="CD198" s="281"/>
      <c r="CE198" s="283"/>
      <c r="CF198" s="281"/>
      <c r="CG198" s="283"/>
      <c r="CH198" s="281"/>
      <c r="CI198" s="283"/>
      <c r="CJ198" s="281"/>
      <c r="CK198" s="283"/>
      <c r="CL198" s="281"/>
      <c r="CM198" s="283"/>
      <c r="CN198" s="281"/>
      <c r="CO198" s="283"/>
      <c r="CP198" s="281"/>
      <c r="CQ198" s="283"/>
      <c r="CR198" s="281"/>
      <c r="CS198" s="283"/>
      <c r="CT198" s="281"/>
      <c r="CU198" s="283"/>
      <c r="CV198" s="281"/>
      <c r="CW198" s="283"/>
      <c r="CX198" s="281"/>
      <c r="CY198" s="283"/>
      <c r="CZ198" s="281"/>
      <c r="DA198" s="283"/>
      <c r="DB198" s="281"/>
      <c r="DC198" s="283"/>
      <c r="DD198" s="281"/>
      <c r="DE198" s="283"/>
      <c r="DF198" s="281"/>
      <c r="DG198" s="283"/>
      <c r="DH198" s="281"/>
      <c r="DI198" s="283"/>
      <c r="DJ198" s="281"/>
      <c r="DK198" s="283"/>
      <c r="DL198" s="281"/>
      <c r="DM198" s="283"/>
      <c r="DN198" s="281"/>
      <c r="DO198" s="283"/>
      <c r="DP198" s="281"/>
      <c r="DQ198" s="283"/>
      <c r="DR198" s="281"/>
      <c r="DS198" s="283"/>
      <c r="DT198" s="281"/>
      <c r="DU198" s="313"/>
      <c r="DV198" s="313"/>
      <c r="DW198" s="313"/>
      <c r="DX198" s="313"/>
      <c r="DY198" s="313"/>
      <c r="DZ198" s="313"/>
      <c r="EA198" s="313"/>
      <c r="EB198" s="313"/>
      <c r="EC198" s="313"/>
      <c r="ED198" s="313"/>
      <c r="EE198" s="313"/>
      <c r="EF198" s="313"/>
      <c r="EG198" s="313"/>
      <c r="EH198" s="313"/>
      <c r="EI198" s="313"/>
      <c r="EJ198" s="313"/>
      <c r="EK198" s="313"/>
      <c r="EL198" s="313"/>
      <c r="EM198" s="313"/>
      <c r="EN198" s="283"/>
      <c r="EO198" s="281"/>
      <c r="EP198" s="283"/>
      <c r="EQ198" s="281"/>
      <c r="ER198" s="283"/>
      <c r="ES198" s="281"/>
      <c r="ET198" s="283"/>
      <c r="EU198" s="281"/>
      <c r="EV198" s="283"/>
      <c r="EW198" s="281"/>
      <c r="EX198" s="283"/>
      <c r="EY198" s="281"/>
      <c r="EZ198" s="283"/>
      <c r="FA198" s="281"/>
      <c r="FB198" s="283"/>
      <c r="FC198" s="281"/>
      <c r="FD198" s="283"/>
      <c r="FE198" s="281"/>
      <c r="FF198" s="283"/>
      <c r="FG198" s="281"/>
      <c r="FH198" s="283"/>
      <c r="FI198" s="281"/>
      <c r="FJ198" s="283"/>
      <c r="FK198" s="281"/>
      <c r="FL198" s="283"/>
      <c r="FM198" s="281"/>
      <c r="FN198" s="283"/>
      <c r="FO198" s="281"/>
      <c r="FP198" s="283"/>
      <c r="FQ198" s="281"/>
      <c r="FR198" s="313"/>
      <c r="FS198" s="313"/>
      <c r="FT198" s="313"/>
      <c r="FU198" s="313"/>
      <c r="FV198" s="313"/>
      <c r="FW198" s="313"/>
      <c r="FX198" s="313"/>
      <c r="FY198" s="313"/>
      <c r="FZ198" s="313"/>
      <c r="GA198" s="313"/>
      <c r="GB198" s="313"/>
      <c r="GC198" s="313"/>
      <c r="GD198" s="313"/>
      <c r="GE198" s="313"/>
      <c r="GF198" s="313"/>
      <c r="GG198" s="313"/>
    </row>
    <row r="199" spans="1:189" ht="4.5" hidden="1" customHeight="1" outlineLevel="1" x14ac:dyDescent="0.3">
      <c r="A199" s="1"/>
      <c r="B199" s="301"/>
      <c r="C199" s="301"/>
      <c r="D199" s="301"/>
      <c r="E199" s="301"/>
      <c r="F199" s="301"/>
      <c r="G199" s="5"/>
      <c r="H199" s="5"/>
      <c r="I199" s="284"/>
      <c r="J199" s="281"/>
      <c r="K199" s="280"/>
      <c r="L199" s="281"/>
      <c r="M199" s="280"/>
      <c r="N199" s="281"/>
      <c r="O199" s="280"/>
      <c r="P199" s="281"/>
      <c r="Q199" s="280"/>
      <c r="R199" s="281"/>
      <c r="S199" s="280"/>
      <c r="T199" s="281"/>
      <c r="U199" s="284"/>
      <c r="V199" s="281"/>
      <c r="W199" s="284"/>
      <c r="X199" s="281"/>
      <c r="Y199" s="284"/>
      <c r="Z199" s="281"/>
      <c r="AA199" s="284"/>
      <c r="AB199" s="281"/>
      <c r="AC199" s="284"/>
      <c r="AD199" s="281"/>
      <c r="AE199" s="284"/>
      <c r="AF199" s="281"/>
      <c r="AG199" s="284"/>
      <c r="AH199" s="281"/>
      <c r="AI199" s="284"/>
      <c r="AJ199" s="281"/>
      <c r="AK199" s="284"/>
      <c r="AL199" s="281"/>
      <c r="AM199" s="284"/>
      <c r="AN199" s="281"/>
      <c r="AO199" s="284"/>
      <c r="AP199" s="281"/>
      <c r="AQ199" s="284"/>
      <c r="AR199" s="281"/>
      <c r="AS199" s="284"/>
      <c r="AT199" s="281"/>
      <c r="AU199" s="284"/>
      <c r="AV199" s="281"/>
      <c r="AW199" s="284"/>
      <c r="AX199" s="281"/>
      <c r="AY199" s="284"/>
      <c r="AZ199" s="281"/>
      <c r="BA199" s="284"/>
      <c r="BB199" s="281"/>
      <c r="BC199" s="284"/>
      <c r="BD199" s="281"/>
      <c r="BE199" s="284"/>
      <c r="BF199" s="281"/>
      <c r="BG199" s="284"/>
      <c r="BH199" s="281"/>
      <c r="BI199" s="284"/>
      <c r="BJ199" s="281"/>
      <c r="BK199" s="284"/>
      <c r="BL199" s="281"/>
      <c r="BM199" s="284"/>
      <c r="BN199" s="281"/>
      <c r="BO199" s="284"/>
      <c r="BP199" s="281"/>
      <c r="BQ199" s="284"/>
      <c r="BR199" s="281"/>
      <c r="BS199" s="284"/>
      <c r="BT199" s="281"/>
      <c r="BU199" s="284"/>
      <c r="BV199" s="281"/>
      <c r="BW199" s="284"/>
      <c r="BX199" s="281"/>
      <c r="BY199" s="284"/>
      <c r="BZ199" s="281"/>
      <c r="CA199" s="284"/>
      <c r="CB199" s="281"/>
      <c r="CC199" s="284"/>
      <c r="CD199" s="281"/>
      <c r="CE199" s="284"/>
      <c r="CF199" s="281"/>
      <c r="CG199" s="284"/>
      <c r="CH199" s="281"/>
      <c r="CI199" s="284"/>
      <c r="CJ199" s="281"/>
      <c r="CK199" s="284"/>
      <c r="CL199" s="281"/>
      <c r="CM199" s="284"/>
      <c r="CN199" s="281"/>
      <c r="CO199" s="284"/>
      <c r="CP199" s="281"/>
      <c r="CQ199" s="284"/>
      <c r="CR199" s="281"/>
      <c r="CS199" s="284"/>
      <c r="CT199" s="281"/>
      <c r="CU199" s="284"/>
      <c r="CV199" s="281"/>
      <c r="CW199" s="284"/>
      <c r="CX199" s="281"/>
      <c r="CY199" s="284"/>
      <c r="CZ199" s="281"/>
      <c r="DA199" s="284"/>
      <c r="DB199" s="281"/>
      <c r="DC199" s="284"/>
      <c r="DD199" s="281"/>
      <c r="DE199" s="284"/>
      <c r="DF199" s="281"/>
      <c r="DG199" s="284"/>
      <c r="DH199" s="281"/>
      <c r="DI199" s="284"/>
      <c r="DJ199" s="281"/>
      <c r="DK199" s="284"/>
      <c r="DL199" s="281"/>
      <c r="DM199" s="284"/>
      <c r="DN199" s="281"/>
      <c r="DO199" s="284"/>
      <c r="DP199" s="281"/>
      <c r="DQ199" s="284"/>
      <c r="DR199" s="281"/>
      <c r="DS199" s="284"/>
      <c r="DT199" s="281"/>
      <c r="DU199" s="301"/>
      <c r="DV199" s="301"/>
      <c r="DW199" s="301"/>
      <c r="DX199" s="301"/>
      <c r="DY199" s="301"/>
      <c r="DZ199" s="301"/>
      <c r="EA199" s="301"/>
      <c r="EB199" s="301"/>
      <c r="EC199" s="301"/>
      <c r="ED199" s="301"/>
      <c r="EE199" s="301"/>
      <c r="EF199" s="301"/>
      <c r="EG199" s="301"/>
      <c r="EH199" s="301"/>
      <c r="EI199" s="301"/>
      <c r="EJ199" s="301"/>
      <c r="EK199" s="301"/>
      <c r="EL199" s="301"/>
      <c r="EM199" s="301"/>
      <c r="EN199" s="284"/>
      <c r="EO199" s="281"/>
      <c r="EP199" s="284"/>
      <c r="EQ199" s="281"/>
      <c r="ER199" s="284"/>
      <c r="ES199" s="281"/>
      <c r="ET199" s="284"/>
      <c r="EU199" s="281"/>
      <c r="EV199" s="284"/>
      <c r="EW199" s="281"/>
      <c r="EX199" s="284"/>
      <c r="EY199" s="281"/>
      <c r="EZ199" s="284"/>
      <c r="FA199" s="281"/>
      <c r="FB199" s="284"/>
      <c r="FC199" s="281"/>
      <c r="FD199" s="284"/>
      <c r="FE199" s="281"/>
      <c r="FF199" s="284"/>
      <c r="FG199" s="281"/>
      <c r="FH199" s="284"/>
      <c r="FI199" s="281"/>
      <c r="FJ199" s="284"/>
      <c r="FK199" s="281"/>
      <c r="FL199" s="284"/>
      <c r="FM199" s="281"/>
      <c r="FN199" s="284"/>
      <c r="FO199" s="281"/>
      <c r="FP199" s="284"/>
      <c r="FQ199" s="281"/>
      <c r="FR199" s="301"/>
      <c r="FS199" s="301"/>
      <c r="FT199" s="301"/>
      <c r="FU199" s="301"/>
      <c r="FV199" s="301"/>
      <c r="FW199" s="301"/>
      <c r="FX199" s="301"/>
      <c r="FY199" s="301"/>
      <c r="FZ199" s="301"/>
      <c r="GA199" s="301"/>
      <c r="GB199" s="301"/>
      <c r="GC199" s="301"/>
      <c r="GD199" s="301"/>
      <c r="GE199" s="301"/>
      <c r="GF199" s="301"/>
      <c r="GG199" s="301"/>
    </row>
    <row r="200" spans="1:189" ht="15" hidden="1" customHeight="1" outlineLevel="1" x14ac:dyDescent="0.3">
      <c r="A200" s="1"/>
      <c r="B200" s="301"/>
      <c r="C200" s="301"/>
      <c r="D200" s="301"/>
      <c r="E200" s="301"/>
      <c r="F200" s="301"/>
      <c r="G200" s="5" t="s">
        <v>30</v>
      </c>
      <c r="H200" s="5"/>
      <c r="I200" s="283">
        <f>I201/I2</f>
        <v>4.6270564188613E-2</v>
      </c>
      <c r="J200" s="281"/>
      <c r="K200" s="283">
        <f>K204/K2</f>
        <v>1.7001274859469388E-2</v>
      </c>
      <c r="L200" s="281"/>
      <c r="M200" s="283">
        <f>M204/M2</f>
        <v>1.3905673690821598E-2</v>
      </c>
      <c r="N200" s="281"/>
      <c r="O200" s="283">
        <f>O204/O2</f>
        <v>5.774202127924722E-3</v>
      </c>
      <c r="P200" s="281"/>
      <c r="Q200" s="283">
        <f>Q201/Q2</f>
        <v>5.5697756189763657E-3</v>
      </c>
      <c r="R200" s="281"/>
      <c r="S200" s="283">
        <f>S201/S2</f>
        <v>6.6540928272692196E-3</v>
      </c>
      <c r="T200" s="281"/>
      <c r="U200" s="283">
        <f>U201/U2</f>
        <v>1.7972138676989125E-3</v>
      </c>
      <c r="V200" s="281"/>
      <c r="W200" s="283">
        <f>W201/W2</f>
        <v>1.9074888634787414E-3</v>
      </c>
      <c r="X200" s="281"/>
      <c r="Y200" s="283">
        <f>Y201/Y2</f>
        <v>2.1235056443668523E-4</v>
      </c>
      <c r="Z200" s="281"/>
      <c r="AA200" s="283">
        <f>AA201/AA2</f>
        <v>5.9068051084209617E-4</v>
      </c>
      <c r="AB200" s="281"/>
      <c r="AC200" s="283">
        <f>AC201/AC2</f>
        <v>1.2891267740263385E-3</v>
      </c>
      <c r="AD200" s="281"/>
      <c r="AE200" s="283">
        <f>AE201/AE2</f>
        <v>2.6275045700834975E-3</v>
      </c>
      <c r="AF200" s="281"/>
      <c r="AG200" s="283">
        <f>AG201/AG2</f>
        <v>2.4645042421318369E-3</v>
      </c>
      <c r="AH200" s="281"/>
      <c r="AI200" s="283">
        <f>AI201/AI2</f>
        <v>2.1057634006849874E-3</v>
      </c>
      <c r="AJ200" s="281"/>
      <c r="AK200" s="283">
        <f>AK201/AK2</f>
        <v>1.3853331849213416E-3</v>
      </c>
      <c r="AL200" s="281"/>
      <c r="AM200" s="283">
        <f>AM201/AM2</f>
        <v>3.3403417418462628E-4</v>
      </c>
      <c r="AN200" s="281"/>
      <c r="AO200" s="283">
        <f>AO201/AO2</f>
        <v>8.9539176678427067E-4</v>
      </c>
      <c r="AP200" s="281"/>
      <c r="AQ200" s="283">
        <f>AQ201/AQ2</f>
        <v>8.1310362393187321E-4</v>
      </c>
      <c r="AR200" s="281"/>
      <c r="AS200" s="283">
        <f>AS201/AS2</f>
        <v>5.3004044684223873E-4</v>
      </c>
      <c r="AT200" s="281"/>
      <c r="AU200" s="283">
        <f>AU201/AU2</f>
        <v>0</v>
      </c>
      <c r="AV200" s="281"/>
      <c r="AW200" s="283">
        <f>AW201/AW2</f>
        <v>0</v>
      </c>
      <c r="AX200" s="281"/>
      <c r="AY200" s="283">
        <f>AY201/AY2</f>
        <v>0</v>
      </c>
      <c r="AZ200" s="281"/>
      <c r="BA200" s="283">
        <f>BA201/BA2</f>
        <v>0</v>
      </c>
      <c r="BB200" s="281"/>
      <c r="BC200" s="283">
        <f>BC201/BC2</f>
        <v>0</v>
      </c>
      <c r="BD200" s="281"/>
      <c r="BE200" s="283">
        <f>BE201/BE2</f>
        <v>0</v>
      </c>
      <c r="BF200" s="281"/>
      <c r="BG200" s="283">
        <f>BG201/BG2</f>
        <v>0</v>
      </c>
      <c r="BH200" s="281"/>
      <c r="BI200" s="283">
        <f>BI201/BI2</f>
        <v>0</v>
      </c>
      <c r="BJ200" s="281"/>
      <c r="BK200" s="283">
        <f>BK201/BK2</f>
        <v>0</v>
      </c>
      <c r="BL200" s="281"/>
      <c r="BM200" s="283">
        <f>BM201/BM2</f>
        <v>0</v>
      </c>
      <c r="BN200" s="281"/>
      <c r="BO200" s="283">
        <f>BO201/BO2</f>
        <v>0</v>
      </c>
      <c r="BP200" s="281"/>
      <c r="BQ200" s="283">
        <f>BQ201/BQ2</f>
        <v>0</v>
      </c>
      <c r="BR200" s="281"/>
      <c r="BS200" s="283">
        <f>BS201/BS2</f>
        <v>0</v>
      </c>
      <c r="BT200" s="281"/>
      <c r="BU200" s="283">
        <f>BU201/BU2</f>
        <v>0</v>
      </c>
      <c r="BV200" s="281"/>
      <c r="BW200" s="283">
        <f>BW201/BW2</f>
        <v>0</v>
      </c>
      <c r="BX200" s="281"/>
      <c r="BY200" s="283">
        <f>BY201/BY2</f>
        <v>0</v>
      </c>
      <c r="BZ200" s="281"/>
      <c r="CA200" s="283">
        <f>CA201/CA2</f>
        <v>0</v>
      </c>
      <c r="CB200" s="281"/>
      <c r="CC200" s="283">
        <f>CC201/CC2</f>
        <v>0</v>
      </c>
      <c r="CD200" s="281"/>
      <c r="CE200" s="283">
        <f>CE201/CE2</f>
        <v>0</v>
      </c>
      <c r="CF200" s="281"/>
      <c r="CG200" s="283">
        <f>CG201/CG2</f>
        <v>0</v>
      </c>
      <c r="CH200" s="281"/>
      <c r="CI200" s="283">
        <f>CI201/CI2</f>
        <v>0</v>
      </c>
      <c r="CJ200" s="281"/>
      <c r="CK200" s="283">
        <f>CK201/CK2</f>
        <v>0</v>
      </c>
      <c r="CL200" s="281"/>
      <c r="CM200" s="283">
        <f>CM201/CM2</f>
        <v>0</v>
      </c>
      <c r="CN200" s="281"/>
      <c r="CO200" s="283">
        <f>CO201/CO2</f>
        <v>0</v>
      </c>
      <c r="CP200" s="281"/>
      <c r="CQ200" s="283">
        <f>CQ201/CQ2</f>
        <v>0</v>
      </c>
      <c r="CR200" s="281"/>
      <c r="CS200" s="283">
        <f>CS201/CS2</f>
        <v>0</v>
      </c>
      <c r="CT200" s="281"/>
      <c r="CU200" s="283">
        <f>CU201/CU2</f>
        <v>0</v>
      </c>
      <c r="CV200" s="281"/>
      <c r="CW200" s="283">
        <f>CW201/CW2</f>
        <v>0</v>
      </c>
      <c r="CX200" s="281"/>
      <c r="CY200" s="283">
        <f>CY201/CY2</f>
        <v>0</v>
      </c>
      <c r="CZ200" s="281"/>
      <c r="DA200" s="283">
        <f>DA201/DA2</f>
        <v>0</v>
      </c>
      <c r="DB200" s="281"/>
      <c r="DC200" s="283">
        <f>DC201/DC2</f>
        <v>0</v>
      </c>
      <c r="DD200" s="281"/>
      <c r="DE200" s="283">
        <f>DE201/DE2</f>
        <v>0</v>
      </c>
      <c r="DF200" s="281"/>
      <c r="DG200" s="283">
        <f>DG201/DG2</f>
        <v>0</v>
      </c>
      <c r="DH200" s="281"/>
      <c r="DI200" s="283">
        <f>DI201/DI2</f>
        <v>0</v>
      </c>
      <c r="DJ200" s="281"/>
      <c r="DK200" s="283">
        <f>DK201/DK2</f>
        <v>0</v>
      </c>
      <c r="DL200" s="281"/>
      <c r="DM200" s="283">
        <f>DM201/DM2</f>
        <v>0</v>
      </c>
      <c r="DN200" s="281"/>
      <c r="DO200" s="283">
        <f>DO201/DO2</f>
        <v>0</v>
      </c>
      <c r="DP200" s="281"/>
      <c r="DQ200" s="283">
        <f>DQ201/DQ2</f>
        <v>0</v>
      </c>
      <c r="DR200" s="281"/>
      <c r="DS200" s="283">
        <f>DS201/DS2</f>
        <v>0</v>
      </c>
      <c r="DT200" s="281"/>
      <c r="DU200" s="301"/>
      <c r="DV200" s="301"/>
      <c r="DW200" s="301"/>
      <c r="DX200" s="301"/>
      <c r="DY200" s="301"/>
      <c r="DZ200" s="301"/>
      <c r="EA200" s="301"/>
      <c r="EB200" s="301"/>
      <c r="EC200" s="301"/>
      <c r="ED200" s="301"/>
      <c r="EE200" s="301"/>
      <c r="EF200" s="301"/>
      <c r="EG200" s="301"/>
      <c r="EH200" s="301"/>
      <c r="EI200" s="301"/>
      <c r="EJ200" s="301"/>
      <c r="EK200" s="301"/>
      <c r="EL200" s="301"/>
      <c r="EM200" s="301"/>
      <c r="EN200" s="283">
        <f>EN201/EN2</f>
        <v>0</v>
      </c>
      <c r="EO200" s="281"/>
      <c r="EP200" s="283">
        <f>EP201/EP2</f>
        <v>0</v>
      </c>
      <c r="EQ200" s="281"/>
      <c r="ER200" s="283">
        <f>ER201/ER2</f>
        <v>0</v>
      </c>
      <c r="ES200" s="281"/>
      <c r="ET200" s="283">
        <f>ET201/ET2</f>
        <v>0</v>
      </c>
      <c r="EU200" s="281"/>
      <c r="EV200" s="283">
        <f>EV201/EV2</f>
        <v>0</v>
      </c>
      <c r="EW200" s="281"/>
      <c r="EX200" s="283">
        <f>EX201/EX2</f>
        <v>0</v>
      </c>
      <c r="EY200" s="281"/>
      <c r="EZ200" s="283">
        <f>EZ201/EZ2</f>
        <v>0</v>
      </c>
      <c r="FA200" s="281"/>
      <c r="FB200" s="283">
        <f>FB201/FB2</f>
        <v>0</v>
      </c>
      <c r="FC200" s="281"/>
      <c r="FD200" s="283">
        <f>FD201/FD2</f>
        <v>0</v>
      </c>
      <c r="FE200" s="281"/>
      <c r="FF200" s="283">
        <f>FF201/FF2</f>
        <v>0</v>
      </c>
      <c r="FG200" s="281"/>
      <c r="FH200" s="283">
        <f>FH201/FH2</f>
        <v>0</v>
      </c>
      <c r="FI200" s="281"/>
      <c r="FJ200" s="283">
        <f>FJ201/FJ2</f>
        <v>0</v>
      </c>
      <c r="FK200" s="281"/>
      <c r="FL200" s="283">
        <f>FL201/FL2</f>
        <v>0</v>
      </c>
      <c r="FM200" s="281"/>
      <c r="FN200" s="283">
        <f>FN201/FN2</f>
        <v>0</v>
      </c>
      <c r="FO200" s="281"/>
      <c r="FP200" s="283">
        <f>FP201/FP2</f>
        <v>0</v>
      </c>
      <c r="FQ200" s="281"/>
      <c r="FR200" s="301"/>
      <c r="FS200" s="301"/>
      <c r="FT200" s="301"/>
      <c r="FU200" s="301"/>
      <c r="FV200" s="301"/>
      <c r="FW200" s="301"/>
      <c r="FX200" s="301"/>
      <c r="FY200" s="301"/>
      <c r="FZ200" s="301"/>
      <c r="GA200" s="301"/>
      <c r="GB200" s="301"/>
      <c r="GC200" s="301"/>
      <c r="GD200" s="301"/>
      <c r="GE200" s="301"/>
      <c r="GF200" s="301"/>
      <c r="GG200" s="301"/>
    </row>
    <row r="201" spans="1:189" ht="15" hidden="1" customHeight="1" outlineLevel="1" x14ac:dyDescent="0.3">
      <c r="A201" s="1"/>
      <c r="B201" s="301"/>
      <c r="C201" s="301"/>
      <c r="D201" s="301"/>
      <c r="E201" s="301"/>
      <c r="F201" s="301"/>
      <c r="G201" s="5" t="s">
        <v>158</v>
      </c>
      <c r="H201" s="5"/>
      <c r="I201" s="22">
        <f>I204</f>
        <v>12200117.67</v>
      </c>
      <c r="J201" s="23">
        <f>J204-SUM(J202:J203)</f>
        <v>957</v>
      </c>
      <c r="K201" s="65"/>
      <c r="L201" s="65"/>
      <c r="M201" s="65"/>
      <c r="N201" s="65"/>
      <c r="O201" s="65"/>
      <c r="P201" s="65"/>
      <c r="Q201" s="22">
        <f t="shared" ref="Q201:Q204" si="411">R201*$Q$5</f>
        <v>104880</v>
      </c>
      <c r="R201" s="23">
        <f>R204-SUM(R202:R203)</f>
        <v>95</v>
      </c>
      <c r="S201" s="22">
        <f t="shared" ref="S201:S204" si="412">T201*$Q$5</f>
        <v>131376</v>
      </c>
      <c r="T201" s="23">
        <f>T204-SUM(T202:T203)</f>
        <v>119</v>
      </c>
      <c r="U201" s="22">
        <f t="shared" ref="U201:U204" si="413">V201*$Q$5</f>
        <v>43056</v>
      </c>
      <c r="V201" s="23">
        <f>V204-SUM(V202:V203)</f>
        <v>39</v>
      </c>
      <c r="W201" s="22">
        <f t="shared" ref="W201:W204" si="414">X201*$Q$5</f>
        <v>44160</v>
      </c>
      <c r="X201" s="23">
        <f>X204-SUM(X202:X203)</f>
        <v>40</v>
      </c>
      <c r="Y201" s="22">
        <v>5314.89</v>
      </c>
      <c r="Z201" s="23">
        <f>Z204-SUM(Z202:Z203)</f>
        <v>6</v>
      </c>
      <c r="AA201" s="22">
        <f>AA204</f>
        <v>15846</v>
      </c>
      <c r="AB201" s="23">
        <f>AB204-SUM(AB202:AB203)</f>
        <v>19</v>
      </c>
      <c r="AC201" s="22">
        <f>AC204</f>
        <v>32184</v>
      </c>
      <c r="AD201" s="23">
        <f>AD204-SUM(AD202:AD203)</f>
        <v>36</v>
      </c>
      <c r="AE201" s="22">
        <f>AE204</f>
        <v>76110</v>
      </c>
      <c r="AF201" s="23">
        <f>AF204-SUM(AF202:AF203)</f>
        <v>86</v>
      </c>
      <c r="AG201" s="22">
        <f>AG204</f>
        <v>48384</v>
      </c>
      <c r="AH201" s="23">
        <f>AH204-SUM(AH202:AH203)</f>
        <v>44</v>
      </c>
      <c r="AI201" s="22">
        <f>AI204</f>
        <v>42148</v>
      </c>
      <c r="AJ201" s="23">
        <f>AJ204-SUM(AJ202:AJ203)</f>
        <v>32</v>
      </c>
      <c r="AK201" s="22">
        <f>AK204</f>
        <v>26883</v>
      </c>
      <c r="AL201" s="23">
        <f>AL204-SUM(AL202:AL203)</f>
        <v>21</v>
      </c>
      <c r="AM201" s="22">
        <f>AM204</f>
        <v>5718</v>
      </c>
      <c r="AN201" s="23">
        <f>AN204-SUM(AN202:AN203)</f>
        <v>6</v>
      </c>
      <c r="AO201" s="22">
        <f>AO204</f>
        <v>16200</v>
      </c>
      <c r="AP201" s="23">
        <f>AP204-SUM(AP202:AP203)</f>
        <v>15</v>
      </c>
      <c r="AQ201" s="22">
        <f>AQ204</f>
        <v>14835</v>
      </c>
      <c r="AR201" s="23">
        <f>AR204-SUM(AR202:AR203)</f>
        <v>10</v>
      </c>
      <c r="AS201" s="22">
        <f>AS204</f>
        <v>8648</v>
      </c>
      <c r="AT201" s="23">
        <f>AT204-SUM(AT202:AT203)</f>
        <v>4</v>
      </c>
      <c r="AU201" s="22">
        <f>AU204</f>
        <v>0</v>
      </c>
      <c r="AV201" s="23">
        <f>AV204-SUM(AV202:AV203)</f>
        <v>0</v>
      </c>
      <c r="AW201" s="22">
        <f>AW204</f>
        <v>0</v>
      </c>
      <c r="AX201" s="23">
        <f>AX204-SUM(AX202:AX203)</f>
        <v>0</v>
      </c>
      <c r="AY201" s="22">
        <f>AY204</f>
        <v>0</v>
      </c>
      <c r="AZ201" s="23">
        <f>AZ204-SUM(AZ202:AZ203)</f>
        <v>0</v>
      </c>
      <c r="BA201" s="22">
        <f>BA204</f>
        <v>0</v>
      </c>
      <c r="BB201" s="23">
        <f>BB204-SUM(BB202:BB203)</f>
        <v>0</v>
      </c>
      <c r="BC201" s="22">
        <f>BC204</f>
        <v>0</v>
      </c>
      <c r="BD201" s="23">
        <f>BD204-SUM(BD202:BD203)</f>
        <v>0</v>
      </c>
      <c r="BE201" s="22">
        <f>BE204</f>
        <v>0</v>
      </c>
      <c r="BF201" s="23">
        <f>BF204-SUM(BF202:BF203)</f>
        <v>0</v>
      </c>
      <c r="BG201" s="22">
        <f>BG204</f>
        <v>0</v>
      </c>
      <c r="BH201" s="23">
        <f>BH204-SUM(BH202:BH203)</f>
        <v>0</v>
      </c>
      <c r="BI201" s="22">
        <f>BI204</f>
        <v>0</v>
      </c>
      <c r="BJ201" s="23">
        <f>BJ204-SUM(BJ202:BJ203)</f>
        <v>0</v>
      </c>
      <c r="BK201" s="22">
        <f>BK204</f>
        <v>0</v>
      </c>
      <c r="BL201" s="23">
        <f>BL204-SUM(BL202:BL203)</f>
        <v>0</v>
      </c>
      <c r="BM201" s="22">
        <f>BM204</f>
        <v>0</v>
      </c>
      <c r="BN201" s="23">
        <f>BN204-SUM(BN202:BN203)</f>
        <v>0</v>
      </c>
      <c r="BO201" s="22">
        <f>BO204</f>
        <v>0</v>
      </c>
      <c r="BP201" s="23">
        <f>BP204-SUM(BP202:BP203)</f>
        <v>0</v>
      </c>
      <c r="BQ201" s="22">
        <f>BQ204</f>
        <v>0</v>
      </c>
      <c r="BR201" s="23">
        <f>BR204-SUM(BR202:BR203)</f>
        <v>0</v>
      </c>
      <c r="BS201" s="22">
        <f>BS204</f>
        <v>0</v>
      </c>
      <c r="BT201" s="23">
        <f>BT204-SUM(BT202:BT203)</f>
        <v>0</v>
      </c>
      <c r="BU201" s="22">
        <f>BU204</f>
        <v>0</v>
      </c>
      <c r="BV201" s="23">
        <f>BV204-SUM(BV202:BV203)</f>
        <v>0</v>
      </c>
      <c r="BW201" s="22">
        <f>BW204</f>
        <v>0</v>
      </c>
      <c r="BX201" s="23">
        <f>BX204-SUM(BX202:BX203)</f>
        <v>0</v>
      </c>
      <c r="BY201" s="22">
        <f>BY204</f>
        <v>0</v>
      </c>
      <c r="BZ201" s="23">
        <f>BZ204-SUM(BZ202:BZ203)</f>
        <v>0</v>
      </c>
      <c r="CA201" s="22">
        <f>CA204</f>
        <v>0</v>
      </c>
      <c r="CB201" s="23">
        <f>CB204-SUM(CB202:CB203)</f>
        <v>0</v>
      </c>
      <c r="CC201" s="22">
        <f>CC204</f>
        <v>0</v>
      </c>
      <c r="CD201" s="23">
        <f>CD204-SUM(CD202:CD203)</f>
        <v>0</v>
      </c>
      <c r="CE201" s="22">
        <f>CE204</f>
        <v>0</v>
      </c>
      <c r="CF201" s="23">
        <f>CF204-SUM(CF202:CF203)</f>
        <v>0</v>
      </c>
      <c r="CG201" s="22">
        <f>CG204</f>
        <v>0</v>
      </c>
      <c r="CH201" s="23">
        <f>CH204-SUM(CH202:CH203)</f>
        <v>0</v>
      </c>
      <c r="CI201" s="22">
        <f>CI204</f>
        <v>0</v>
      </c>
      <c r="CJ201" s="23">
        <f>CJ204-SUM(CJ202:CJ203)</f>
        <v>0</v>
      </c>
      <c r="CK201" s="22">
        <f>CK204</f>
        <v>0</v>
      </c>
      <c r="CL201" s="23">
        <f>CL204-SUM(CL202:CL203)</f>
        <v>0</v>
      </c>
      <c r="CM201" s="22">
        <f>CM204</f>
        <v>0</v>
      </c>
      <c r="CN201" s="23">
        <f>CN204-SUM(CN202:CN203)</f>
        <v>0</v>
      </c>
      <c r="CO201" s="22">
        <f>CO204</f>
        <v>0</v>
      </c>
      <c r="CP201" s="23">
        <f>CP204-SUM(CP202:CP203)</f>
        <v>0</v>
      </c>
      <c r="CQ201" s="22">
        <f>CQ204</f>
        <v>0</v>
      </c>
      <c r="CR201" s="23">
        <f>CR204-SUM(CR202:CR203)</f>
        <v>0</v>
      </c>
      <c r="CS201" s="22">
        <f>CS204</f>
        <v>0</v>
      </c>
      <c r="CT201" s="23">
        <f>CT204-SUM(CT202:CT203)</f>
        <v>0</v>
      </c>
      <c r="CU201" s="22">
        <f>CU204</f>
        <v>0</v>
      </c>
      <c r="CV201" s="23">
        <f>CV204-SUM(CV202:CV203)</f>
        <v>0</v>
      </c>
      <c r="CW201" s="22">
        <f>CW204</f>
        <v>0</v>
      </c>
      <c r="CX201" s="23">
        <f>CX204-SUM(CX202:CX203)</f>
        <v>0</v>
      </c>
      <c r="CY201" s="22">
        <f>CY204</f>
        <v>0</v>
      </c>
      <c r="CZ201" s="23">
        <f>CZ204-SUM(CZ202:CZ203)</f>
        <v>0</v>
      </c>
      <c r="DA201" s="22">
        <f>DA204</f>
        <v>0</v>
      </c>
      <c r="DB201" s="23">
        <f>DB204-SUM(DB202:DB203)</f>
        <v>0</v>
      </c>
      <c r="DC201" s="22">
        <f>DC204</f>
        <v>0</v>
      </c>
      <c r="DD201" s="23">
        <f>DD204-SUM(DD202:DD203)</f>
        <v>0</v>
      </c>
      <c r="DE201" s="22">
        <f>DE204</f>
        <v>0</v>
      </c>
      <c r="DF201" s="23">
        <f>DF204-SUM(DF202:DF203)</f>
        <v>0</v>
      </c>
      <c r="DG201" s="22">
        <f>DG204</f>
        <v>0</v>
      </c>
      <c r="DH201" s="23">
        <f>DH204-SUM(DH202:DH203)</f>
        <v>0</v>
      </c>
      <c r="DI201" s="22">
        <f>DI204</f>
        <v>0</v>
      </c>
      <c r="DJ201" s="23">
        <f>DJ204-SUM(DJ202:DJ203)</f>
        <v>0</v>
      </c>
      <c r="DK201" s="22">
        <f>DK204</f>
        <v>0</v>
      </c>
      <c r="DL201" s="23">
        <f>DL204-SUM(DL202:DL203)</f>
        <v>0</v>
      </c>
      <c r="DM201" s="22">
        <f>DM204</f>
        <v>0</v>
      </c>
      <c r="DN201" s="23">
        <f>DN204-SUM(DN202:DN203)</f>
        <v>0</v>
      </c>
      <c r="DO201" s="22">
        <f>DO204</f>
        <v>0</v>
      </c>
      <c r="DP201" s="23">
        <f>DP204-SUM(DP202:DP203)</f>
        <v>0</v>
      </c>
      <c r="DQ201" s="22">
        <f>DQ204</f>
        <v>0</v>
      </c>
      <c r="DR201" s="23">
        <f>DR204-SUM(DR202:DR203)</f>
        <v>0</v>
      </c>
      <c r="DS201" s="22">
        <f>DS204</f>
        <v>0</v>
      </c>
      <c r="DT201" s="23">
        <f>DT204-SUM(DT202:DT203)</f>
        <v>0</v>
      </c>
      <c r="DU201" s="301"/>
      <c r="DV201" s="301"/>
      <c r="DW201" s="301"/>
      <c r="DX201" s="301"/>
      <c r="DY201" s="301"/>
      <c r="DZ201" s="301"/>
      <c r="EA201" s="301"/>
      <c r="EB201" s="301"/>
      <c r="EC201" s="301"/>
      <c r="ED201" s="301"/>
      <c r="EE201" s="301"/>
      <c r="EF201" s="301"/>
      <c r="EG201" s="301"/>
      <c r="EH201" s="301"/>
      <c r="EI201" s="301"/>
      <c r="EJ201" s="301"/>
      <c r="EK201" s="301"/>
      <c r="EL201" s="301"/>
      <c r="EM201" s="301"/>
      <c r="EN201" s="22">
        <f>EN204</f>
        <v>0</v>
      </c>
      <c r="EO201" s="23">
        <f>EO204-SUM(EO202:EO203)</f>
        <v>0</v>
      </c>
      <c r="EP201" s="22">
        <f>EP204</f>
        <v>0</v>
      </c>
      <c r="EQ201" s="23">
        <f>EQ204-SUM(EQ202:EQ203)</f>
        <v>0</v>
      </c>
      <c r="ER201" s="22">
        <f>ER204</f>
        <v>0</v>
      </c>
      <c r="ES201" s="23">
        <f>ES204-SUM(ES202:ES203)</f>
        <v>0</v>
      </c>
      <c r="ET201" s="22">
        <f>ET204</f>
        <v>0</v>
      </c>
      <c r="EU201" s="23">
        <f>EU204-SUM(EU202:EU203)</f>
        <v>0</v>
      </c>
      <c r="EV201" s="22">
        <f>EV204</f>
        <v>0</v>
      </c>
      <c r="EW201" s="23">
        <f>EW204-SUM(EW202:EW203)</f>
        <v>0</v>
      </c>
      <c r="EX201" s="22">
        <f>EX204</f>
        <v>0</v>
      </c>
      <c r="EY201" s="23">
        <f>EY204-SUM(EY202:EY203)</f>
        <v>0</v>
      </c>
      <c r="EZ201" s="22">
        <f>EZ204</f>
        <v>0</v>
      </c>
      <c r="FA201" s="23">
        <f>FA204-SUM(FA202:FA203)</f>
        <v>0</v>
      </c>
      <c r="FB201" s="22">
        <f>FB204</f>
        <v>0</v>
      </c>
      <c r="FC201" s="23">
        <f>FC204-SUM(FC202:FC203)</f>
        <v>0</v>
      </c>
      <c r="FD201" s="22">
        <f>FD204</f>
        <v>0</v>
      </c>
      <c r="FE201" s="23">
        <f>FE204-SUM(FE202:FE203)</f>
        <v>0</v>
      </c>
      <c r="FF201" s="22">
        <f>FF204</f>
        <v>0</v>
      </c>
      <c r="FG201" s="23">
        <f>FG204-SUM(FG202:FG203)</f>
        <v>0</v>
      </c>
      <c r="FH201" s="22">
        <f>FH204</f>
        <v>0</v>
      </c>
      <c r="FI201" s="23">
        <f>FI204-SUM(FI202:FI203)</f>
        <v>0</v>
      </c>
      <c r="FJ201" s="22">
        <f>FJ204</f>
        <v>0</v>
      </c>
      <c r="FK201" s="23">
        <f>FK204-SUM(FK202:FK203)</f>
        <v>0</v>
      </c>
      <c r="FL201" s="22">
        <f>FL204</f>
        <v>0</v>
      </c>
      <c r="FM201" s="23">
        <f>FM204-SUM(FM202:FM203)</f>
        <v>0</v>
      </c>
      <c r="FN201" s="22">
        <f>FN204</f>
        <v>0</v>
      </c>
      <c r="FO201" s="23">
        <f>FO204-SUM(FO202:FO203)</f>
        <v>0</v>
      </c>
      <c r="FP201" s="22">
        <f>FP204</f>
        <v>0</v>
      </c>
      <c r="FQ201" s="23">
        <f>FQ204-SUM(FQ202:FQ203)</f>
        <v>0</v>
      </c>
      <c r="FR201" s="301"/>
      <c r="FS201" s="301"/>
      <c r="FT201" s="301"/>
      <c r="FU201" s="301"/>
      <c r="FV201" s="301"/>
      <c r="FW201" s="301"/>
      <c r="FX201" s="301"/>
      <c r="FY201" s="301"/>
      <c r="FZ201" s="301"/>
      <c r="GA201" s="301"/>
      <c r="GB201" s="301"/>
      <c r="GC201" s="301"/>
      <c r="GD201" s="301"/>
      <c r="GE201" s="301"/>
      <c r="GF201" s="301"/>
      <c r="GG201" s="301"/>
    </row>
    <row r="202" spans="1:189" ht="15" hidden="1" customHeight="1" outlineLevel="2" x14ac:dyDescent="0.3">
      <c r="A202" s="1"/>
      <c r="B202" s="301"/>
      <c r="C202" s="301"/>
      <c r="D202" s="301"/>
      <c r="E202" s="301"/>
      <c r="F202" s="301"/>
      <c r="G202" s="5" t="s">
        <v>159</v>
      </c>
      <c r="H202" s="5"/>
      <c r="I202" s="22">
        <f t="shared" ref="I202:I203" si="415">J202*$Y$5</f>
        <v>23867</v>
      </c>
      <c r="J202" s="23">
        <f t="shared" ref="J202:J204" si="416">AH202+AF202+AD202+AB202+Z202+X202+V202+T202+P202+N202+L202</f>
        <v>29</v>
      </c>
      <c r="K202" s="65"/>
      <c r="L202" s="65"/>
      <c r="M202" s="65"/>
      <c r="N202" s="65"/>
      <c r="O202" s="65"/>
      <c r="P202" s="65"/>
      <c r="Q202" s="22">
        <f t="shared" si="411"/>
        <v>25392</v>
      </c>
      <c r="R202" s="23">
        <v>23</v>
      </c>
      <c r="S202" s="22">
        <f t="shared" si="412"/>
        <v>0</v>
      </c>
      <c r="T202" s="23"/>
      <c r="U202" s="22">
        <f t="shared" si="413"/>
        <v>16560</v>
      </c>
      <c r="V202" s="23">
        <v>15</v>
      </c>
      <c r="W202" s="22">
        <f t="shared" si="414"/>
        <v>7728</v>
      </c>
      <c r="X202" s="23">
        <v>7</v>
      </c>
      <c r="Y202" s="22">
        <f t="shared" ref="Y202:Y203" si="417">Z202*$Y$5</f>
        <v>0</v>
      </c>
      <c r="Z202" s="23">
        <v>0</v>
      </c>
      <c r="AA202" s="22">
        <f t="shared" ref="AA202:AA203" si="418">AB202*$Y$5</f>
        <v>0</v>
      </c>
      <c r="AB202" s="23"/>
      <c r="AC202" s="22">
        <f t="shared" ref="AC202:AC203" si="419">AD202*$Y$5</f>
        <v>0</v>
      </c>
      <c r="AD202" s="23"/>
      <c r="AE202" s="22">
        <f t="shared" ref="AE202:AE203" si="420">AF202*$Y$5</f>
        <v>0</v>
      </c>
      <c r="AF202" s="23"/>
      <c r="AG202" s="22">
        <f t="shared" ref="AG202:AG203" si="421">AH202*$Y$5</f>
        <v>5761</v>
      </c>
      <c r="AH202" s="23">
        <v>7</v>
      </c>
      <c r="AI202" s="22">
        <f t="shared" ref="AI202:AI203" si="422">AJ202*$Y$5</f>
        <v>6584</v>
      </c>
      <c r="AJ202" s="23">
        <v>8</v>
      </c>
      <c r="AK202" s="22">
        <f t="shared" ref="AK202:AK203" si="423">AL202*$Y$5</f>
        <v>4938</v>
      </c>
      <c r="AL202" s="23">
        <v>6</v>
      </c>
      <c r="AM202" s="22">
        <f t="shared" ref="AM202:AM203" si="424">AN202*$Y$5</f>
        <v>0</v>
      </c>
      <c r="AN202" s="23">
        <v>0</v>
      </c>
      <c r="AO202" s="22">
        <f t="shared" ref="AO202:AO203" si="425">AP202*$Y$5</f>
        <v>2469</v>
      </c>
      <c r="AP202" s="23">
        <v>3</v>
      </c>
      <c r="AQ202" s="22">
        <f t="shared" ref="AQ202:AQ203" si="426">AR202*$Y$5</f>
        <v>4115</v>
      </c>
      <c r="AR202" s="23">
        <v>5</v>
      </c>
      <c r="AS202" s="22">
        <f t="shared" ref="AS202:AS203" si="427">AT202*$Y$5</f>
        <v>3292</v>
      </c>
      <c r="AT202" s="23">
        <v>4</v>
      </c>
      <c r="AU202" s="22" t="e">
        <f t="shared" ref="AU202:AU203" si="428">AV202*$Y$5</f>
        <v>#VALUE!</v>
      </c>
      <c r="AV202" s="96" t="s">
        <v>160</v>
      </c>
      <c r="AW202" s="22" t="e">
        <f t="shared" ref="AW202:AW203" si="429">AX202*$Y$5</f>
        <v>#VALUE!</v>
      </c>
      <c r="AX202" s="96" t="s">
        <v>160</v>
      </c>
      <c r="AY202" s="22" t="e">
        <f t="shared" ref="AY202:AY203" si="430">AZ202*$Y$5</f>
        <v>#VALUE!</v>
      </c>
      <c r="AZ202" s="23" t="s">
        <v>160</v>
      </c>
      <c r="BA202" s="22" t="e">
        <f t="shared" ref="BA202:BA203" si="431">BB202*$Y$5</f>
        <v>#VALUE!</v>
      </c>
      <c r="BB202" s="23" t="s">
        <v>160</v>
      </c>
      <c r="BC202" s="22" t="e">
        <f t="shared" ref="BC202:BC203" si="432">BD202*$Y$5</f>
        <v>#VALUE!</v>
      </c>
      <c r="BD202" s="23" t="s">
        <v>160</v>
      </c>
      <c r="BE202" s="22" t="e">
        <f t="shared" ref="BE202:BE203" si="433">BF202*$Y$5</f>
        <v>#VALUE!</v>
      </c>
      <c r="BF202" s="23" t="s">
        <v>160</v>
      </c>
      <c r="BG202" s="22" t="e">
        <f t="shared" ref="BG202:BG203" si="434">BH202*$Y$5</f>
        <v>#VALUE!</v>
      </c>
      <c r="BH202" s="23" t="s">
        <v>160</v>
      </c>
      <c r="BI202" s="22" t="e">
        <f t="shared" ref="BI202:BI203" si="435">BJ202*$Y$5</f>
        <v>#VALUE!</v>
      </c>
      <c r="BJ202" s="23" t="s">
        <v>160</v>
      </c>
      <c r="BK202" s="22" t="e">
        <f t="shared" ref="BK202:BK203" si="436">BL202*$Y$5</f>
        <v>#VALUE!</v>
      </c>
      <c r="BL202" s="23" t="s">
        <v>160</v>
      </c>
      <c r="BM202" s="22" t="e">
        <f t="shared" ref="BM202:BM203" si="437">BN202*$Y$5</f>
        <v>#VALUE!</v>
      </c>
      <c r="BN202" s="23" t="s">
        <v>160</v>
      </c>
      <c r="BO202" s="22" t="e">
        <f t="shared" ref="BO202:BO203" si="438">BP202*$Y$5</f>
        <v>#VALUE!</v>
      </c>
      <c r="BP202" s="23" t="s">
        <v>160</v>
      </c>
      <c r="BQ202" s="22" t="e">
        <f t="shared" ref="BQ202:BQ203" si="439">BR202*$Y$5</f>
        <v>#VALUE!</v>
      </c>
      <c r="BR202" s="23" t="s">
        <v>160</v>
      </c>
      <c r="BS202" s="22" t="e">
        <f t="shared" ref="BS202:BS203" si="440">BT202*$Y$5</f>
        <v>#VALUE!</v>
      </c>
      <c r="BT202" s="23" t="s">
        <v>160</v>
      </c>
      <c r="BU202" s="22" t="e">
        <f t="shared" ref="BU202:BU203" si="441">BV202*$Y$5</f>
        <v>#VALUE!</v>
      </c>
      <c r="BV202" s="23" t="s">
        <v>160</v>
      </c>
      <c r="BW202" s="22" t="e">
        <f t="shared" ref="BW202:BW203" si="442">BX202*$Y$5</f>
        <v>#VALUE!</v>
      </c>
      <c r="BX202" s="23" t="s">
        <v>160</v>
      </c>
      <c r="BY202" s="22" t="e">
        <f t="shared" ref="BY202:BY203" si="443">BZ202*$Y$5</f>
        <v>#VALUE!</v>
      </c>
      <c r="BZ202" s="23" t="s">
        <v>160</v>
      </c>
      <c r="CA202" s="22" t="e">
        <f t="shared" ref="CA202:CA203" si="444">CB202*$Y$5</f>
        <v>#VALUE!</v>
      </c>
      <c r="CB202" s="23" t="s">
        <v>160</v>
      </c>
      <c r="CC202" s="22" t="e">
        <f t="shared" ref="CC202:CC203" si="445">CD202*$Y$5</f>
        <v>#VALUE!</v>
      </c>
      <c r="CD202" s="23" t="s">
        <v>160</v>
      </c>
      <c r="CE202" s="22" t="e">
        <f t="shared" ref="CE202:CE203" si="446">CF202*$Y$5</f>
        <v>#VALUE!</v>
      </c>
      <c r="CF202" s="23" t="s">
        <v>160</v>
      </c>
      <c r="CG202" s="22" t="e">
        <f t="shared" ref="CG202:CG203" si="447">CH202*$Y$5</f>
        <v>#VALUE!</v>
      </c>
      <c r="CH202" s="23" t="s">
        <v>160</v>
      </c>
      <c r="CI202" s="22" t="e">
        <f t="shared" ref="CI202:CI203" si="448">CJ202*$Y$5</f>
        <v>#VALUE!</v>
      </c>
      <c r="CJ202" s="23" t="s">
        <v>160</v>
      </c>
      <c r="CK202" s="22" t="e">
        <f t="shared" ref="CK202:CK203" si="449">CL202*$Y$5</f>
        <v>#VALUE!</v>
      </c>
      <c r="CL202" s="23" t="s">
        <v>160</v>
      </c>
      <c r="CM202" s="22" t="e">
        <f t="shared" ref="CM202:CM203" si="450">CN202*$Y$5</f>
        <v>#VALUE!</v>
      </c>
      <c r="CN202" s="23" t="s">
        <v>160</v>
      </c>
      <c r="CO202" s="22" t="e">
        <f t="shared" ref="CO202:CO203" si="451">CP202*$Y$5</f>
        <v>#VALUE!</v>
      </c>
      <c r="CP202" s="23" t="s">
        <v>160</v>
      </c>
      <c r="CQ202" s="22" t="e">
        <f t="shared" ref="CQ202:CQ203" si="452">CR202*$Y$5</f>
        <v>#VALUE!</v>
      </c>
      <c r="CR202" s="23" t="s">
        <v>160</v>
      </c>
      <c r="CS202" s="22" t="e">
        <f t="shared" ref="CS202:CS203" si="453">CT202*$Y$5</f>
        <v>#VALUE!</v>
      </c>
      <c r="CT202" s="23" t="s">
        <v>160</v>
      </c>
      <c r="CU202" s="22" t="e">
        <f t="shared" ref="CU202:CU203" si="454">CV202*$Y$5</f>
        <v>#VALUE!</v>
      </c>
      <c r="CV202" s="23" t="s">
        <v>160</v>
      </c>
      <c r="CW202" s="22" t="e">
        <f t="shared" ref="CW202:CW203" si="455">CX202*$Y$5</f>
        <v>#VALUE!</v>
      </c>
      <c r="CX202" s="23" t="s">
        <v>160</v>
      </c>
      <c r="CY202" s="22" t="e">
        <f t="shared" ref="CY202:CY203" si="456">CZ202*$Y$5</f>
        <v>#VALUE!</v>
      </c>
      <c r="CZ202" s="23" t="s">
        <v>160</v>
      </c>
      <c r="DA202" s="22" t="e">
        <f t="shared" ref="DA202:DA203" si="457">DB202*$Y$5</f>
        <v>#VALUE!</v>
      </c>
      <c r="DB202" s="23" t="s">
        <v>160</v>
      </c>
      <c r="DC202" s="22" t="e">
        <f t="shared" ref="DC202:DC203" si="458">DD202*$Y$5</f>
        <v>#VALUE!</v>
      </c>
      <c r="DD202" s="23" t="s">
        <v>160</v>
      </c>
      <c r="DE202" s="22" t="e">
        <f t="shared" ref="DE202:DE203" si="459">DF202*$Y$5</f>
        <v>#VALUE!</v>
      </c>
      <c r="DF202" s="23" t="s">
        <v>160</v>
      </c>
      <c r="DG202" s="22" t="e">
        <f t="shared" ref="DG202:DG203" si="460">DH202*$Y$5</f>
        <v>#VALUE!</v>
      </c>
      <c r="DH202" s="23" t="s">
        <v>160</v>
      </c>
      <c r="DI202" s="22" t="e">
        <f t="shared" ref="DI202:DI203" si="461">DJ202*$Y$5</f>
        <v>#VALUE!</v>
      </c>
      <c r="DJ202" s="23" t="s">
        <v>160</v>
      </c>
      <c r="DK202" s="22" t="e">
        <f t="shared" ref="DK202:DK203" si="462">DL202*$Y$5</f>
        <v>#VALUE!</v>
      </c>
      <c r="DL202" s="23" t="s">
        <v>160</v>
      </c>
      <c r="DM202" s="22" t="e">
        <f t="shared" ref="DM202:DM203" si="463">DN202*$Y$5</f>
        <v>#VALUE!</v>
      </c>
      <c r="DN202" s="23" t="s">
        <v>160</v>
      </c>
      <c r="DO202" s="22" t="e">
        <f t="shared" ref="DO202:DO203" si="464">DP202*$Y$5</f>
        <v>#VALUE!</v>
      </c>
      <c r="DP202" s="23" t="s">
        <v>160</v>
      </c>
      <c r="DQ202" s="22" t="e">
        <f t="shared" ref="DQ202:DQ203" si="465">DR202*$Y$5</f>
        <v>#VALUE!</v>
      </c>
      <c r="DR202" s="23" t="s">
        <v>160</v>
      </c>
      <c r="DS202" s="22" t="e">
        <f t="shared" ref="DS202:DS203" si="466">DT202*$Y$5</f>
        <v>#VALUE!</v>
      </c>
      <c r="DT202" s="23" t="s">
        <v>160</v>
      </c>
      <c r="DU202" s="301"/>
      <c r="DV202" s="301"/>
      <c r="DW202" s="301"/>
      <c r="DX202" s="301"/>
      <c r="DY202" s="301"/>
      <c r="DZ202" s="301"/>
      <c r="EA202" s="301"/>
      <c r="EB202" s="301"/>
      <c r="EC202" s="301"/>
      <c r="ED202" s="301"/>
      <c r="EE202" s="301"/>
      <c r="EF202" s="301"/>
      <c r="EG202" s="301"/>
      <c r="EH202" s="301"/>
      <c r="EI202" s="301"/>
      <c r="EJ202" s="301"/>
      <c r="EK202" s="301"/>
      <c r="EL202" s="301"/>
      <c r="EM202" s="301"/>
      <c r="EN202" s="22" t="e">
        <f t="shared" ref="EN202:EN203" si="467">EO202*$Y$5</f>
        <v>#VALUE!</v>
      </c>
      <c r="EO202" s="23" t="s">
        <v>160</v>
      </c>
      <c r="EP202" s="22" t="e">
        <f t="shared" ref="EP202:EP203" si="468">EQ202*$Y$5</f>
        <v>#VALUE!</v>
      </c>
      <c r="EQ202" s="23" t="s">
        <v>160</v>
      </c>
      <c r="ER202" s="22" t="e">
        <f t="shared" ref="ER202:ER203" si="469">ES202*$Y$5</f>
        <v>#VALUE!</v>
      </c>
      <c r="ES202" s="23" t="s">
        <v>160</v>
      </c>
      <c r="ET202" s="22" t="e">
        <f t="shared" ref="ET202:ET203" si="470">EU202*$Y$5</f>
        <v>#VALUE!</v>
      </c>
      <c r="EU202" s="23" t="s">
        <v>160</v>
      </c>
      <c r="EV202" s="22" t="e">
        <f t="shared" ref="EV202:EV203" si="471">EW202*$Y$5</f>
        <v>#VALUE!</v>
      </c>
      <c r="EW202" s="23" t="s">
        <v>160</v>
      </c>
      <c r="EX202" s="22" t="e">
        <f t="shared" ref="EX202:EX203" si="472">EY202*$Y$5</f>
        <v>#VALUE!</v>
      </c>
      <c r="EY202" s="23" t="s">
        <v>160</v>
      </c>
      <c r="EZ202" s="22" t="e">
        <f t="shared" ref="EZ202:EZ203" si="473">FA202*$Y$5</f>
        <v>#VALUE!</v>
      </c>
      <c r="FA202" s="23" t="s">
        <v>160</v>
      </c>
      <c r="FB202" s="22" t="e">
        <f t="shared" ref="FB202:FB203" si="474">FC202*$Y$5</f>
        <v>#VALUE!</v>
      </c>
      <c r="FC202" s="23" t="s">
        <v>160</v>
      </c>
      <c r="FD202" s="22" t="e">
        <f t="shared" ref="FD202:FD203" si="475">FE202*$Y$5</f>
        <v>#VALUE!</v>
      </c>
      <c r="FE202" s="23" t="s">
        <v>160</v>
      </c>
      <c r="FF202" s="22" t="e">
        <f t="shared" ref="FF202:FF203" si="476">FG202*$Y$5</f>
        <v>#VALUE!</v>
      </c>
      <c r="FG202" s="23" t="s">
        <v>160</v>
      </c>
      <c r="FH202" s="22" t="e">
        <f t="shared" ref="FH202:FH203" si="477">FI202*$Y$5</f>
        <v>#VALUE!</v>
      </c>
      <c r="FI202" s="23" t="s">
        <v>160</v>
      </c>
      <c r="FJ202" s="22" t="e">
        <f t="shared" ref="FJ202:FJ203" si="478">FK202*$Y$5</f>
        <v>#VALUE!</v>
      </c>
      <c r="FK202" s="23" t="s">
        <v>160</v>
      </c>
      <c r="FL202" s="22" t="e">
        <f t="shared" ref="FL202:FL203" si="479">FM202*$Y$5</f>
        <v>#VALUE!</v>
      </c>
      <c r="FM202" s="23" t="s">
        <v>160</v>
      </c>
      <c r="FN202" s="22" t="e">
        <f t="shared" ref="FN202:FN203" si="480">FO202*$Y$5</f>
        <v>#VALUE!</v>
      </c>
      <c r="FO202" s="23" t="s">
        <v>160</v>
      </c>
      <c r="FP202" s="22" t="e">
        <f t="shared" ref="FP202:FP203" si="481">FQ202*$Y$5</f>
        <v>#VALUE!</v>
      </c>
      <c r="FQ202" s="23" t="s">
        <v>160</v>
      </c>
      <c r="FR202" s="301"/>
      <c r="FS202" s="301"/>
      <c r="FT202" s="301"/>
      <c r="FU202" s="301"/>
      <c r="FV202" s="301"/>
      <c r="FW202" s="301"/>
      <c r="FX202" s="301"/>
      <c r="FY202" s="301"/>
      <c r="FZ202" s="301"/>
      <c r="GA202" s="301"/>
      <c r="GB202" s="301"/>
      <c r="GC202" s="301"/>
      <c r="GD202" s="301"/>
      <c r="GE202" s="301"/>
      <c r="GF202" s="301"/>
      <c r="GG202" s="301"/>
    </row>
    <row r="203" spans="1:189" ht="15" hidden="1" customHeight="1" outlineLevel="2" x14ac:dyDescent="0.3">
      <c r="A203" s="1"/>
      <c r="B203" s="301"/>
      <c r="C203" s="301"/>
      <c r="D203" s="301"/>
      <c r="E203" s="301"/>
      <c r="F203" s="301"/>
      <c r="G203" s="5" t="s">
        <v>161</v>
      </c>
      <c r="H203" s="5"/>
      <c r="I203" s="22">
        <f t="shared" si="415"/>
        <v>10699</v>
      </c>
      <c r="J203" s="23">
        <f t="shared" si="416"/>
        <v>13</v>
      </c>
      <c r="K203" s="65"/>
      <c r="L203" s="65"/>
      <c r="M203" s="65"/>
      <c r="N203" s="65"/>
      <c r="O203" s="65"/>
      <c r="P203" s="65"/>
      <c r="Q203" s="22">
        <f t="shared" si="411"/>
        <v>8832</v>
      </c>
      <c r="R203" s="23">
        <v>8</v>
      </c>
      <c r="S203" s="22">
        <f t="shared" si="412"/>
        <v>0</v>
      </c>
      <c r="T203" s="23"/>
      <c r="U203" s="22">
        <f t="shared" si="413"/>
        <v>4416</v>
      </c>
      <c r="V203" s="23">
        <v>4</v>
      </c>
      <c r="W203" s="22">
        <f t="shared" si="414"/>
        <v>6624</v>
      </c>
      <c r="X203" s="23">
        <v>6</v>
      </c>
      <c r="Y203" s="22">
        <f t="shared" si="417"/>
        <v>0</v>
      </c>
      <c r="Z203" s="23">
        <v>0</v>
      </c>
      <c r="AA203" s="22">
        <f t="shared" si="418"/>
        <v>0</v>
      </c>
      <c r="AB203" s="23"/>
      <c r="AC203" s="22">
        <f t="shared" si="419"/>
        <v>0</v>
      </c>
      <c r="AD203" s="23"/>
      <c r="AE203" s="22">
        <f t="shared" si="420"/>
        <v>0</v>
      </c>
      <c r="AF203" s="23"/>
      <c r="AG203" s="22">
        <f t="shared" si="421"/>
        <v>2469</v>
      </c>
      <c r="AH203" s="23">
        <v>3</v>
      </c>
      <c r="AI203" s="22">
        <f t="shared" si="422"/>
        <v>823</v>
      </c>
      <c r="AJ203" s="23">
        <v>1</v>
      </c>
      <c r="AK203" s="22">
        <f t="shared" si="423"/>
        <v>1646</v>
      </c>
      <c r="AL203" s="23">
        <v>2</v>
      </c>
      <c r="AM203" s="22">
        <f t="shared" si="424"/>
        <v>0</v>
      </c>
      <c r="AN203" s="23">
        <v>0</v>
      </c>
      <c r="AO203" s="22">
        <f t="shared" si="425"/>
        <v>0</v>
      </c>
      <c r="AP203" s="23">
        <v>0</v>
      </c>
      <c r="AQ203" s="22">
        <f t="shared" si="426"/>
        <v>0</v>
      </c>
      <c r="AR203" s="23">
        <v>0</v>
      </c>
      <c r="AS203" s="22">
        <f t="shared" si="427"/>
        <v>0</v>
      </c>
      <c r="AT203" s="23">
        <v>0</v>
      </c>
      <c r="AU203" s="22">
        <f t="shared" si="428"/>
        <v>0</v>
      </c>
      <c r="AV203" s="96"/>
      <c r="AW203" s="22">
        <f t="shared" si="429"/>
        <v>0</v>
      </c>
      <c r="AX203" s="96"/>
      <c r="AY203" s="22">
        <f t="shared" si="430"/>
        <v>0</v>
      </c>
      <c r="AZ203" s="23"/>
      <c r="BA203" s="22">
        <f t="shared" si="431"/>
        <v>0</v>
      </c>
      <c r="BB203" s="23"/>
      <c r="BC203" s="22">
        <f t="shared" si="432"/>
        <v>0</v>
      </c>
      <c r="BD203" s="23"/>
      <c r="BE203" s="22">
        <f t="shared" si="433"/>
        <v>0</v>
      </c>
      <c r="BF203" s="23"/>
      <c r="BG203" s="22">
        <f t="shared" si="434"/>
        <v>0</v>
      </c>
      <c r="BH203" s="23"/>
      <c r="BI203" s="22">
        <f t="shared" si="435"/>
        <v>0</v>
      </c>
      <c r="BJ203" s="23"/>
      <c r="BK203" s="22">
        <f t="shared" si="436"/>
        <v>0</v>
      </c>
      <c r="BL203" s="23"/>
      <c r="BM203" s="22">
        <f t="shared" si="437"/>
        <v>0</v>
      </c>
      <c r="BN203" s="23"/>
      <c r="BO203" s="22">
        <f t="shared" si="438"/>
        <v>0</v>
      </c>
      <c r="BP203" s="23"/>
      <c r="BQ203" s="22">
        <f t="shared" si="439"/>
        <v>0</v>
      </c>
      <c r="BR203" s="23"/>
      <c r="BS203" s="22">
        <f t="shared" si="440"/>
        <v>0</v>
      </c>
      <c r="BT203" s="23"/>
      <c r="BU203" s="22">
        <f t="shared" si="441"/>
        <v>0</v>
      </c>
      <c r="BV203" s="23"/>
      <c r="BW203" s="22">
        <f t="shared" si="442"/>
        <v>0</v>
      </c>
      <c r="BX203" s="23"/>
      <c r="BY203" s="22">
        <f t="shared" si="443"/>
        <v>0</v>
      </c>
      <c r="BZ203" s="23"/>
      <c r="CA203" s="22">
        <f t="shared" si="444"/>
        <v>0</v>
      </c>
      <c r="CB203" s="23"/>
      <c r="CC203" s="22">
        <f t="shared" si="445"/>
        <v>0</v>
      </c>
      <c r="CD203" s="23"/>
      <c r="CE203" s="22">
        <f t="shared" si="446"/>
        <v>0</v>
      </c>
      <c r="CF203" s="23"/>
      <c r="CG203" s="22">
        <f t="shared" si="447"/>
        <v>0</v>
      </c>
      <c r="CH203" s="23"/>
      <c r="CI203" s="22">
        <f t="shared" si="448"/>
        <v>0</v>
      </c>
      <c r="CJ203" s="23"/>
      <c r="CK203" s="22">
        <f t="shared" si="449"/>
        <v>0</v>
      </c>
      <c r="CL203" s="23"/>
      <c r="CM203" s="22">
        <f t="shared" si="450"/>
        <v>0</v>
      </c>
      <c r="CN203" s="23"/>
      <c r="CO203" s="22">
        <f t="shared" si="451"/>
        <v>0</v>
      </c>
      <c r="CP203" s="23"/>
      <c r="CQ203" s="22">
        <f t="shared" si="452"/>
        <v>0</v>
      </c>
      <c r="CR203" s="23"/>
      <c r="CS203" s="22">
        <f t="shared" si="453"/>
        <v>0</v>
      </c>
      <c r="CT203" s="23"/>
      <c r="CU203" s="22">
        <f t="shared" si="454"/>
        <v>0</v>
      </c>
      <c r="CV203" s="23"/>
      <c r="CW203" s="22">
        <f t="shared" si="455"/>
        <v>0</v>
      </c>
      <c r="CX203" s="23"/>
      <c r="CY203" s="22">
        <f t="shared" si="456"/>
        <v>0</v>
      </c>
      <c r="CZ203" s="23"/>
      <c r="DA203" s="22">
        <f t="shared" si="457"/>
        <v>0</v>
      </c>
      <c r="DB203" s="23"/>
      <c r="DC203" s="22">
        <f t="shared" si="458"/>
        <v>0</v>
      </c>
      <c r="DD203" s="23"/>
      <c r="DE203" s="22">
        <f t="shared" si="459"/>
        <v>0</v>
      </c>
      <c r="DF203" s="23"/>
      <c r="DG203" s="22">
        <f t="shared" si="460"/>
        <v>0</v>
      </c>
      <c r="DH203" s="23"/>
      <c r="DI203" s="22">
        <f t="shared" si="461"/>
        <v>0</v>
      </c>
      <c r="DJ203" s="23"/>
      <c r="DK203" s="22">
        <f t="shared" si="462"/>
        <v>0</v>
      </c>
      <c r="DL203" s="23"/>
      <c r="DM203" s="22">
        <f t="shared" si="463"/>
        <v>0</v>
      </c>
      <c r="DN203" s="23"/>
      <c r="DO203" s="22">
        <f t="shared" si="464"/>
        <v>0</v>
      </c>
      <c r="DP203" s="23"/>
      <c r="DQ203" s="22">
        <f t="shared" si="465"/>
        <v>0</v>
      </c>
      <c r="DR203" s="23"/>
      <c r="DS203" s="22">
        <f t="shared" si="466"/>
        <v>0</v>
      </c>
      <c r="DT203" s="23"/>
      <c r="DU203" s="301"/>
      <c r="DV203" s="301"/>
      <c r="DW203" s="301"/>
      <c r="DX203" s="301"/>
      <c r="DY203" s="301"/>
      <c r="DZ203" s="301"/>
      <c r="EA203" s="301"/>
      <c r="EB203" s="301"/>
      <c r="EC203" s="301"/>
      <c r="ED203" s="301"/>
      <c r="EE203" s="301"/>
      <c r="EF203" s="301"/>
      <c r="EG203" s="301"/>
      <c r="EH203" s="301"/>
      <c r="EI203" s="301"/>
      <c r="EJ203" s="301"/>
      <c r="EK203" s="301"/>
      <c r="EL203" s="301"/>
      <c r="EM203" s="301"/>
      <c r="EN203" s="22">
        <f t="shared" si="467"/>
        <v>0</v>
      </c>
      <c r="EO203" s="23"/>
      <c r="EP203" s="22">
        <f t="shared" si="468"/>
        <v>0</v>
      </c>
      <c r="EQ203" s="23"/>
      <c r="ER203" s="22">
        <f t="shared" si="469"/>
        <v>0</v>
      </c>
      <c r="ES203" s="23"/>
      <c r="ET203" s="22">
        <f t="shared" si="470"/>
        <v>0</v>
      </c>
      <c r="EU203" s="23"/>
      <c r="EV203" s="22">
        <f t="shared" si="471"/>
        <v>0</v>
      </c>
      <c r="EW203" s="23"/>
      <c r="EX203" s="22">
        <f t="shared" si="472"/>
        <v>0</v>
      </c>
      <c r="EY203" s="23"/>
      <c r="EZ203" s="22">
        <f t="shared" si="473"/>
        <v>0</v>
      </c>
      <c r="FA203" s="23"/>
      <c r="FB203" s="22">
        <f t="shared" si="474"/>
        <v>0</v>
      </c>
      <c r="FC203" s="23"/>
      <c r="FD203" s="22">
        <f t="shared" si="475"/>
        <v>0</v>
      </c>
      <c r="FE203" s="23"/>
      <c r="FF203" s="22">
        <f t="shared" si="476"/>
        <v>0</v>
      </c>
      <c r="FG203" s="23"/>
      <c r="FH203" s="22">
        <f t="shared" si="477"/>
        <v>0</v>
      </c>
      <c r="FI203" s="23"/>
      <c r="FJ203" s="22">
        <f t="shared" si="478"/>
        <v>0</v>
      </c>
      <c r="FK203" s="23"/>
      <c r="FL203" s="22">
        <f t="shared" si="479"/>
        <v>0</v>
      </c>
      <c r="FM203" s="23"/>
      <c r="FN203" s="22">
        <f t="shared" si="480"/>
        <v>0</v>
      </c>
      <c r="FO203" s="23"/>
      <c r="FP203" s="22">
        <f t="shared" si="481"/>
        <v>0</v>
      </c>
      <c r="FQ203" s="23"/>
      <c r="FR203" s="301"/>
      <c r="FS203" s="301"/>
      <c r="FT203" s="301"/>
      <c r="FU203" s="301"/>
      <c r="FV203" s="301"/>
      <c r="FW203" s="301"/>
      <c r="FX203" s="301"/>
      <c r="FY203" s="301"/>
      <c r="FZ203" s="301"/>
      <c r="GA203" s="301"/>
      <c r="GB203" s="301"/>
      <c r="GC203" s="301"/>
      <c r="GD203" s="301"/>
      <c r="GE203" s="301"/>
      <c r="GF203" s="301"/>
      <c r="GG203" s="301"/>
    </row>
    <row r="204" spans="1:189" ht="15" hidden="1" customHeight="1" outlineLevel="2" x14ac:dyDescent="0.3">
      <c r="A204" s="1"/>
      <c r="B204" s="302"/>
      <c r="C204" s="302"/>
      <c r="D204" s="302"/>
      <c r="E204" s="302"/>
      <c r="F204" s="302"/>
      <c r="G204" s="5" t="s">
        <v>162</v>
      </c>
      <c r="H204" s="5"/>
      <c r="I204" s="22">
        <f>J204*I5</f>
        <v>12200117.67</v>
      </c>
      <c r="J204" s="23">
        <f t="shared" si="416"/>
        <v>999</v>
      </c>
      <c r="K204" s="22">
        <f>L204*K5</f>
        <v>319658</v>
      </c>
      <c r="L204" s="97">
        <v>277</v>
      </c>
      <c r="M204" s="22">
        <f>N204*M5</f>
        <v>218459.34</v>
      </c>
      <c r="N204" s="97">
        <v>198</v>
      </c>
      <c r="O204" s="22">
        <f>P204*O5</f>
        <v>104253</v>
      </c>
      <c r="P204" s="97">
        <v>93</v>
      </c>
      <c r="Q204" s="22">
        <f t="shared" si="411"/>
        <v>139104</v>
      </c>
      <c r="R204" s="97">
        <v>126</v>
      </c>
      <c r="S204" s="22">
        <f t="shared" si="412"/>
        <v>131376</v>
      </c>
      <c r="T204" s="97">
        <v>119</v>
      </c>
      <c r="U204" s="22">
        <f t="shared" si="413"/>
        <v>64032</v>
      </c>
      <c r="V204" s="97">
        <v>58</v>
      </c>
      <c r="W204" s="22">
        <f t="shared" si="414"/>
        <v>58512</v>
      </c>
      <c r="X204" s="97">
        <v>53</v>
      </c>
      <c r="Y204" s="22">
        <f>Y201</f>
        <v>5314.89</v>
      </c>
      <c r="Z204" s="97">
        <v>6</v>
      </c>
      <c r="AA204" s="22">
        <f>AB204*AA5</f>
        <v>15846</v>
      </c>
      <c r="AB204" s="97">
        <v>19</v>
      </c>
      <c r="AC204" s="22">
        <f>AD204*AC5</f>
        <v>32184</v>
      </c>
      <c r="AD204" s="97">
        <v>36</v>
      </c>
      <c r="AE204" s="22">
        <f>AF204*AE5</f>
        <v>76110</v>
      </c>
      <c r="AF204" s="97">
        <v>86</v>
      </c>
      <c r="AG204" s="22">
        <f>AH204*AG5</f>
        <v>48384</v>
      </c>
      <c r="AH204" s="97">
        <v>54</v>
      </c>
      <c r="AI204" s="22">
        <f>AJ204*AI5</f>
        <v>42148</v>
      </c>
      <c r="AJ204" s="97">
        <v>41</v>
      </c>
      <c r="AK204" s="22">
        <f>AL204*AK5</f>
        <v>26883</v>
      </c>
      <c r="AL204" s="97">
        <v>29</v>
      </c>
      <c r="AM204" s="22">
        <f>AN204*AM5</f>
        <v>5718</v>
      </c>
      <c r="AN204" s="97">
        <v>6</v>
      </c>
      <c r="AO204" s="22">
        <f>AP204*AO5</f>
        <v>16200</v>
      </c>
      <c r="AP204" s="97">
        <v>18</v>
      </c>
      <c r="AQ204" s="22">
        <f>AR204*AQ5</f>
        <v>14835</v>
      </c>
      <c r="AR204" s="97">
        <v>15</v>
      </c>
      <c r="AS204" s="22">
        <f>AT204*AS5</f>
        <v>8648</v>
      </c>
      <c r="AT204" s="97">
        <v>8</v>
      </c>
      <c r="AU204" s="22">
        <f>AV204*AU5</f>
        <v>0</v>
      </c>
      <c r="AV204" s="98"/>
      <c r="AW204" s="22">
        <f>AX204*AW5</f>
        <v>0</v>
      </c>
      <c r="AX204" s="98"/>
      <c r="AY204" s="22">
        <f>AZ204*AY5</f>
        <v>0</v>
      </c>
      <c r="AZ204" s="97"/>
      <c r="BA204" s="22">
        <f>BB204*BA5</f>
        <v>0</v>
      </c>
      <c r="BB204" s="97"/>
      <c r="BC204" s="22">
        <f>BD204*BC5</f>
        <v>0</v>
      </c>
      <c r="BD204" s="97"/>
      <c r="BE204" s="22">
        <f>BF204*BE5</f>
        <v>0</v>
      </c>
      <c r="BF204" s="97"/>
      <c r="BG204" s="22">
        <f>BH204*BG5</f>
        <v>0</v>
      </c>
      <c r="BH204" s="97"/>
      <c r="BI204" s="22">
        <f>BJ204*BI5</f>
        <v>0</v>
      </c>
      <c r="BJ204" s="97"/>
      <c r="BK204" s="22">
        <f>BL204*BK5</f>
        <v>0</v>
      </c>
      <c r="BL204" s="97"/>
      <c r="BM204" s="22">
        <f>BN204*BM5</f>
        <v>0</v>
      </c>
      <c r="BN204" s="97"/>
      <c r="BO204" s="22">
        <f>BP204*BO5</f>
        <v>0</v>
      </c>
      <c r="BP204" s="97"/>
      <c r="BQ204" s="22">
        <f>BR204*BQ5</f>
        <v>0</v>
      </c>
      <c r="BR204" s="97"/>
      <c r="BS204" s="22">
        <f>BT204*BS5</f>
        <v>0</v>
      </c>
      <c r="BT204" s="97"/>
      <c r="BU204" s="22">
        <f>BV204*BU5</f>
        <v>0</v>
      </c>
      <c r="BV204" s="97"/>
      <c r="BW204" s="22">
        <f>BX204*BW5</f>
        <v>0</v>
      </c>
      <c r="BX204" s="97"/>
      <c r="BY204" s="22">
        <f>BZ204*BY5</f>
        <v>0</v>
      </c>
      <c r="BZ204" s="97"/>
      <c r="CA204" s="22">
        <f>CB204*CA5</f>
        <v>0</v>
      </c>
      <c r="CB204" s="97"/>
      <c r="CC204" s="22">
        <f>CD204*CC5</f>
        <v>0</v>
      </c>
      <c r="CD204" s="97"/>
      <c r="CE204" s="22">
        <f>CF204*CE5</f>
        <v>0</v>
      </c>
      <c r="CF204" s="97"/>
      <c r="CG204" s="22">
        <f>CH204*CG5</f>
        <v>0</v>
      </c>
      <c r="CH204" s="97"/>
      <c r="CI204" s="22">
        <f>CJ204*CI5</f>
        <v>0</v>
      </c>
      <c r="CJ204" s="97"/>
      <c r="CK204" s="22">
        <f>CL204*CK5</f>
        <v>0</v>
      </c>
      <c r="CL204" s="97"/>
      <c r="CM204" s="22">
        <f>CN204*CM5</f>
        <v>0</v>
      </c>
      <c r="CN204" s="97"/>
      <c r="CO204" s="22">
        <f>CP204*CO5</f>
        <v>0</v>
      </c>
      <c r="CP204" s="97"/>
      <c r="CQ204" s="22">
        <f>CR204*CQ5</f>
        <v>0</v>
      </c>
      <c r="CR204" s="97"/>
      <c r="CS204" s="22">
        <f>CT204*CS5</f>
        <v>0</v>
      </c>
      <c r="CT204" s="97"/>
      <c r="CU204" s="22">
        <f>CV204*CU5</f>
        <v>0</v>
      </c>
      <c r="CV204" s="97"/>
      <c r="CW204" s="22">
        <f>CX204*CW5</f>
        <v>0</v>
      </c>
      <c r="CX204" s="97"/>
      <c r="CY204" s="22">
        <f>CZ204*CY5</f>
        <v>0</v>
      </c>
      <c r="CZ204" s="97"/>
      <c r="DA204" s="22">
        <f>DB204*DA5</f>
        <v>0</v>
      </c>
      <c r="DB204" s="97"/>
      <c r="DC204" s="22">
        <f>DD204*DC5</f>
        <v>0</v>
      </c>
      <c r="DD204" s="97"/>
      <c r="DE204" s="22">
        <f>DF204*DE5</f>
        <v>0</v>
      </c>
      <c r="DF204" s="97"/>
      <c r="DG204" s="22">
        <f>DH204*DG5</f>
        <v>0</v>
      </c>
      <c r="DH204" s="97"/>
      <c r="DI204" s="22">
        <f>DJ204*DI5</f>
        <v>0</v>
      </c>
      <c r="DJ204" s="97"/>
      <c r="DK204" s="22">
        <f>DL204*DK5</f>
        <v>0</v>
      </c>
      <c r="DL204" s="97"/>
      <c r="DM204" s="22">
        <f>DN204*DM5</f>
        <v>0</v>
      </c>
      <c r="DN204" s="97"/>
      <c r="DO204" s="22">
        <f>DP204*DO5</f>
        <v>0</v>
      </c>
      <c r="DP204" s="97"/>
      <c r="DQ204" s="22">
        <f>DR204*DQ5</f>
        <v>0</v>
      </c>
      <c r="DR204" s="97"/>
      <c r="DS204" s="22">
        <f>DT204*DS5</f>
        <v>0</v>
      </c>
      <c r="DT204" s="97"/>
      <c r="DU204" s="302"/>
      <c r="DV204" s="302"/>
      <c r="DW204" s="302"/>
      <c r="DX204" s="302"/>
      <c r="DY204" s="302"/>
      <c r="DZ204" s="302"/>
      <c r="EA204" s="302"/>
      <c r="EB204" s="302"/>
      <c r="EC204" s="302"/>
      <c r="ED204" s="302"/>
      <c r="EE204" s="302"/>
      <c r="EF204" s="302"/>
      <c r="EG204" s="302"/>
      <c r="EH204" s="302"/>
      <c r="EI204" s="302"/>
      <c r="EJ204" s="302"/>
      <c r="EK204" s="302"/>
      <c r="EL204" s="302"/>
      <c r="EM204" s="302"/>
      <c r="EN204" s="22">
        <f>EO204*EN5</f>
        <v>0</v>
      </c>
      <c r="EO204" s="97"/>
      <c r="EP204" s="22">
        <f>EQ204*EP5</f>
        <v>0</v>
      </c>
      <c r="EQ204" s="97"/>
      <c r="ER204" s="22">
        <f>ES204*ER5</f>
        <v>0</v>
      </c>
      <c r="ES204" s="97"/>
      <c r="ET204" s="22">
        <f>EU204*ET5</f>
        <v>0</v>
      </c>
      <c r="EU204" s="97"/>
      <c r="EV204" s="22">
        <f>EW204*EV5</f>
        <v>0</v>
      </c>
      <c r="EW204" s="97"/>
      <c r="EX204" s="22">
        <f>EY204*EX5</f>
        <v>0</v>
      </c>
      <c r="EY204" s="97"/>
      <c r="EZ204" s="22">
        <f>FA204*EZ5</f>
        <v>0</v>
      </c>
      <c r="FA204" s="97"/>
      <c r="FB204" s="22">
        <f>FC204*FB5</f>
        <v>0</v>
      </c>
      <c r="FC204" s="97"/>
      <c r="FD204" s="22">
        <f>FE204*FD5</f>
        <v>0</v>
      </c>
      <c r="FE204" s="97"/>
      <c r="FF204" s="22">
        <f>FG204*FF5</f>
        <v>0</v>
      </c>
      <c r="FG204" s="97"/>
      <c r="FH204" s="22">
        <f>FI204*FH5</f>
        <v>0</v>
      </c>
      <c r="FI204" s="97"/>
      <c r="FJ204" s="22">
        <f>FK204*FJ5</f>
        <v>0</v>
      </c>
      <c r="FK204" s="97"/>
      <c r="FL204" s="22">
        <f>FM204*FL5</f>
        <v>0</v>
      </c>
      <c r="FM204" s="97"/>
      <c r="FN204" s="22">
        <f>FO204*FN5</f>
        <v>0</v>
      </c>
      <c r="FO204" s="97"/>
      <c r="FP204" s="22">
        <f>FQ204*FP5</f>
        <v>0</v>
      </c>
      <c r="FQ204" s="97"/>
      <c r="FR204" s="302"/>
      <c r="FS204" s="302"/>
      <c r="FT204" s="302"/>
      <c r="FU204" s="302"/>
      <c r="FV204" s="302"/>
      <c r="FW204" s="302"/>
      <c r="FX204" s="302"/>
      <c r="FY204" s="302"/>
      <c r="FZ204" s="302"/>
      <c r="GA204" s="302"/>
      <c r="GB204" s="302"/>
      <c r="GC204" s="302"/>
      <c r="GD204" s="302"/>
      <c r="GE204" s="302"/>
      <c r="GF204" s="302"/>
      <c r="GG204" s="302"/>
    </row>
    <row r="205" spans="1:189" ht="8.25" hidden="1" customHeight="1" outlineLevel="1" collapsed="1" x14ac:dyDescent="0.3">
      <c r="A205" s="1"/>
      <c r="B205" s="99"/>
      <c r="C205" s="18"/>
      <c r="D205" s="18"/>
      <c r="E205" s="18"/>
      <c r="F205" s="18"/>
      <c r="G205" s="3"/>
      <c r="H205" s="3"/>
      <c r="I205" s="19"/>
      <c r="J205" s="20"/>
      <c r="K205" s="19"/>
      <c r="L205" s="20"/>
      <c r="M205" s="19"/>
      <c r="N205" s="20"/>
      <c r="O205" s="19"/>
      <c r="P205" s="20"/>
      <c r="Q205" s="19"/>
      <c r="R205" s="20"/>
      <c r="S205" s="19"/>
      <c r="T205" s="20"/>
      <c r="U205" s="19"/>
      <c r="V205" s="20"/>
      <c r="W205" s="19"/>
      <c r="X205" s="20"/>
      <c r="Y205" s="19"/>
      <c r="Z205" s="20"/>
      <c r="AA205" s="19"/>
      <c r="AB205" s="20"/>
      <c r="AC205" s="19"/>
      <c r="AD205" s="20"/>
      <c r="AE205" s="19"/>
      <c r="AF205" s="20"/>
      <c r="AG205" s="19"/>
      <c r="AH205" s="20"/>
      <c r="AI205" s="19"/>
      <c r="AJ205" s="20"/>
      <c r="AK205" s="19"/>
      <c r="AL205" s="20"/>
      <c r="AM205" s="19"/>
      <c r="AN205" s="20"/>
      <c r="AO205" s="19"/>
      <c r="AP205" s="20"/>
      <c r="AQ205" s="19"/>
      <c r="AR205" s="20"/>
      <c r="AS205" s="19"/>
      <c r="AT205" s="20"/>
      <c r="AU205" s="19"/>
      <c r="AV205" s="20"/>
      <c r="AW205" s="19"/>
      <c r="AX205" s="20"/>
      <c r="AY205" s="19"/>
      <c r="AZ205" s="20"/>
      <c r="BA205" s="19"/>
      <c r="BB205" s="20"/>
      <c r="BC205" s="19"/>
      <c r="BD205" s="20"/>
      <c r="BE205" s="19"/>
      <c r="BF205" s="20"/>
      <c r="BG205" s="19"/>
      <c r="BH205" s="20"/>
      <c r="BI205" s="19"/>
      <c r="BJ205" s="20"/>
      <c r="BK205" s="19"/>
      <c r="BL205" s="20"/>
      <c r="BM205" s="19"/>
      <c r="BN205" s="20"/>
      <c r="BO205" s="19"/>
      <c r="BP205" s="20"/>
      <c r="BQ205" s="19"/>
      <c r="BR205" s="20"/>
      <c r="BS205" s="19"/>
      <c r="BT205" s="20"/>
      <c r="BU205" s="19"/>
      <c r="BV205" s="20"/>
      <c r="BW205" s="19"/>
      <c r="BX205" s="20"/>
      <c r="BY205" s="19"/>
      <c r="BZ205" s="20"/>
      <c r="CA205" s="19"/>
      <c r="CB205" s="20"/>
      <c r="CC205" s="19"/>
      <c r="CD205" s="20"/>
      <c r="CE205" s="19"/>
      <c r="CF205" s="20"/>
      <c r="CG205" s="19"/>
      <c r="CH205" s="20"/>
      <c r="CI205" s="19"/>
      <c r="CJ205" s="20"/>
      <c r="CK205" s="19"/>
      <c r="CL205" s="20"/>
      <c r="CM205" s="19"/>
      <c r="CN205" s="20"/>
      <c r="CO205" s="19"/>
      <c r="CP205" s="20"/>
      <c r="CQ205" s="19"/>
      <c r="CR205" s="20"/>
      <c r="CS205" s="19"/>
      <c r="CT205" s="20"/>
      <c r="CU205" s="19"/>
      <c r="CV205" s="20"/>
      <c r="CW205" s="19"/>
      <c r="CX205" s="20"/>
      <c r="CY205" s="19"/>
      <c r="CZ205" s="20"/>
      <c r="DA205" s="19"/>
      <c r="DB205" s="20"/>
      <c r="DC205" s="19"/>
      <c r="DD205" s="20"/>
      <c r="DE205" s="19"/>
      <c r="DF205" s="20"/>
      <c r="DG205" s="19"/>
      <c r="DH205" s="20"/>
      <c r="DI205" s="19"/>
      <c r="DJ205" s="20"/>
      <c r="DK205" s="19"/>
      <c r="DL205" s="20"/>
      <c r="DM205" s="19"/>
      <c r="DN205" s="20"/>
      <c r="DO205" s="19"/>
      <c r="DP205" s="20"/>
      <c r="DQ205" s="19"/>
      <c r="DR205" s="20"/>
      <c r="DS205" s="19"/>
      <c r="DT205" s="20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19"/>
      <c r="EO205" s="20"/>
      <c r="EP205" s="19"/>
      <c r="EQ205" s="20"/>
      <c r="ER205" s="19"/>
      <c r="ES205" s="20"/>
      <c r="ET205" s="19"/>
      <c r="EU205" s="20"/>
      <c r="EV205" s="19"/>
      <c r="EW205" s="20"/>
      <c r="EX205" s="19"/>
      <c r="EY205" s="20"/>
      <c r="EZ205" s="19"/>
      <c r="FA205" s="20"/>
      <c r="FB205" s="19"/>
      <c r="FC205" s="20"/>
      <c r="FD205" s="19"/>
      <c r="FE205" s="20"/>
      <c r="FF205" s="19"/>
      <c r="FG205" s="20"/>
      <c r="FH205" s="19"/>
      <c r="FI205" s="20"/>
      <c r="FJ205" s="19"/>
      <c r="FK205" s="20"/>
      <c r="FL205" s="19"/>
      <c r="FM205" s="20"/>
      <c r="FN205" s="19"/>
      <c r="FO205" s="20"/>
      <c r="FP205" s="19"/>
      <c r="FQ205" s="20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</row>
    <row r="206" spans="1:189" ht="15" hidden="1" customHeight="1" outlineLevel="1" x14ac:dyDescent="0.3">
      <c r="A206" s="63"/>
      <c r="B206" s="458" t="s">
        <v>163</v>
      </c>
      <c r="C206" s="313" t="s">
        <v>164</v>
      </c>
      <c r="D206" s="313" t="s">
        <v>25</v>
      </c>
      <c r="E206" s="313" t="s">
        <v>165</v>
      </c>
      <c r="F206" s="313" t="s">
        <v>27</v>
      </c>
      <c r="G206" s="71" t="s">
        <v>28</v>
      </c>
      <c r="H206" s="5"/>
      <c r="I206" s="283"/>
      <c r="J206" s="281"/>
      <c r="K206" s="283"/>
      <c r="L206" s="281"/>
      <c r="M206" s="283"/>
      <c r="N206" s="281"/>
      <c r="O206" s="283"/>
      <c r="P206" s="281"/>
      <c r="Q206" s="283"/>
      <c r="R206" s="281"/>
      <c r="S206" s="283"/>
      <c r="T206" s="281"/>
      <c r="U206" s="283"/>
      <c r="V206" s="281"/>
      <c r="W206" s="283"/>
      <c r="X206" s="281"/>
      <c r="Y206" s="283"/>
      <c r="Z206" s="281"/>
      <c r="AA206" s="283"/>
      <c r="AB206" s="281"/>
      <c r="AC206" s="283"/>
      <c r="AD206" s="281"/>
      <c r="AE206" s="283"/>
      <c r="AF206" s="281"/>
      <c r="AG206" s="283"/>
      <c r="AH206" s="281"/>
      <c r="AI206" s="283"/>
      <c r="AJ206" s="281"/>
      <c r="AK206" s="283"/>
      <c r="AL206" s="281"/>
      <c r="AM206" s="283"/>
      <c r="AN206" s="281"/>
      <c r="AO206" s="283"/>
      <c r="AP206" s="281"/>
      <c r="AQ206" s="283"/>
      <c r="AR206" s="281"/>
      <c r="AS206" s="283"/>
      <c r="AT206" s="281"/>
      <c r="AU206" s="283"/>
      <c r="AV206" s="281"/>
      <c r="AW206" s="283"/>
      <c r="AX206" s="281"/>
      <c r="AY206" s="283"/>
      <c r="AZ206" s="281"/>
      <c r="BA206" s="283"/>
      <c r="BB206" s="281"/>
      <c r="BC206" s="283"/>
      <c r="BD206" s="281"/>
      <c r="BE206" s="283"/>
      <c r="BF206" s="281"/>
      <c r="BG206" s="283"/>
      <c r="BH206" s="281"/>
      <c r="BI206" s="283"/>
      <c r="BJ206" s="281"/>
      <c r="BK206" s="283"/>
      <c r="BL206" s="281"/>
      <c r="BM206" s="283"/>
      <c r="BN206" s="281"/>
      <c r="BO206" s="283"/>
      <c r="BP206" s="281"/>
      <c r="BQ206" s="283"/>
      <c r="BR206" s="281"/>
      <c r="BS206" s="283"/>
      <c r="BT206" s="281"/>
      <c r="BU206" s="283"/>
      <c r="BV206" s="281"/>
      <c r="BW206" s="283"/>
      <c r="BX206" s="281"/>
      <c r="BY206" s="283"/>
      <c r="BZ206" s="281"/>
      <c r="CA206" s="283"/>
      <c r="CB206" s="281"/>
      <c r="CC206" s="283"/>
      <c r="CD206" s="281"/>
      <c r="CE206" s="283"/>
      <c r="CF206" s="281"/>
      <c r="CG206" s="283"/>
      <c r="CH206" s="281"/>
      <c r="CI206" s="283"/>
      <c r="CJ206" s="281"/>
      <c r="CK206" s="283"/>
      <c r="CL206" s="281"/>
      <c r="CM206" s="283"/>
      <c r="CN206" s="281"/>
      <c r="CO206" s="283"/>
      <c r="CP206" s="281"/>
      <c r="CQ206" s="283"/>
      <c r="CR206" s="281"/>
      <c r="CS206" s="283"/>
      <c r="CT206" s="281"/>
      <c r="CU206" s="283"/>
      <c r="CV206" s="281"/>
      <c r="CW206" s="283"/>
      <c r="CX206" s="281"/>
      <c r="CY206" s="283"/>
      <c r="CZ206" s="281"/>
      <c r="DA206" s="283"/>
      <c r="DB206" s="281"/>
      <c r="DC206" s="283"/>
      <c r="DD206" s="281"/>
      <c r="DE206" s="283"/>
      <c r="DF206" s="281"/>
      <c r="DG206" s="283"/>
      <c r="DH206" s="281"/>
      <c r="DI206" s="283"/>
      <c r="DJ206" s="281"/>
      <c r="DK206" s="283"/>
      <c r="DL206" s="281"/>
      <c r="DM206" s="283"/>
      <c r="DN206" s="281"/>
      <c r="DO206" s="283"/>
      <c r="DP206" s="281"/>
      <c r="DQ206" s="283"/>
      <c r="DR206" s="281"/>
      <c r="DS206" s="283"/>
      <c r="DT206" s="281"/>
      <c r="DU206" s="100"/>
      <c r="DV206" s="100"/>
      <c r="DW206" s="100"/>
      <c r="DX206" s="100"/>
      <c r="DY206" s="100"/>
      <c r="DZ206" s="100"/>
      <c r="EA206" s="100"/>
      <c r="EB206" s="100"/>
      <c r="EC206" s="100"/>
      <c r="ED206" s="100"/>
      <c r="EE206" s="100"/>
      <c r="EF206" s="100"/>
      <c r="EG206" s="100"/>
      <c r="EH206" s="100"/>
      <c r="EI206" s="100"/>
      <c r="EJ206" s="100"/>
      <c r="EK206" s="100"/>
      <c r="EL206" s="100"/>
      <c r="EM206" s="100"/>
      <c r="EN206" s="283"/>
      <c r="EO206" s="281"/>
      <c r="EP206" s="283"/>
      <c r="EQ206" s="281"/>
      <c r="ER206" s="283"/>
      <c r="ES206" s="281"/>
      <c r="ET206" s="283"/>
      <c r="EU206" s="281"/>
      <c r="EV206" s="283"/>
      <c r="EW206" s="281"/>
      <c r="EX206" s="283"/>
      <c r="EY206" s="281"/>
      <c r="EZ206" s="283"/>
      <c r="FA206" s="281"/>
      <c r="FB206" s="283"/>
      <c r="FC206" s="281"/>
      <c r="FD206" s="283"/>
      <c r="FE206" s="281"/>
      <c r="FF206" s="283"/>
      <c r="FG206" s="281"/>
      <c r="FH206" s="283"/>
      <c r="FI206" s="281"/>
      <c r="FJ206" s="283"/>
      <c r="FK206" s="281"/>
      <c r="FL206" s="283"/>
      <c r="FM206" s="281"/>
      <c r="FN206" s="283"/>
      <c r="FO206" s="281"/>
      <c r="FP206" s="283"/>
      <c r="FQ206" s="281"/>
      <c r="FR206" s="100"/>
      <c r="FS206" s="100"/>
      <c r="FT206" s="100"/>
      <c r="FU206" s="100"/>
      <c r="FV206" s="100"/>
      <c r="FW206" s="100"/>
      <c r="FX206" s="100"/>
      <c r="FY206" s="100"/>
      <c r="FZ206" s="100"/>
      <c r="GA206" s="100"/>
      <c r="GB206" s="100"/>
      <c r="GC206" s="100"/>
      <c r="GD206" s="100"/>
      <c r="GE206" s="100"/>
      <c r="GF206" s="100"/>
      <c r="GG206" s="100"/>
    </row>
    <row r="207" spans="1:189" ht="4.5" hidden="1" customHeight="1" outlineLevel="1" x14ac:dyDescent="0.3">
      <c r="A207" s="1"/>
      <c r="B207" s="301"/>
      <c r="C207" s="301"/>
      <c r="D207" s="301"/>
      <c r="E207" s="301"/>
      <c r="F207" s="301"/>
      <c r="G207" s="5"/>
      <c r="H207" s="5"/>
      <c r="I207" s="280"/>
      <c r="J207" s="281"/>
      <c r="K207" s="280"/>
      <c r="L207" s="281"/>
      <c r="M207" s="280"/>
      <c r="N207" s="281"/>
      <c r="O207" s="280"/>
      <c r="P207" s="281"/>
      <c r="Q207" s="284"/>
      <c r="R207" s="281"/>
      <c r="S207" s="280"/>
      <c r="T207" s="281"/>
      <c r="U207" s="280"/>
      <c r="V207" s="281"/>
      <c r="W207" s="280"/>
      <c r="X207" s="281"/>
      <c r="Y207" s="280"/>
      <c r="Z207" s="281"/>
      <c r="AA207" s="280"/>
      <c r="AB207" s="281"/>
      <c r="AC207" s="280"/>
      <c r="AD207" s="281"/>
      <c r="AE207" s="280"/>
      <c r="AF207" s="281"/>
      <c r="AG207" s="280"/>
      <c r="AH207" s="281"/>
      <c r="AI207" s="280"/>
      <c r="AJ207" s="281"/>
      <c r="AK207" s="280"/>
      <c r="AL207" s="281"/>
      <c r="AM207" s="280"/>
      <c r="AN207" s="281"/>
      <c r="AO207" s="280"/>
      <c r="AP207" s="281"/>
      <c r="AQ207" s="280"/>
      <c r="AR207" s="281"/>
      <c r="AS207" s="280"/>
      <c r="AT207" s="281"/>
      <c r="AU207" s="280"/>
      <c r="AV207" s="281"/>
      <c r="AW207" s="280"/>
      <c r="AX207" s="281"/>
      <c r="AY207" s="280"/>
      <c r="AZ207" s="281"/>
      <c r="BA207" s="280"/>
      <c r="BB207" s="281"/>
      <c r="BC207" s="280"/>
      <c r="BD207" s="281"/>
      <c r="BE207" s="280"/>
      <c r="BF207" s="281"/>
      <c r="BG207" s="280"/>
      <c r="BH207" s="281"/>
      <c r="BI207" s="280"/>
      <c r="BJ207" s="281"/>
      <c r="BK207" s="280"/>
      <c r="BL207" s="281"/>
      <c r="BM207" s="280"/>
      <c r="BN207" s="281"/>
      <c r="BO207" s="280"/>
      <c r="BP207" s="281"/>
      <c r="BQ207" s="280"/>
      <c r="BR207" s="281"/>
      <c r="BS207" s="280"/>
      <c r="BT207" s="281"/>
      <c r="BU207" s="280"/>
      <c r="BV207" s="281"/>
      <c r="BW207" s="280"/>
      <c r="BX207" s="281"/>
      <c r="BY207" s="280"/>
      <c r="BZ207" s="281"/>
      <c r="CA207" s="280"/>
      <c r="CB207" s="281"/>
      <c r="CC207" s="280"/>
      <c r="CD207" s="281"/>
      <c r="CE207" s="280"/>
      <c r="CF207" s="281"/>
      <c r="CG207" s="280"/>
      <c r="CH207" s="281"/>
      <c r="CI207" s="280"/>
      <c r="CJ207" s="281"/>
      <c r="CK207" s="280"/>
      <c r="CL207" s="281"/>
      <c r="CM207" s="280"/>
      <c r="CN207" s="281"/>
      <c r="CO207" s="280"/>
      <c r="CP207" s="281"/>
      <c r="CQ207" s="280"/>
      <c r="CR207" s="281"/>
      <c r="CS207" s="280"/>
      <c r="CT207" s="281"/>
      <c r="CU207" s="280"/>
      <c r="CV207" s="281"/>
      <c r="CW207" s="280"/>
      <c r="CX207" s="281"/>
      <c r="CY207" s="280"/>
      <c r="CZ207" s="281"/>
      <c r="DA207" s="280"/>
      <c r="DB207" s="281"/>
      <c r="DC207" s="280"/>
      <c r="DD207" s="281"/>
      <c r="DE207" s="280"/>
      <c r="DF207" s="281"/>
      <c r="DG207" s="280"/>
      <c r="DH207" s="281"/>
      <c r="DI207" s="280"/>
      <c r="DJ207" s="281"/>
      <c r="DK207" s="280"/>
      <c r="DL207" s="281"/>
      <c r="DM207" s="280"/>
      <c r="DN207" s="281"/>
      <c r="DO207" s="280"/>
      <c r="DP207" s="281"/>
      <c r="DQ207" s="280"/>
      <c r="DR207" s="281"/>
      <c r="DS207" s="280"/>
      <c r="DT207" s="281"/>
      <c r="DU207" s="101"/>
      <c r="DV207" s="101"/>
      <c r="DW207" s="101"/>
      <c r="DX207" s="101"/>
      <c r="DY207" s="101"/>
      <c r="DZ207" s="101"/>
      <c r="EA207" s="101"/>
      <c r="EB207" s="101"/>
      <c r="EC207" s="101"/>
      <c r="ED207" s="101"/>
      <c r="EE207" s="101"/>
      <c r="EF207" s="101"/>
      <c r="EG207" s="101"/>
      <c r="EH207" s="101"/>
      <c r="EI207" s="101"/>
      <c r="EJ207" s="101"/>
      <c r="EK207" s="101"/>
      <c r="EL207" s="101"/>
      <c r="EM207" s="101"/>
      <c r="EN207" s="280"/>
      <c r="EO207" s="281"/>
      <c r="EP207" s="280"/>
      <c r="EQ207" s="281"/>
      <c r="ER207" s="280"/>
      <c r="ES207" s="281"/>
      <c r="ET207" s="280"/>
      <c r="EU207" s="281"/>
      <c r="EV207" s="280"/>
      <c r="EW207" s="281"/>
      <c r="EX207" s="280"/>
      <c r="EY207" s="281"/>
      <c r="EZ207" s="280"/>
      <c r="FA207" s="281"/>
      <c r="FB207" s="280"/>
      <c r="FC207" s="281"/>
      <c r="FD207" s="280"/>
      <c r="FE207" s="281"/>
      <c r="FF207" s="280"/>
      <c r="FG207" s="281"/>
      <c r="FH207" s="280"/>
      <c r="FI207" s="281"/>
      <c r="FJ207" s="280"/>
      <c r="FK207" s="281"/>
      <c r="FL207" s="280"/>
      <c r="FM207" s="281"/>
      <c r="FN207" s="280"/>
      <c r="FO207" s="281"/>
      <c r="FP207" s="280"/>
      <c r="FQ207" s="281"/>
      <c r="FR207" s="101"/>
      <c r="FS207" s="101"/>
      <c r="FT207" s="101"/>
      <c r="FU207" s="101"/>
      <c r="FV207" s="101"/>
      <c r="FW207" s="101"/>
      <c r="FX207" s="101"/>
      <c r="FY207" s="101"/>
      <c r="FZ207" s="101"/>
      <c r="GA207" s="101"/>
      <c r="GB207" s="101"/>
      <c r="GC207" s="101"/>
      <c r="GD207" s="101"/>
      <c r="GE207" s="101"/>
      <c r="GF207" s="101"/>
      <c r="GG207" s="101"/>
    </row>
    <row r="208" spans="1:189" ht="15" hidden="1" customHeight="1" outlineLevel="1" x14ac:dyDescent="0.3">
      <c r="A208" s="1"/>
      <c r="B208" s="301"/>
      <c r="C208" s="301"/>
      <c r="D208" s="301"/>
      <c r="E208" s="301"/>
      <c r="F208" s="301"/>
      <c r="G208" s="5" t="s">
        <v>30</v>
      </c>
      <c r="H208" s="5"/>
      <c r="I208" s="283">
        <f>I209/I2</f>
        <v>0.13793167182551502</v>
      </c>
      <c r="J208" s="281"/>
      <c r="K208" s="283">
        <f>K209/K2</f>
        <v>3.2713644404682975E-2</v>
      </c>
      <c r="L208" s="281"/>
      <c r="M208" s="283">
        <f>M209/M2</f>
        <v>2.2122662689943451E-2</v>
      </c>
      <c r="N208" s="281"/>
      <c r="O208" s="283">
        <f>O209/O2</f>
        <v>2.0178663350274566E-2</v>
      </c>
      <c r="P208" s="281"/>
      <c r="Q208" s="283">
        <f>Q209/Q2</f>
        <v>1.5829888601301249E-2</v>
      </c>
      <c r="R208" s="281"/>
      <c r="S208" s="283">
        <f>S209/S2</f>
        <v>2.239339072160865E-2</v>
      </c>
      <c r="T208" s="281"/>
      <c r="U208" s="283">
        <f>U209/U2</f>
        <v>1.2981130172697994E-2</v>
      </c>
      <c r="V208" s="281"/>
      <c r="W208" s="283">
        <f>W209/W2</f>
        <v>7.3625787314300604E-3</v>
      </c>
      <c r="X208" s="281"/>
      <c r="Y208" s="283">
        <f>Y209/Y2</f>
        <v>5.2611290779343897E-3</v>
      </c>
      <c r="Z208" s="281"/>
      <c r="AA208" s="283">
        <f>AA209/AA2</f>
        <v>5.0363285661273469E-3</v>
      </c>
      <c r="AB208" s="281"/>
      <c r="AC208" s="283">
        <f>AC209/AC2</f>
        <v>8.0928514147209033E-3</v>
      </c>
      <c r="AD208" s="281"/>
      <c r="AE208" s="283">
        <f>AE209/AE2</f>
        <v>8.3713517698009096E-3</v>
      </c>
      <c r="AF208" s="281"/>
      <c r="AG208" s="283">
        <f>AG209/AG2</f>
        <v>8.717042782355201E-3</v>
      </c>
      <c r="AH208" s="281"/>
      <c r="AI208" s="283">
        <f>AI209/AI2</f>
        <v>1.0374736754594329E-2</v>
      </c>
      <c r="AJ208" s="281"/>
      <c r="AK208" s="283">
        <f>AK209/AK2</f>
        <v>1.1751447016918968E-2</v>
      </c>
      <c r="AL208" s="281"/>
      <c r="AM208" s="283">
        <f>AM209/AM2</f>
        <v>1.3305694605020946E-2</v>
      </c>
      <c r="AN208" s="281"/>
      <c r="AO208" s="283">
        <f>AO209/AO2</f>
        <v>7.9590379269712953E-3</v>
      </c>
      <c r="AP208" s="281"/>
      <c r="AQ208" s="283">
        <f>AQ209/AQ2</f>
        <v>8.2394500558429819E-3</v>
      </c>
      <c r="AR208" s="281"/>
      <c r="AS208" s="283">
        <f>AS209/AS2</f>
        <v>1.0269533657568374E-2</v>
      </c>
      <c r="AT208" s="281"/>
      <c r="AU208" s="283">
        <f>AU209/AU2</f>
        <v>9.248192694913001E-3</v>
      </c>
      <c r="AV208" s="281"/>
      <c r="AW208" s="343" t="s">
        <v>160</v>
      </c>
      <c r="AX208" s="281"/>
      <c r="AY208" s="283" t="s">
        <v>160</v>
      </c>
      <c r="AZ208" s="281"/>
      <c r="BA208" s="283" t="s">
        <v>160</v>
      </c>
      <c r="BB208" s="281"/>
      <c r="BC208" s="283" t="s">
        <v>160</v>
      </c>
      <c r="BD208" s="281"/>
      <c r="BE208" s="283" t="s">
        <v>160</v>
      </c>
      <c r="BF208" s="281"/>
      <c r="BG208" s="283" t="s">
        <v>160</v>
      </c>
      <c r="BH208" s="281"/>
      <c r="BI208" s="283" t="s">
        <v>160</v>
      </c>
      <c r="BJ208" s="281"/>
      <c r="BK208" s="283" t="s">
        <v>160</v>
      </c>
      <c r="BL208" s="281"/>
      <c r="BM208" s="283" t="s">
        <v>160</v>
      </c>
      <c r="BN208" s="281"/>
      <c r="BO208" s="283" t="s">
        <v>160</v>
      </c>
      <c r="BP208" s="281"/>
      <c r="BQ208" s="283" t="s">
        <v>160</v>
      </c>
      <c r="BR208" s="281"/>
      <c r="BS208" s="283" t="s">
        <v>160</v>
      </c>
      <c r="BT208" s="281"/>
      <c r="BU208" s="283" t="s">
        <v>160</v>
      </c>
      <c r="BV208" s="281"/>
      <c r="BW208" s="283" t="s">
        <v>160</v>
      </c>
      <c r="BX208" s="281"/>
      <c r="BY208" s="283" t="s">
        <v>160</v>
      </c>
      <c r="BZ208" s="281"/>
      <c r="CA208" s="283" t="s">
        <v>160</v>
      </c>
      <c r="CB208" s="281"/>
      <c r="CC208" s="283" t="s">
        <v>160</v>
      </c>
      <c r="CD208" s="281"/>
      <c r="CE208" s="283" t="s">
        <v>160</v>
      </c>
      <c r="CF208" s="281"/>
      <c r="CG208" s="283" t="s">
        <v>160</v>
      </c>
      <c r="CH208" s="281"/>
      <c r="CI208" s="283" t="s">
        <v>160</v>
      </c>
      <c r="CJ208" s="281"/>
      <c r="CK208" s="283" t="s">
        <v>160</v>
      </c>
      <c r="CL208" s="281"/>
      <c r="CM208" s="283" t="s">
        <v>160</v>
      </c>
      <c r="CN208" s="281"/>
      <c r="CO208" s="283" t="s">
        <v>160</v>
      </c>
      <c r="CP208" s="281"/>
      <c r="CQ208" s="283" t="s">
        <v>160</v>
      </c>
      <c r="CR208" s="281"/>
      <c r="CS208" s="283" t="s">
        <v>160</v>
      </c>
      <c r="CT208" s="281"/>
      <c r="CU208" s="283" t="s">
        <v>160</v>
      </c>
      <c r="CV208" s="281"/>
      <c r="CW208" s="283" t="s">
        <v>160</v>
      </c>
      <c r="CX208" s="281"/>
      <c r="CY208" s="283" t="s">
        <v>160</v>
      </c>
      <c r="CZ208" s="281"/>
      <c r="DA208" s="283" t="s">
        <v>160</v>
      </c>
      <c r="DB208" s="281"/>
      <c r="DC208" s="283" t="s">
        <v>160</v>
      </c>
      <c r="DD208" s="281"/>
      <c r="DE208" s="283" t="s">
        <v>160</v>
      </c>
      <c r="DF208" s="281"/>
      <c r="DG208" s="283" t="s">
        <v>160</v>
      </c>
      <c r="DH208" s="281"/>
      <c r="DI208" s="283" t="s">
        <v>160</v>
      </c>
      <c r="DJ208" s="281"/>
      <c r="DK208" s="283" t="s">
        <v>160</v>
      </c>
      <c r="DL208" s="281"/>
      <c r="DM208" s="283" t="s">
        <v>160</v>
      </c>
      <c r="DN208" s="281"/>
      <c r="DO208" s="283" t="s">
        <v>160</v>
      </c>
      <c r="DP208" s="281"/>
      <c r="DQ208" s="283" t="s">
        <v>160</v>
      </c>
      <c r="DR208" s="281"/>
      <c r="DS208" s="283" t="s">
        <v>160</v>
      </c>
      <c r="DT208" s="281"/>
      <c r="DU208" s="314"/>
      <c r="DV208" s="314"/>
      <c r="DW208" s="314"/>
      <c r="DX208" s="314"/>
      <c r="DY208" s="314"/>
      <c r="DZ208" s="314"/>
      <c r="EA208" s="314"/>
      <c r="EB208" s="314"/>
      <c r="EC208" s="314"/>
      <c r="ED208" s="314"/>
      <c r="EE208" s="314"/>
      <c r="EF208" s="314"/>
      <c r="EG208" s="314"/>
      <c r="EH208" s="314"/>
      <c r="EI208" s="314"/>
      <c r="EJ208" s="314"/>
      <c r="EK208" s="314"/>
      <c r="EL208" s="314"/>
      <c r="EM208" s="314"/>
      <c r="EN208" s="283" t="s">
        <v>160</v>
      </c>
      <c r="EO208" s="281"/>
      <c r="EP208" s="283" t="s">
        <v>160</v>
      </c>
      <c r="EQ208" s="281"/>
      <c r="ER208" s="283" t="s">
        <v>160</v>
      </c>
      <c r="ES208" s="281"/>
      <c r="ET208" s="283" t="s">
        <v>160</v>
      </c>
      <c r="EU208" s="281"/>
      <c r="EV208" s="283" t="s">
        <v>160</v>
      </c>
      <c r="EW208" s="281"/>
      <c r="EX208" s="283" t="s">
        <v>160</v>
      </c>
      <c r="EY208" s="281"/>
      <c r="EZ208" s="283" t="s">
        <v>160</v>
      </c>
      <c r="FA208" s="281"/>
      <c r="FB208" s="283" t="s">
        <v>160</v>
      </c>
      <c r="FC208" s="281"/>
      <c r="FD208" s="283" t="s">
        <v>160</v>
      </c>
      <c r="FE208" s="281"/>
      <c r="FF208" s="283" t="s">
        <v>160</v>
      </c>
      <c r="FG208" s="281"/>
      <c r="FH208" s="283" t="s">
        <v>160</v>
      </c>
      <c r="FI208" s="281"/>
      <c r="FJ208" s="283" t="s">
        <v>160</v>
      </c>
      <c r="FK208" s="281"/>
      <c r="FL208" s="283" t="s">
        <v>160</v>
      </c>
      <c r="FM208" s="281"/>
      <c r="FN208" s="283" t="s">
        <v>160</v>
      </c>
      <c r="FO208" s="281"/>
      <c r="FP208" s="283" t="s">
        <v>160</v>
      </c>
      <c r="FQ208" s="281"/>
      <c r="FR208" s="314"/>
      <c r="FS208" s="314"/>
      <c r="FT208" s="314"/>
      <c r="FU208" s="314"/>
      <c r="FV208" s="314"/>
      <c r="FW208" s="314"/>
      <c r="FX208" s="314"/>
      <c r="FY208" s="314"/>
      <c r="FZ208" s="314"/>
      <c r="GA208" s="314"/>
      <c r="GB208" s="314"/>
      <c r="GC208" s="314"/>
      <c r="GD208" s="314"/>
      <c r="GE208" s="314"/>
      <c r="GF208" s="314"/>
      <c r="GG208" s="314"/>
    </row>
    <row r="209" spans="1:189" ht="15" hidden="1" customHeight="1" outlineLevel="1" x14ac:dyDescent="0.3">
      <c r="A209" s="1"/>
      <c r="B209" s="302"/>
      <c r="C209" s="302"/>
      <c r="D209" s="302"/>
      <c r="E209" s="302"/>
      <c r="F209" s="302"/>
      <c r="G209" s="5" t="s">
        <v>166</v>
      </c>
      <c r="H209" s="5"/>
      <c r="I209" s="22">
        <f>J209*I5</f>
        <v>36368318.740000002</v>
      </c>
      <c r="J209" s="23">
        <f>AH209+AF209+AD209+AB209+Z209+X209+V209+T209+P209+N209+L209</f>
        <v>2978</v>
      </c>
      <c r="K209" s="22">
        <f>L209*K5</f>
        <v>615082</v>
      </c>
      <c r="L209" s="23">
        <v>533</v>
      </c>
      <c r="M209" s="22">
        <f>N209*M5</f>
        <v>347548.94999999995</v>
      </c>
      <c r="N209" s="23">
        <v>315</v>
      </c>
      <c r="O209" s="22">
        <f>P209*O5</f>
        <v>364325</v>
      </c>
      <c r="P209" s="23">
        <v>325</v>
      </c>
      <c r="Q209" s="22">
        <f>R209*Q5</f>
        <v>298080</v>
      </c>
      <c r="R209" s="23">
        <v>270</v>
      </c>
      <c r="S209" s="22">
        <f>T209*S5</f>
        <v>442127</v>
      </c>
      <c r="T209" s="23">
        <v>343</v>
      </c>
      <c r="U209" s="22">
        <f>V209*U5</f>
        <v>310990</v>
      </c>
      <c r="V209" s="23">
        <v>274</v>
      </c>
      <c r="W209" s="22">
        <f>X209*W5</f>
        <v>170450</v>
      </c>
      <c r="X209" s="23">
        <v>175</v>
      </c>
      <c r="Y209" s="22">
        <f>Z209*Y5</f>
        <v>131680</v>
      </c>
      <c r="Z209" s="23">
        <v>160</v>
      </c>
      <c r="AA209" s="22">
        <f>AB209*AA5</f>
        <v>135108</v>
      </c>
      <c r="AB209" s="23">
        <v>162</v>
      </c>
      <c r="AC209" s="22">
        <f>AD209*AC5</f>
        <v>202044</v>
      </c>
      <c r="AD209" s="23">
        <v>226</v>
      </c>
      <c r="AE209" s="22">
        <f>AF209*AE5</f>
        <v>242490</v>
      </c>
      <c r="AF209" s="23">
        <v>274</v>
      </c>
      <c r="AG209" s="22">
        <f>AH209*AG5</f>
        <v>171136</v>
      </c>
      <c r="AH209" s="23">
        <v>191</v>
      </c>
      <c r="AI209" s="22">
        <f>AJ209*AI5</f>
        <v>207656</v>
      </c>
      <c r="AJ209" s="23">
        <v>202</v>
      </c>
      <c r="AK209" s="22">
        <f>AL209*AK5</f>
        <v>228042</v>
      </c>
      <c r="AL209" s="23">
        <v>246</v>
      </c>
      <c r="AM209" s="22">
        <f>AN209*AM5</f>
        <v>227767</v>
      </c>
      <c r="AN209" s="23">
        <v>239</v>
      </c>
      <c r="AO209" s="22">
        <f>AP209*AO5</f>
        <v>144000</v>
      </c>
      <c r="AP209" s="23">
        <v>160</v>
      </c>
      <c r="AQ209" s="22">
        <f>AR209*AQ5</f>
        <v>150328</v>
      </c>
      <c r="AR209" s="23">
        <v>152</v>
      </c>
      <c r="AS209" s="22">
        <f>AT209*AS5</f>
        <v>167555</v>
      </c>
      <c r="AT209" s="23">
        <v>155</v>
      </c>
      <c r="AU209" s="22">
        <f>AV209*AU5</f>
        <v>185484</v>
      </c>
      <c r="AV209" s="23">
        <v>164</v>
      </c>
      <c r="AW209" s="22">
        <f>AX209*AW5</f>
        <v>0</v>
      </c>
      <c r="AX209" s="96"/>
      <c r="AY209" s="22">
        <f>AZ209*AY5</f>
        <v>0</v>
      </c>
      <c r="AZ209" s="23"/>
      <c r="BA209" s="22">
        <f>BB209*BA5</f>
        <v>0</v>
      </c>
      <c r="BB209" s="23"/>
      <c r="BC209" s="22">
        <f>BD209*BC5</f>
        <v>0</v>
      </c>
      <c r="BD209" s="23"/>
      <c r="BE209" s="22">
        <f>BF209*BE5</f>
        <v>0</v>
      </c>
      <c r="BF209" s="23"/>
      <c r="BG209" s="22">
        <f>BH209*BG5</f>
        <v>0</v>
      </c>
      <c r="BH209" s="23"/>
      <c r="BI209" s="22">
        <f>BJ209*BI5</f>
        <v>0</v>
      </c>
      <c r="BJ209" s="23"/>
      <c r="BK209" s="22">
        <f>BL209*BK5</f>
        <v>0</v>
      </c>
      <c r="BL209" s="23"/>
      <c r="BM209" s="22">
        <f>BN209*BM5</f>
        <v>0</v>
      </c>
      <c r="BN209" s="23"/>
      <c r="BO209" s="22">
        <f>BP209*BO5</f>
        <v>0</v>
      </c>
      <c r="BP209" s="23"/>
      <c r="BQ209" s="22">
        <f>BR209*BQ5</f>
        <v>0</v>
      </c>
      <c r="BR209" s="23"/>
      <c r="BS209" s="22">
        <f>BT209*BS5</f>
        <v>0</v>
      </c>
      <c r="BT209" s="23"/>
      <c r="BU209" s="22">
        <f>BV209*BU5</f>
        <v>0</v>
      </c>
      <c r="BV209" s="23"/>
      <c r="BW209" s="22">
        <f>BX209*BW5</f>
        <v>0</v>
      </c>
      <c r="BX209" s="23"/>
      <c r="BY209" s="22">
        <f>BZ209*BY5</f>
        <v>0</v>
      </c>
      <c r="BZ209" s="23"/>
      <c r="CA209" s="22">
        <f>CB209*CA5</f>
        <v>0</v>
      </c>
      <c r="CB209" s="23"/>
      <c r="CC209" s="22">
        <f>CD209*CC5</f>
        <v>0</v>
      </c>
      <c r="CD209" s="23"/>
      <c r="CE209" s="22">
        <f>CF209*CE5</f>
        <v>0</v>
      </c>
      <c r="CF209" s="23"/>
      <c r="CG209" s="22">
        <f>CH209*CG5</f>
        <v>0</v>
      </c>
      <c r="CH209" s="23"/>
      <c r="CI209" s="22">
        <f>CJ209*CI5</f>
        <v>0</v>
      </c>
      <c r="CJ209" s="23"/>
      <c r="CK209" s="22">
        <f>CL209*CK5</f>
        <v>0</v>
      </c>
      <c r="CL209" s="23"/>
      <c r="CM209" s="22">
        <f>CN209*CM5</f>
        <v>0</v>
      </c>
      <c r="CN209" s="23"/>
      <c r="CO209" s="22">
        <f>CP209*CO5</f>
        <v>0</v>
      </c>
      <c r="CP209" s="23"/>
      <c r="CQ209" s="22">
        <f>CR209*CQ5</f>
        <v>0</v>
      </c>
      <c r="CR209" s="23"/>
      <c r="CS209" s="22">
        <f>CT209*CS5</f>
        <v>0</v>
      </c>
      <c r="CT209" s="23"/>
      <c r="CU209" s="22">
        <f>CV209*CU5</f>
        <v>0</v>
      </c>
      <c r="CV209" s="23"/>
      <c r="CW209" s="22">
        <f>CX209*CW5</f>
        <v>0</v>
      </c>
      <c r="CX209" s="23"/>
      <c r="CY209" s="22">
        <f>CZ209*CY5</f>
        <v>0</v>
      </c>
      <c r="CZ209" s="23"/>
      <c r="DA209" s="22">
        <f>DB209*DA5</f>
        <v>0</v>
      </c>
      <c r="DB209" s="23"/>
      <c r="DC209" s="22">
        <f>DD209*DC5</f>
        <v>0</v>
      </c>
      <c r="DD209" s="23"/>
      <c r="DE209" s="22">
        <f>DF209*DE5</f>
        <v>0</v>
      </c>
      <c r="DF209" s="23"/>
      <c r="DG209" s="22">
        <f>DH209*DG5</f>
        <v>0</v>
      </c>
      <c r="DH209" s="23"/>
      <c r="DI209" s="22">
        <f>DJ209*DI5</f>
        <v>0</v>
      </c>
      <c r="DJ209" s="23"/>
      <c r="DK209" s="22">
        <f>DL209*DK5</f>
        <v>0</v>
      </c>
      <c r="DL209" s="23"/>
      <c r="DM209" s="22">
        <f>DN209*DM5</f>
        <v>0</v>
      </c>
      <c r="DN209" s="23"/>
      <c r="DO209" s="22">
        <f>DP209*DO5</f>
        <v>0</v>
      </c>
      <c r="DP209" s="23"/>
      <c r="DQ209" s="22">
        <f>DR209*DQ5</f>
        <v>0</v>
      </c>
      <c r="DR209" s="23"/>
      <c r="DS209" s="22">
        <f>DT209*DS5</f>
        <v>0</v>
      </c>
      <c r="DT209" s="23"/>
      <c r="DU209" s="302"/>
      <c r="DV209" s="302"/>
      <c r="DW209" s="302"/>
      <c r="DX209" s="302"/>
      <c r="DY209" s="302"/>
      <c r="DZ209" s="302"/>
      <c r="EA209" s="302"/>
      <c r="EB209" s="302"/>
      <c r="EC209" s="302"/>
      <c r="ED209" s="302"/>
      <c r="EE209" s="302"/>
      <c r="EF209" s="302"/>
      <c r="EG209" s="302"/>
      <c r="EH209" s="302"/>
      <c r="EI209" s="302"/>
      <c r="EJ209" s="302"/>
      <c r="EK209" s="302"/>
      <c r="EL209" s="302"/>
      <c r="EM209" s="302"/>
      <c r="EN209" s="22">
        <f>EO209*EN5</f>
        <v>0</v>
      </c>
      <c r="EO209" s="23"/>
      <c r="EP209" s="22">
        <f>EQ209*EP5</f>
        <v>0</v>
      </c>
      <c r="EQ209" s="23"/>
      <c r="ER209" s="22">
        <f>ES209*ER5</f>
        <v>0</v>
      </c>
      <c r="ES209" s="23"/>
      <c r="ET209" s="22">
        <f>EU209*ET5</f>
        <v>0</v>
      </c>
      <c r="EU209" s="23"/>
      <c r="EV209" s="22">
        <f>EW209*EV5</f>
        <v>0</v>
      </c>
      <c r="EW209" s="23"/>
      <c r="EX209" s="22">
        <f>EY209*EX5</f>
        <v>0</v>
      </c>
      <c r="EY209" s="23"/>
      <c r="EZ209" s="22">
        <f>FA209*EZ5</f>
        <v>0</v>
      </c>
      <c r="FA209" s="23"/>
      <c r="FB209" s="22">
        <f>FC209*FB5</f>
        <v>0</v>
      </c>
      <c r="FC209" s="23"/>
      <c r="FD209" s="22">
        <f>FE209*FD5</f>
        <v>0</v>
      </c>
      <c r="FE209" s="23"/>
      <c r="FF209" s="22">
        <f>FG209*FF5</f>
        <v>0</v>
      </c>
      <c r="FG209" s="23"/>
      <c r="FH209" s="22">
        <f>FI209*FH5</f>
        <v>0</v>
      </c>
      <c r="FI209" s="23"/>
      <c r="FJ209" s="22">
        <f>FK209*FJ5</f>
        <v>0</v>
      </c>
      <c r="FK209" s="23"/>
      <c r="FL209" s="22">
        <f>FM209*FL5</f>
        <v>0</v>
      </c>
      <c r="FM209" s="23"/>
      <c r="FN209" s="22">
        <f>FO209*FN5</f>
        <v>0</v>
      </c>
      <c r="FO209" s="23"/>
      <c r="FP209" s="22">
        <f>FQ209*FP5</f>
        <v>0</v>
      </c>
      <c r="FQ209" s="23"/>
      <c r="FR209" s="302"/>
      <c r="FS209" s="302"/>
      <c r="FT209" s="302"/>
      <c r="FU209" s="302"/>
      <c r="FV209" s="302"/>
      <c r="FW209" s="302"/>
      <c r="FX209" s="302"/>
      <c r="FY209" s="302"/>
      <c r="FZ209" s="302"/>
      <c r="GA209" s="302"/>
      <c r="GB209" s="302"/>
      <c r="GC209" s="302"/>
      <c r="GD209" s="302"/>
      <c r="GE209" s="302"/>
      <c r="GF209" s="302"/>
      <c r="GG209" s="302"/>
    </row>
    <row r="210" spans="1:189" ht="8.25" customHeight="1" outlineLevel="1" x14ac:dyDescent="0.3">
      <c r="A210" s="1"/>
      <c r="B210" s="18"/>
      <c r="C210" s="18"/>
      <c r="D210" s="18"/>
      <c r="E210" s="18"/>
      <c r="F210" s="18"/>
      <c r="G210" s="3"/>
      <c r="H210" s="3"/>
      <c r="I210" s="19"/>
      <c r="J210" s="20"/>
      <c r="K210" s="19"/>
      <c r="L210" s="20"/>
      <c r="M210" s="19"/>
      <c r="N210" s="20"/>
      <c r="O210" s="19"/>
      <c r="P210" s="20"/>
      <c r="Q210" s="19"/>
      <c r="R210" s="20"/>
      <c r="S210" s="19"/>
      <c r="T210" s="20"/>
      <c r="U210" s="19"/>
      <c r="V210" s="20"/>
      <c r="W210" s="19"/>
      <c r="X210" s="20"/>
      <c r="Y210" s="19"/>
      <c r="Z210" s="20"/>
      <c r="AA210" s="19"/>
      <c r="AB210" s="20"/>
      <c r="AC210" s="19"/>
      <c r="AD210" s="20"/>
      <c r="AE210" s="19"/>
      <c r="AF210" s="20"/>
      <c r="AG210" s="19"/>
      <c r="AH210" s="20"/>
      <c r="AI210" s="19"/>
      <c r="AJ210" s="20"/>
      <c r="AK210" s="19"/>
      <c r="AL210" s="20"/>
      <c r="AM210" s="19"/>
      <c r="AN210" s="20"/>
      <c r="AO210" s="19"/>
      <c r="AP210" s="20"/>
      <c r="AQ210" s="19"/>
      <c r="AR210" s="20"/>
      <c r="AS210" s="19"/>
      <c r="AT210" s="20"/>
      <c r="AU210" s="19"/>
      <c r="AV210" s="20"/>
      <c r="AW210" s="19"/>
      <c r="AX210" s="20"/>
      <c r="AY210" s="19"/>
      <c r="AZ210" s="20"/>
      <c r="BA210" s="19"/>
      <c r="BB210" s="20"/>
      <c r="BC210" s="19"/>
      <c r="BD210" s="20"/>
      <c r="BE210" s="19"/>
      <c r="BF210" s="20"/>
      <c r="BG210" s="19"/>
      <c r="BH210" s="20"/>
      <c r="BI210" s="19"/>
      <c r="BJ210" s="20"/>
      <c r="BK210" s="19"/>
      <c r="BL210" s="20"/>
      <c r="BM210" s="19"/>
      <c r="BN210" s="20"/>
      <c r="BO210" s="19"/>
      <c r="BP210" s="20"/>
      <c r="BQ210" s="19"/>
      <c r="BR210" s="20"/>
      <c r="BS210" s="19"/>
      <c r="BT210" s="20"/>
      <c r="BU210" s="19"/>
      <c r="BV210" s="20"/>
      <c r="BW210" s="19"/>
      <c r="BX210" s="20"/>
      <c r="BY210" s="19"/>
      <c r="BZ210" s="20"/>
      <c r="CA210" s="19"/>
      <c r="CB210" s="20"/>
      <c r="CC210" s="19"/>
      <c r="CD210" s="20"/>
      <c r="CE210" s="19"/>
      <c r="CF210" s="20"/>
      <c r="CG210" s="19"/>
      <c r="CH210" s="20"/>
      <c r="CI210" s="19"/>
      <c r="CJ210" s="20"/>
      <c r="CK210" s="19"/>
      <c r="CL210" s="20"/>
      <c r="CM210" s="19"/>
      <c r="CN210" s="20"/>
      <c r="CO210" s="19"/>
      <c r="CP210" s="20"/>
      <c r="CQ210" s="19"/>
      <c r="CR210" s="20"/>
      <c r="CS210" s="19"/>
      <c r="CT210" s="20"/>
      <c r="CU210" s="19"/>
      <c r="CV210" s="20"/>
      <c r="CW210" s="19"/>
      <c r="CX210" s="20"/>
      <c r="CY210" s="19"/>
      <c r="CZ210" s="20"/>
      <c r="DA210" s="19"/>
      <c r="DB210" s="20"/>
      <c r="DC210" s="19"/>
      <c r="DD210" s="20"/>
      <c r="DE210" s="19"/>
      <c r="DF210" s="20"/>
      <c r="DG210" s="19"/>
      <c r="DH210" s="20"/>
      <c r="DI210" s="19"/>
      <c r="DJ210" s="20"/>
      <c r="DK210" s="19"/>
      <c r="DL210" s="20"/>
      <c r="DM210" s="19"/>
      <c r="DN210" s="20"/>
      <c r="DO210" s="19"/>
      <c r="DP210" s="20"/>
      <c r="DQ210" s="19"/>
      <c r="DR210" s="20"/>
      <c r="DS210" s="19"/>
      <c r="DT210" s="20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19"/>
      <c r="EO210" s="20"/>
      <c r="EP210" s="19"/>
      <c r="EQ210" s="20"/>
      <c r="ER210" s="19"/>
      <c r="ES210" s="20"/>
      <c r="ET210" s="19"/>
      <c r="EU210" s="20"/>
      <c r="EV210" s="19"/>
      <c r="EW210" s="20"/>
      <c r="EX210" s="19"/>
      <c r="EY210" s="20"/>
      <c r="EZ210" s="19"/>
      <c r="FA210" s="20"/>
      <c r="FB210" s="19"/>
      <c r="FC210" s="20"/>
      <c r="FD210" s="19"/>
      <c r="FE210" s="20"/>
      <c r="FF210" s="19"/>
      <c r="FG210" s="20"/>
      <c r="FH210" s="19"/>
      <c r="FI210" s="20"/>
      <c r="FJ210" s="19"/>
      <c r="FK210" s="20"/>
      <c r="FL210" s="19"/>
      <c r="FM210" s="20"/>
      <c r="FN210" s="19"/>
      <c r="FO210" s="20"/>
      <c r="FP210" s="19"/>
      <c r="FQ210" s="20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</row>
    <row r="211" spans="1:189" ht="15" customHeight="1" outlineLevel="1" x14ac:dyDescent="0.3">
      <c r="A211" s="63"/>
      <c r="B211" s="313" t="s">
        <v>167</v>
      </c>
      <c r="C211" s="313" t="s">
        <v>47</v>
      </c>
      <c r="D211" s="313" t="s">
        <v>25</v>
      </c>
      <c r="E211" s="313" t="s">
        <v>168</v>
      </c>
      <c r="F211" s="313" t="s">
        <v>27</v>
      </c>
      <c r="G211" s="5" t="s">
        <v>28</v>
      </c>
      <c r="H211" s="5"/>
      <c r="I211" s="336">
        <v>6.9999999999999999E-4</v>
      </c>
      <c r="J211" s="281"/>
      <c r="K211" s="336">
        <v>6.9999999999999999E-4</v>
      </c>
      <c r="L211" s="281"/>
      <c r="M211" s="336">
        <v>6.9999999999999999E-4</v>
      </c>
      <c r="N211" s="281"/>
      <c r="O211" s="336">
        <v>6.9999999999999999E-4</v>
      </c>
      <c r="P211" s="281"/>
      <c r="Q211" s="336">
        <v>6.9999999999999999E-4</v>
      </c>
      <c r="R211" s="281"/>
      <c r="S211" s="336">
        <v>6.9999999999999999E-4</v>
      </c>
      <c r="T211" s="281"/>
      <c r="U211" s="336">
        <v>6.9999999999999999E-4</v>
      </c>
      <c r="V211" s="281"/>
      <c r="W211" s="336">
        <v>6.9999999999999999E-4</v>
      </c>
      <c r="X211" s="281"/>
      <c r="Y211" s="336">
        <v>6.9999999999999999E-4</v>
      </c>
      <c r="Z211" s="281"/>
      <c r="AA211" s="336">
        <v>6.9999999999999999E-4</v>
      </c>
      <c r="AB211" s="281"/>
      <c r="AC211" s="336">
        <v>6.9999999999999999E-4</v>
      </c>
      <c r="AD211" s="281"/>
      <c r="AE211" s="336">
        <v>6.9999999999999999E-4</v>
      </c>
      <c r="AF211" s="281"/>
      <c r="AG211" s="336">
        <v>6.9999999999999999E-4</v>
      </c>
      <c r="AH211" s="281"/>
      <c r="AI211" s="336">
        <v>6.9999999999999999E-4</v>
      </c>
      <c r="AJ211" s="281"/>
      <c r="AK211" s="336">
        <v>6.9999999999999999E-4</v>
      </c>
      <c r="AL211" s="281"/>
      <c r="AM211" s="336">
        <v>6.9999999999999999E-4</v>
      </c>
      <c r="AN211" s="281"/>
      <c r="AO211" s="336">
        <v>6.9999999999999999E-4</v>
      </c>
      <c r="AP211" s="281"/>
      <c r="AQ211" s="336">
        <v>6.9999999999999999E-4</v>
      </c>
      <c r="AR211" s="281"/>
      <c r="AS211" s="336">
        <v>6.9999999999999999E-4</v>
      </c>
      <c r="AT211" s="281"/>
      <c r="AU211" s="336">
        <v>6.9999999999999999E-4</v>
      </c>
      <c r="AV211" s="281"/>
      <c r="AW211" s="336">
        <v>6.9999999999999999E-4</v>
      </c>
      <c r="AX211" s="281"/>
      <c r="AY211" s="336">
        <v>6.9999999999999999E-4</v>
      </c>
      <c r="AZ211" s="281"/>
      <c r="BA211" s="336">
        <v>6.9999999999999999E-4</v>
      </c>
      <c r="BB211" s="281"/>
      <c r="BC211" s="336">
        <v>6.9999999999999999E-4</v>
      </c>
      <c r="BD211" s="281"/>
      <c r="BE211" s="336">
        <v>6.9999999999999999E-4</v>
      </c>
      <c r="BF211" s="281"/>
      <c r="BG211" s="336">
        <v>6.9999999999999999E-4</v>
      </c>
      <c r="BH211" s="281"/>
      <c r="BI211" s="336">
        <v>6.9999999999999999E-4</v>
      </c>
      <c r="BJ211" s="281"/>
      <c r="BK211" s="336">
        <v>6.9999999999999999E-4</v>
      </c>
      <c r="BL211" s="281"/>
      <c r="BM211" s="336">
        <v>6.9999999999999999E-4</v>
      </c>
      <c r="BN211" s="281"/>
      <c r="BO211" s="336">
        <v>6.9999999999999999E-4</v>
      </c>
      <c r="BP211" s="281"/>
      <c r="BQ211" s="336">
        <v>6.9999999999999999E-4</v>
      </c>
      <c r="BR211" s="281"/>
      <c r="BS211" s="336">
        <v>6.9999999999999999E-4</v>
      </c>
      <c r="BT211" s="281"/>
      <c r="BU211" s="336">
        <v>6.9999999999999999E-4</v>
      </c>
      <c r="BV211" s="281"/>
      <c r="BW211" s="336">
        <v>6.9999999999999999E-4</v>
      </c>
      <c r="BX211" s="281"/>
      <c r="BY211" s="336">
        <v>6.9999999999999999E-4</v>
      </c>
      <c r="BZ211" s="281"/>
      <c r="CA211" s="336">
        <v>6.9999999999999999E-4</v>
      </c>
      <c r="CB211" s="281"/>
      <c r="CC211" s="336">
        <v>6.9999999999999999E-4</v>
      </c>
      <c r="CD211" s="281"/>
      <c r="CE211" s="336">
        <v>6.9999999999999999E-4</v>
      </c>
      <c r="CF211" s="281"/>
      <c r="CG211" s="336">
        <v>6.9999999999999999E-4</v>
      </c>
      <c r="CH211" s="281"/>
      <c r="CI211" s="336">
        <v>6.9999999999999999E-4</v>
      </c>
      <c r="CJ211" s="281"/>
      <c r="CK211" s="336">
        <v>6.9999999999999999E-4</v>
      </c>
      <c r="CL211" s="281"/>
      <c r="CM211" s="336">
        <v>6.9999999999999999E-4</v>
      </c>
      <c r="CN211" s="281"/>
      <c r="CO211" s="336">
        <v>6.9999999999999999E-4</v>
      </c>
      <c r="CP211" s="281"/>
      <c r="CQ211" s="336">
        <v>6.9999999999999999E-4</v>
      </c>
      <c r="CR211" s="281"/>
      <c r="CS211" s="336">
        <v>6.9999999999999999E-4</v>
      </c>
      <c r="CT211" s="281"/>
      <c r="CU211" s="336">
        <v>6.9999999999999999E-4</v>
      </c>
      <c r="CV211" s="281"/>
      <c r="CW211" s="336">
        <v>6.9999999999999999E-4</v>
      </c>
      <c r="CX211" s="281"/>
      <c r="CY211" s="336">
        <v>6.9999999999999999E-4</v>
      </c>
      <c r="CZ211" s="281"/>
      <c r="DA211" s="336">
        <v>6.9999999999999999E-4</v>
      </c>
      <c r="DB211" s="281"/>
      <c r="DC211" s="336">
        <v>6.9999999999999999E-4</v>
      </c>
      <c r="DD211" s="281"/>
      <c r="DE211" s="336">
        <v>6.9999999999999999E-4</v>
      </c>
      <c r="DF211" s="281"/>
      <c r="DG211" s="336">
        <v>6.9999999999999999E-4</v>
      </c>
      <c r="DH211" s="281"/>
      <c r="DI211" s="336">
        <v>6.9999999999999999E-4</v>
      </c>
      <c r="DJ211" s="281"/>
      <c r="DK211" s="336">
        <v>6.9999999999999999E-4</v>
      </c>
      <c r="DL211" s="281"/>
      <c r="DM211" s="336">
        <v>6.9999999999999999E-4</v>
      </c>
      <c r="DN211" s="281"/>
      <c r="DO211" s="336">
        <v>6.9999999999999999E-4</v>
      </c>
      <c r="DP211" s="281"/>
      <c r="DQ211" s="336">
        <v>6.9999999999999999E-4</v>
      </c>
      <c r="DR211" s="281"/>
      <c r="DS211" s="336">
        <v>6.9999999999999999E-4</v>
      </c>
      <c r="DT211" s="281"/>
      <c r="DU211" s="102"/>
      <c r="DV211" s="102"/>
      <c r="DW211" s="102"/>
      <c r="DX211" s="102"/>
      <c r="DY211" s="102"/>
      <c r="DZ211" s="102"/>
      <c r="EA211" s="102"/>
      <c r="EB211" s="102"/>
      <c r="EC211" s="102"/>
      <c r="ED211" s="102"/>
      <c r="EE211" s="102"/>
      <c r="EF211" s="102"/>
      <c r="EG211" s="102"/>
      <c r="EH211" s="102"/>
      <c r="EI211" s="102"/>
      <c r="EJ211" s="102"/>
      <c r="EK211" s="102"/>
      <c r="EL211" s="102"/>
      <c r="EM211" s="102"/>
      <c r="EN211" s="336">
        <v>6.9999999999999999E-4</v>
      </c>
      <c r="EO211" s="281"/>
      <c r="EP211" s="336">
        <v>6.9999999999999999E-4</v>
      </c>
      <c r="EQ211" s="281"/>
      <c r="ER211" s="336">
        <v>6.9999999999999999E-4</v>
      </c>
      <c r="ES211" s="281"/>
      <c r="ET211" s="336">
        <v>6.9999999999999999E-4</v>
      </c>
      <c r="EU211" s="281"/>
      <c r="EV211" s="336">
        <v>6.9999999999999999E-4</v>
      </c>
      <c r="EW211" s="281"/>
      <c r="EX211" s="336">
        <v>6.9999999999999999E-4</v>
      </c>
      <c r="EY211" s="281"/>
      <c r="EZ211" s="336">
        <v>6.9999999999999999E-4</v>
      </c>
      <c r="FA211" s="281"/>
      <c r="FB211" s="336">
        <v>6.9999999999999999E-4</v>
      </c>
      <c r="FC211" s="281"/>
      <c r="FD211" s="336">
        <v>6.9999999999999999E-4</v>
      </c>
      <c r="FE211" s="281"/>
      <c r="FF211" s="336">
        <v>6.9999999999999999E-4</v>
      </c>
      <c r="FG211" s="281"/>
      <c r="FH211" s="336">
        <v>6.9999999999999999E-4</v>
      </c>
      <c r="FI211" s="281"/>
      <c r="FJ211" s="336">
        <v>6.9999999999999999E-4</v>
      </c>
      <c r="FK211" s="281"/>
      <c r="FL211" s="336">
        <v>6.9999999999999999E-4</v>
      </c>
      <c r="FM211" s="281"/>
      <c r="FN211" s="336">
        <v>6.9999999999999999E-4</v>
      </c>
      <c r="FO211" s="281"/>
      <c r="FP211" s="336">
        <v>6.9999999999999999E-4</v>
      </c>
      <c r="FQ211" s="281"/>
      <c r="FR211" s="102"/>
      <c r="FS211" s="102"/>
      <c r="FT211" s="102"/>
      <c r="FU211" s="102"/>
      <c r="FV211" s="102"/>
      <c r="FW211" s="102"/>
      <c r="FX211" s="102"/>
      <c r="FY211" s="102"/>
      <c r="FZ211" s="102"/>
      <c r="GA211" s="102"/>
      <c r="GB211" s="102"/>
      <c r="GC211" s="102"/>
      <c r="GD211" s="102"/>
      <c r="GE211" s="323" t="s">
        <v>29</v>
      </c>
      <c r="GF211" s="325" t="s">
        <v>29</v>
      </c>
      <c r="GG211" s="325" t="s">
        <v>29</v>
      </c>
    </row>
    <row r="212" spans="1:189" ht="4.5" customHeight="1" outlineLevel="1" x14ac:dyDescent="0.3">
      <c r="A212" s="1"/>
      <c r="B212" s="301"/>
      <c r="C212" s="301"/>
      <c r="D212" s="301"/>
      <c r="E212" s="301"/>
      <c r="F212" s="301"/>
      <c r="G212" s="5"/>
      <c r="H212" s="5"/>
      <c r="I212" s="348"/>
      <c r="J212" s="281"/>
      <c r="K212" s="328"/>
      <c r="L212" s="281"/>
      <c r="M212" s="351"/>
      <c r="N212" s="281"/>
      <c r="O212" s="351"/>
      <c r="P212" s="281"/>
      <c r="Q212" s="328"/>
      <c r="R212" s="281"/>
      <c r="S212" s="348"/>
      <c r="T212" s="281"/>
      <c r="U212" s="328"/>
      <c r="V212" s="281"/>
      <c r="W212" s="348"/>
      <c r="X212" s="281"/>
      <c r="Y212" s="348"/>
      <c r="Z212" s="281"/>
      <c r="AA212" s="348"/>
      <c r="AB212" s="281"/>
      <c r="AC212" s="348"/>
      <c r="AD212" s="281"/>
      <c r="AE212" s="348"/>
      <c r="AF212" s="281"/>
      <c r="AG212" s="348"/>
      <c r="AH212" s="281"/>
      <c r="AI212" s="348"/>
      <c r="AJ212" s="281"/>
      <c r="AK212" s="348"/>
      <c r="AL212" s="281"/>
      <c r="AM212" s="348"/>
      <c r="AN212" s="281"/>
      <c r="AO212" s="348"/>
      <c r="AP212" s="281"/>
      <c r="AQ212" s="351"/>
      <c r="AR212" s="281"/>
      <c r="AS212" s="351"/>
      <c r="AT212" s="281"/>
      <c r="AU212" s="351"/>
      <c r="AV212" s="281"/>
      <c r="AW212" s="351"/>
      <c r="AX212" s="281"/>
      <c r="AY212" s="351"/>
      <c r="AZ212" s="281"/>
      <c r="BA212" s="351"/>
      <c r="BB212" s="281"/>
      <c r="BC212" s="351"/>
      <c r="BD212" s="281"/>
      <c r="BE212" s="351"/>
      <c r="BF212" s="281"/>
      <c r="BG212" s="348"/>
      <c r="BH212" s="281"/>
      <c r="BI212" s="348"/>
      <c r="BJ212" s="281"/>
      <c r="BK212" s="348"/>
      <c r="BL212" s="281"/>
      <c r="BM212" s="348"/>
      <c r="BN212" s="281"/>
      <c r="BO212" s="351"/>
      <c r="BP212" s="281"/>
      <c r="BQ212" s="351"/>
      <c r="BR212" s="281"/>
      <c r="BS212" s="348"/>
      <c r="BT212" s="281"/>
      <c r="BU212" s="348"/>
      <c r="BV212" s="281"/>
      <c r="BW212" s="348"/>
      <c r="BX212" s="281"/>
      <c r="BY212" s="348"/>
      <c r="BZ212" s="281"/>
      <c r="CA212" s="348"/>
      <c r="CB212" s="281"/>
      <c r="CC212" s="351"/>
      <c r="CD212" s="281"/>
      <c r="CE212" s="351"/>
      <c r="CF212" s="281"/>
      <c r="CG212" s="351"/>
      <c r="CH212" s="281"/>
      <c r="CI212" s="351"/>
      <c r="CJ212" s="281"/>
      <c r="CK212" s="351"/>
      <c r="CL212" s="281"/>
      <c r="CM212" s="351"/>
      <c r="CN212" s="281"/>
      <c r="CO212" s="351"/>
      <c r="CP212" s="281"/>
      <c r="CQ212" s="351"/>
      <c r="CR212" s="281"/>
      <c r="CS212" s="328"/>
      <c r="CT212" s="281"/>
      <c r="CU212" s="328"/>
      <c r="CV212" s="281"/>
      <c r="CW212" s="328"/>
      <c r="CX212" s="281"/>
      <c r="CY212" s="328"/>
      <c r="CZ212" s="281"/>
      <c r="DA212" s="328"/>
      <c r="DB212" s="281"/>
      <c r="DC212" s="328"/>
      <c r="DD212" s="281"/>
      <c r="DE212" s="351"/>
      <c r="DF212" s="281"/>
      <c r="DG212" s="351"/>
      <c r="DH212" s="281"/>
      <c r="DI212" s="351"/>
      <c r="DJ212" s="281"/>
      <c r="DK212" s="351"/>
      <c r="DL212" s="281"/>
      <c r="DM212" s="351"/>
      <c r="DN212" s="281"/>
      <c r="DO212" s="351"/>
      <c r="DP212" s="281"/>
      <c r="DQ212" s="351"/>
      <c r="DR212" s="281"/>
      <c r="DS212" s="351"/>
      <c r="DT212" s="281"/>
      <c r="DU212" s="102"/>
      <c r="DV212" s="102"/>
      <c r="DW212" s="102"/>
      <c r="DX212" s="102"/>
      <c r="DY212" s="102"/>
      <c r="DZ212" s="102"/>
      <c r="EA212" s="102"/>
      <c r="EB212" s="102"/>
      <c r="EC212" s="102"/>
      <c r="ED212" s="102"/>
      <c r="EE212" s="102"/>
      <c r="EF212" s="102"/>
      <c r="EG212" s="102"/>
      <c r="EH212" s="102"/>
      <c r="EI212" s="102"/>
      <c r="EJ212" s="102"/>
      <c r="EK212" s="102"/>
      <c r="EL212" s="102"/>
      <c r="EM212" s="102"/>
      <c r="EN212" s="351"/>
      <c r="EO212" s="281"/>
      <c r="EP212" s="351"/>
      <c r="EQ212" s="281"/>
      <c r="ER212" s="351"/>
      <c r="ES212" s="281"/>
      <c r="ET212" s="351"/>
      <c r="EU212" s="281"/>
      <c r="EV212" s="351"/>
      <c r="EW212" s="281"/>
      <c r="EX212" s="351"/>
      <c r="EY212" s="281"/>
      <c r="EZ212" s="351"/>
      <c r="FA212" s="281"/>
      <c r="FB212" s="489"/>
      <c r="FC212" s="490"/>
      <c r="FD212" s="351"/>
      <c r="FE212" s="281"/>
      <c r="FF212" s="351"/>
      <c r="FG212" s="281"/>
      <c r="FH212" s="351"/>
      <c r="FI212" s="281"/>
      <c r="FJ212" s="351"/>
      <c r="FK212" s="281"/>
      <c r="FL212" s="351"/>
      <c r="FM212" s="281"/>
      <c r="FN212" s="351"/>
      <c r="FO212" s="281"/>
      <c r="FP212" s="351"/>
      <c r="FQ212" s="281"/>
      <c r="FR212" s="102"/>
      <c r="FS212" s="102"/>
      <c r="FT212" s="102"/>
      <c r="FU212" s="102"/>
      <c r="FV212" s="102"/>
      <c r="FW212" s="102"/>
      <c r="FX212" s="102"/>
      <c r="FY212" s="102"/>
      <c r="FZ212" s="102"/>
      <c r="GA212" s="102"/>
      <c r="GB212" s="102"/>
      <c r="GC212" s="102"/>
      <c r="GD212" s="102"/>
      <c r="GE212" s="324"/>
      <c r="GF212" s="326"/>
      <c r="GG212" s="326"/>
    </row>
    <row r="213" spans="1:189" ht="15" customHeight="1" outlineLevel="1" x14ac:dyDescent="0.3">
      <c r="A213" s="1"/>
      <c r="B213" s="301"/>
      <c r="C213" s="301"/>
      <c r="D213" s="301"/>
      <c r="E213" s="301"/>
      <c r="F213" s="301"/>
      <c r="G213" s="5" t="s">
        <v>30</v>
      </c>
      <c r="H213" s="5"/>
      <c r="I213" s="336">
        <f>I215/I214</f>
        <v>4.1119417625044277E-4</v>
      </c>
      <c r="J213" s="281"/>
      <c r="K213" s="336">
        <f>K215/K214</f>
        <v>0</v>
      </c>
      <c r="L213" s="281"/>
      <c r="M213" s="336">
        <f>M215/M214</f>
        <v>9.1995437000711897E-4</v>
      </c>
      <c r="N213" s="281"/>
      <c r="O213" s="336">
        <f>O215/O214</f>
        <v>7.6804665649747052E-4</v>
      </c>
      <c r="P213" s="281"/>
      <c r="Q213" s="336">
        <f>Q215/Q214</f>
        <v>3.5125143093393037E-4</v>
      </c>
      <c r="R213" s="281"/>
      <c r="S213" s="336">
        <f>S215/S214</f>
        <v>2.5844222963024326E-4</v>
      </c>
      <c r="T213" s="281"/>
      <c r="U213" s="336">
        <f>U215/U214</f>
        <v>1.7493663406366786E-4</v>
      </c>
      <c r="V213" s="281"/>
      <c r="W213" s="336">
        <f>W215/W214</f>
        <v>3.8955418727049297E-4</v>
      </c>
      <c r="X213" s="281"/>
      <c r="Y213" s="336">
        <f>Y215/Y214</f>
        <v>4.3131379904271286E-4</v>
      </c>
      <c r="Z213" s="281"/>
      <c r="AA213" s="336">
        <f>AA215/AA214</f>
        <v>5.2661892489172188E-4</v>
      </c>
      <c r="AB213" s="281"/>
      <c r="AC213" s="336">
        <f>AC215/AC214</f>
        <v>5.4264663886668593E-4</v>
      </c>
      <c r="AD213" s="281"/>
      <c r="AE213" s="336">
        <f>AE215/AE214</f>
        <v>6.7505290746471545E-4</v>
      </c>
      <c r="AF213" s="281"/>
      <c r="AG213" s="336">
        <f>AG215/AG214</f>
        <v>3.2787893651592956E-4</v>
      </c>
      <c r="AH213" s="281"/>
      <c r="AI213" s="336">
        <f>AI215/AI214</f>
        <v>5.8086406073881497E-4</v>
      </c>
      <c r="AJ213" s="281"/>
      <c r="AK213" s="336">
        <f>AK215/AK214</f>
        <v>5.1852522123555407E-5</v>
      </c>
      <c r="AL213" s="281"/>
      <c r="AM213" s="336">
        <f>AM215/AM214</f>
        <v>3.3655151334806478E-4</v>
      </c>
      <c r="AN213" s="281"/>
      <c r="AO213" s="336">
        <f>AO215/AO214</f>
        <v>1.2575019741062446E-4</v>
      </c>
      <c r="AP213" s="281"/>
      <c r="AQ213" s="336">
        <f>AQ215/AQ214</f>
        <v>1.1046852609482062E-3</v>
      </c>
      <c r="AR213" s="281"/>
      <c r="AS213" s="336">
        <f>AS215/AS214</f>
        <v>1.1973133168463666E-3</v>
      </c>
      <c r="AT213" s="281"/>
      <c r="AU213" s="336">
        <f>AU215/AU214</f>
        <v>1.9429736784199883E-3</v>
      </c>
      <c r="AV213" s="281"/>
      <c r="AW213" s="336">
        <f>AW215/AW214</f>
        <v>2.0925076151329875E-3</v>
      </c>
      <c r="AX213" s="281"/>
      <c r="AY213" s="336">
        <f>AY215/AY214</f>
        <v>2.1304249633344752E-3</v>
      </c>
      <c r="AZ213" s="281"/>
      <c r="BA213" s="336">
        <f>BA215/BA214</f>
        <v>1.0553383515897045E-3</v>
      </c>
      <c r="BB213" s="281"/>
      <c r="BC213" s="336">
        <f>BC215/BC214</f>
        <v>2.4206429952182318E-3</v>
      </c>
      <c r="BD213" s="281"/>
      <c r="BE213" s="336">
        <f>BE215/BE214</f>
        <v>1.9844989866837429E-3</v>
      </c>
      <c r="BF213" s="281"/>
      <c r="BG213" s="419">
        <f>BG215/BG214</f>
        <v>2.508744841655952E-4</v>
      </c>
      <c r="BH213" s="281"/>
      <c r="BI213" s="457">
        <f>BI215/BI214</f>
        <v>2.8262504790344231E-5</v>
      </c>
      <c r="BJ213" s="281"/>
      <c r="BK213" s="419">
        <f>BK215/BK214</f>
        <v>4.5095521559244396E-8</v>
      </c>
      <c r="BL213" s="281"/>
      <c r="BM213" s="419">
        <f>BM215/BM214</f>
        <v>2.4299902111730361E-4</v>
      </c>
      <c r="BN213" s="281"/>
      <c r="BO213" s="336">
        <f>BO215/BO214</f>
        <v>7.5821597398828295E-4</v>
      </c>
      <c r="BP213" s="281"/>
      <c r="BQ213" s="336">
        <f>BQ215/BQ214</f>
        <v>3.2181516131852758E-3</v>
      </c>
      <c r="BR213" s="281"/>
      <c r="BS213" s="336">
        <f>BS215/BS214</f>
        <v>4.4154935734895512E-4</v>
      </c>
      <c r="BT213" s="281"/>
      <c r="BU213" s="336">
        <f>BU215/BU214</f>
        <v>2.8075544286089009E-4</v>
      </c>
      <c r="BV213" s="281"/>
      <c r="BW213" s="336">
        <f>BW215/BW214</f>
        <v>3.2797062166652096E-4</v>
      </c>
      <c r="BX213" s="281"/>
      <c r="BY213" s="336">
        <f>BY215/BY214</f>
        <v>9.5479583806942376E-5</v>
      </c>
      <c r="BZ213" s="281"/>
      <c r="CA213" s="336">
        <f>CA215/CA214</f>
        <v>3.4161056221036984E-4</v>
      </c>
      <c r="CB213" s="281"/>
      <c r="CC213" s="352">
        <f>CC215/CC214</f>
        <v>8.9805018798636005E-4</v>
      </c>
      <c r="CD213" s="281"/>
      <c r="CE213" s="352">
        <f>CE215/CE214</f>
        <v>1.495832151479613E-3</v>
      </c>
      <c r="CF213" s="281"/>
      <c r="CG213" s="352">
        <f>CG215/CG214</f>
        <v>9.0705096390144711E-4</v>
      </c>
      <c r="CH213" s="281"/>
      <c r="CI213" s="352">
        <f>CI215/CI214</f>
        <v>9.5787816663698124E-4</v>
      </c>
      <c r="CJ213" s="281"/>
      <c r="CK213" s="352">
        <f>CK215/CK214</f>
        <v>1.5037216689335246E-3</v>
      </c>
      <c r="CL213" s="281"/>
      <c r="CM213" s="352">
        <f>CM215/CM214</f>
        <v>2.6949221559017978E-3</v>
      </c>
      <c r="CN213" s="281"/>
      <c r="CO213" s="352">
        <f>CO215/CO214</f>
        <v>2.3112848452046088E-3</v>
      </c>
      <c r="CP213" s="281"/>
      <c r="CQ213" s="352">
        <f>CQ215/CQ214</f>
        <v>3.3418471136024593E-3</v>
      </c>
      <c r="CR213" s="281"/>
      <c r="CS213" s="352">
        <f>CS215/CS214</f>
        <v>3.8655808220659435E-4</v>
      </c>
      <c r="CT213" s="281"/>
      <c r="CU213" s="352">
        <f>CU215/CU214</f>
        <v>2.5607856309341459E-4</v>
      </c>
      <c r="CV213" s="281"/>
      <c r="CW213" s="352">
        <f>CW215/CW214</f>
        <v>9.5423740162735304E-4</v>
      </c>
      <c r="CX213" s="281"/>
      <c r="CY213" s="352">
        <f>CY215/CY214</f>
        <v>8.1803705121175616E-5</v>
      </c>
      <c r="CZ213" s="281"/>
      <c r="DA213" s="352">
        <f>DA215/DA214</f>
        <v>1.4268941681672809E-4</v>
      </c>
      <c r="DB213" s="281"/>
      <c r="DC213" s="352">
        <f>DC215/DC214</f>
        <v>5.5705813472948075E-4</v>
      </c>
      <c r="DD213" s="281"/>
      <c r="DE213" s="352">
        <f>DE215/DE214</f>
        <v>1.6623504999168639E-3</v>
      </c>
      <c r="DF213" s="281"/>
      <c r="DG213" s="352">
        <f>DG215/DG214</f>
        <v>1.1270054140531658E-3</v>
      </c>
      <c r="DH213" s="281"/>
      <c r="DI213" s="352">
        <f>DI215/DI214</f>
        <v>1.193462503519988E-3</v>
      </c>
      <c r="DJ213" s="281"/>
      <c r="DK213" s="352">
        <f>DK215/DK214</f>
        <v>1.3097239660738386E-3</v>
      </c>
      <c r="DL213" s="281"/>
      <c r="DM213" s="352">
        <f>DM215/DM214</f>
        <v>5.7868207477716222E-3</v>
      </c>
      <c r="DN213" s="281"/>
      <c r="DO213" s="352">
        <f>DO215/DO214</f>
        <v>2.089193249192114E-3</v>
      </c>
      <c r="DP213" s="281"/>
      <c r="DQ213" s="352">
        <f>DQ216/DQ2</f>
        <v>3.1745355744648754E-3</v>
      </c>
      <c r="DR213" s="281"/>
      <c r="DS213" s="352">
        <f>DS216/DS2</f>
        <v>4.0730976261007671E-3</v>
      </c>
      <c r="DT213" s="281"/>
      <c r="DU213" s="102"/>
      <c r="DV213" s="102"/>
      <c r="DW213" s="102"/>
      <c r="DX213" s="102"/>
      <c r="DY213" s="102"/>
      <c r="DZ213" s="102"/>
      <c r="EA213" s="102"/>
      <c r="EB213" s="102"/>
      <c r="EC213" s="102"/>
      <c r="ED213" s="102"/>
      <c r="EE213" s="102"/>
      <c r="EF213" s="102"/>
      <c r="EG213" s="102"/>
      <c r="EH213" s="102"/>
      <c r="EI213" s="102"/>
      <c r="EJ213" s="102"/>
      <c r="EK213" s="102"/>
      <c r="EL213" s="102"/>
      <c r="EM213" s="102"/>
      <c r="EN213" s="352">
        <f>EN216/EN2</f>
        <v>1.8986514407235719E-3</v>
      </c>
      <c r="EO213" s="281"/>
      <c r="EP213" s="352">
        <f>EP215/EP214</f>
        <v>2.3790187072677397E-3</v>
      </c>
      <c r="EQ213" s="281"/>
      <c r="ER213" s="352">
        <f>ER215/ER214</f>
        <v>4.8308470178117617E-3</v>
      </c>
      <c r="ES213" s="281"/>
      <c r="ET213" s="352">
        <f>ET215/ET2</f>
        <v>1.0326447115384619E-3</v>
      </c>
      <c r="EU213" s="281"/>
      <c r="EV213" s="352">
        <f>EV215/EV2</f>
        <v>2.8854869888475819E-4</v>
      </c>
      <c r="EW213" s="281"/>
      <c r="EX213" s="352">
        <f>EX215/EX2</f>
        <v>3.1016641791044763E-4</v>
      </c>
      <c r="EY213" s="281"/>
      <c r="EZ213" s="352">
        <f>EZ216/EZ2</f>
        <v>1.1942143196808767E-3</v>
      </c>
      <c r="FA213" s="281"/>
      <c r="FB213" s="352">
        <f>FB216/FB2</f>
        <v>8.3659050437977114E-4</v>
      </c>
      <c r="FC213" s="281"/>
      <c r="FD213" s="352">
        <f>FD216/FD2</f>
        <v>9.2513592910502772E-4</v>
      </c>
      <c r="FE213" s="281"/>
      <c r="FF213" s="352">
        <f>FF216/FF2</f>
        <v>1.3488858601031096E-3</v>
      </c>
      <c r="FG213" s="281"/>
      <c r="FH213" s="352">
        <f>FH216/FH2</f>
        <v>1.4943794823717512E-3</v>
      </c>
      <c r="FI213" s="281"/>
      <c r="FJ213" s="352">
        <f>FJ216/FJ2</f>
        <v>2.9129023142428225E-3</v>
      </c>
      <c r="FK213" s="281"/>
      <c r="FL213" s="352">
        <f>FL216/FL2</f>
        <v>1.5764825000000001E-3</v>
      </c>
      <c r="FM213" s="281"/>
      <c r="FN213" s="352">
        <f>FN216/FN2</f>
        <v>1.6689563496896439E-3</v>
      </c>
      <c r="FO213" s="281"/>
      <c r="FP213" s="352">
        <f>FP216/FP2</f>
        <v>2.0622749172301089E-3</v>
      </c>
      <c r="FQ213" s="281"/>
      <c r="FR213" s="102"/>
      <c r="FS213" s="102"/>
      <c r="FT213" s="102"/>
      <c r="FU213" s="102"/>
      <c r="FV213" s="102"/>
      <c r="FW213" s="102"/>
      <c r="FX213" s="102"/>
      <c r="FY213" s="102"/>
      <c r="FZ213" s="102"/>
      <c r="GA213" s="102"/>
      <c r="GB213" s="102"/>
      <c r="GC213" s="102"/>
      <c r="GD213" s="102"/>
      <c r="GE213" s="324"/>
      <c r="GF213" s="326"/>
      <c r="GG213" s="326"/>
    </row>
    <row r="214" spans="1:189" ht="15" customHeight="1" outlineLevel="1" x14ac:dyDescent="0.3">
      <c r="A214" s="1"/>
      <c r="B214" s="301"/>
      <c r="C214" s="301"/>
      <c r="D214" s="301"/>
      <c r="E214" s="301"/>
      <c r="F214" s="301"/>
      <c r="G214" s="5" t="s">
        <v>169</v>
      </c>
      <c r="H214" s="5"/>
      <c r="I214" s="284">
        <f>SUM(K214:AH214)</f>
        <v>196483084.31000808</v>
      </c>
      <c r="J214" s="281"/>
      <c r="K214" s="338">
        <v>15783051.250001516</v>
      </c>
      <c r="L214" s="281"/>
      <c r="M214" s="338">
        <v>10623135.580000971</v>
      </c>
      <c r="N214" s="281"/>
      <c r="O214" s="338">
        <v>14256555.780001717</v>
      </c>
      <c r="P214" s="281"/>
      <c r="Q214" s="338">
        <v>15516378.070001846</v>
      </c>
      <c r="R214" s="281"/>
      <c r="S214" s="338">
        <v>15039724.760001676</v>
      </c>
      <c r="T214" s="281"/>
      <c r="U214" s="338">
        <v>14868240.79999947</v>
      </c>
      <c r="V214" s="281"/>
      <c r="W214" s="338">
        <v>21744600.050000876</v>
      </c>
      <c r="X214" s="281"/>
      <c r="Y214" s="338">
        <v>19173975</v>
      </c>
      <c r="Z214" s="281"/>
      <c r="AA214" s="338">
        <v>19437205</v>
      </c>
      <c r="AB214" s="281"/>
      <c r="AC214" s="338">
        <v>19231668</v>
      </c>
      <c r="AD214" s="281"/>
      <c r="AE214" s="338">
        <v>17478630</v>
      </c>
      <c r="AF214" s="281"/>
      <c r="AG214" s="338">
        <v>13329920.02</v>
      </c>
      <c r="AH214" s="281"/>
      <c r="AI214" s="338">
        <v>14146235.85</v>
      </c>
      <c r="AJ214" s="281"/>
      <c r="AK214" s="338">
        <v>9295401.2699999996</v>
      </c>
      <c r="AL214" s="281"/>
      <c r="AM214" s="338">
        <v>12877672</v>
      </c>
      <c r="AN214" s="281"/>
      <c r="AO214" s="338">
        <v>16874725</v>
      </c>
      <c r="AP214" s="281"/>
      <c r="AQ214" s="338">
        <v>16883542</v>
      </c>
      <c r="AR214" s="281"/>
      <c r="AS214" s="338">
        <v>15876379</v>
      </c>
      <c r="AT214" s="281"/>
      <c r="AU214" s="338">
        <v>18133030</v>
      </c>
      <c r="AV214" s="281"/>
      <c r="AW214" s="338">
        <v>17306986</v>
      </c>
      <c r="AX214" s="281"/>
      <c r="AY214" s="456">
        <v>16538015</v>
      </c>
      <c r="AZ214" s="281"/>
      <c r="BA214" s="456">
        <v>17440852</v>
      </c>
      <c r="BB214" s="281"/>
      <c r="BC214" s="456">
        <v>23589600</v>
      </c>
      <c r="BD214" s="281"/>
      <c r="BE214" s="456">
        <v>20363830</v>
      </c>
      <c r="BF214" s="281"/>
      <c r="BG214" s="456">
        <v>16426541</v>
      </c>
      <c r="BH214" s="281"/>
      <c r="BI214" s="456">
        <v>16629807</v>
      </c>
      <c r="BJ214" s="281"/>
      <c r="BK214" s="456">
        <v>22175151</v>
      </c>
      <c r="BL214" s="281"/>
      <c r="BM214" s="456">
        <v>20329300</v>
      </c>
      <c r="BN214" s="281"/>
      <c r="BO214" s="456">
        <v>20329300</v>
      </c>
      <c r="BP214" s="281"/>
      <c r="BQ214" s="377">
        <v>11437000</v>
      </c>
      <c r="BR214" s="281"/>
      <c r="BS214" s="377">
        <v>11437000</v>
      </c>
      <c r="BT214" s="281"/>
      <c r="BU214" s="377">
        <v>11437000</v>
      </c>
      <c r="BV214" s="281"/>
      <c r="BW214" s="377">
        <v>11437000</v>
      </c>
      <c r="BX214" s="281"/>
      <c r="BY214" s="377">
        <v>11437000</v>
      </c>
      <c r="BZ214" s="281"/>
      <c r="CA214" s="377">
        <v>11437000</v>
      </c>
      <c r="CB214" s="281"/>
      <c r="CC214" s="405">
        <v>11437000</v>
      </c>
      <c r="CD214" s="281"/>
      <c r="CE214" s="405">
        <v>19637230</v>
      </c>
      <c r="CF214" s="281"/>
      <c r="CG214" s="405">
        <v>19947060</v>
      </c>
      <c r="CH214" s="281"/>
      <c r="CI214" s="405">
        <v>27735260</v>
      </c>
      <c r="CJ214" s="281"/>
      <c r="CK214" s="405">
        <v>21920945</v>
      </c>
      <c r="CL214" s="281"/>
      <c r="CM214" s="405">
        <v>24494214</v>
      </c>
      <c r="CN214" s="281"/>
      <c r="CO214" s="405">
        <v>17201255</v>
      </c>
      <c r="CP214" s="281"/>
      <c r="CQ214" s="405">
        <v>16811960</v>
      </c>
      <c r="CR214" s="281"/>
      <c r="CS214" s="405">
        <v>16848697</v>
      </c>
      <c r="CT214" s="281"/>
      <c r="CU214" s="405">
        <v>22102592</v>
      </c>
      <c r="CV214" s="340"/>
      <c r="CW214" s="405">
        <v>18040584</v>
      </c>
      <c r="CX214" s="340"/>
      <c r="CY214" s="405">
        <v>15170462</v>
      </c>
      <c r="CZ214" s="340"/>
      <c r="DA214" s="405">
        <v>25117490</v>
      </c>
      <c r="DB214" s="340"/>
      <c r="DC214" s="405">
        <v>23069962</v>
      </c>
      <c r="DD214" s="340"/>
      <c r="DE214" s="405">
        <v>8095146</v>
      </c>
      <c r="DF214" s="340"/>
      <c r="DG214" s="405">
        <v>26492721</v>
      </c>
      <c r="DH214" s="340"/>
      <c r="DI214" s="405">
        <v>22187576</v>
      </c>
      <c r="DJ214" s="340"/>
      <c r="DK214" s="405">
        <v>26278835</v>
      </c>
      <c r="DL214" s="340"/>
      <c r="DM214" s="423">
        <v>9567948</v>
      </c>
      <c r="DN214" s="350"/>
      <c r="DO214" s="405">
        <v>22941669</v>
      </c>
      <c r="DP214" s="340"/>
      <c r="DQ214" s="405">
        <v>22376342</v>
      </c>
      <c r="DR214" s="340"/>
      <c r="DS214" s="405">
        <v>20589890.699999999</v>
      </c>
      <c r="DT214" s="340"/>
      <c r="DU214" s="102"/>
      <c r="DV214" s="102"/>
      <c r="DW214" s="102"/>
      <c r="DX214" s="102"/>
      <c r="DY214" s="102"/>
      <c r="DZ214" s="102"/>
      <c r="EA214" s="102"/>
      <c r="EB214" s="102"/>
      <c r="EC214" s="102"/>
      <c r="ED214" s="102"/>
      <c r="EE214" s="102"/>
      <c r="EF214" s="102"/>
      <c r="EG214" s="102"/>
      <c r="EH214" s="102"/>
      <c r="EI214" s="102"/>
      <c r="EJ214" s="102"/>
      <c r="EK214" s="102"/>
      <c r="EL214" s="102"/>
      <c r="EM214" s="102"/>
      <c r="EN214" s="405">
        <v>22006279.420000002</v>
      </c>
      <c r="EO214" s="340"/>
      <c r="EP214" s="405">
        <v>26710130.359999999</v>
      </c>
      <c r="EQ214" s="340"/>
      <c r="ER214" s="405">
        <v>16743544</v>
      </c>
      <c r="ES214" s="340"/>
      <c r="ET214" s="353">
        <f>ET3*ET5</f>
        <v>20734000</v>
      </c>
      <c r="EU214" s="354"/>
      <c r="EV214" s="353">
        <f>EV3*EV5</f>
        <v>26112000</v>
      </c>
      <c r="EW214" s="354"/>
      <c r="EX214" s="353">
        <v>12413968.859999999</v>
      </c>
      <c r="EY214" s="354"/>
      <c r="EZ214" s="353">
        <v>23806391.98</v>
      </c>
      <c r="FA214" s="354"/>
      <c r="FB214" s="353">
        <v>21000000</v>
      </c>
      <c r="FC214" s="354"/>
      <c r="FD214" s="353">
        <v>19904105.780000001</v>
      </c>
      <c r="FE214" s="354"/>
      <c r="FF214" s="353">
        <v>27082261.059999999</v>
      </c>
      <c r="FG214" s="354"/>
      <c r="FH214" s="353">
        <v>21290628.149999999</v>
      </c>
      <c r="FI214" s="354"/>
      <c r="FJ214" s="353">
        <v>18738859</v>
      </c>
      <c r="FK214" s="354"/>
      <c r="FL214" s="353">
        <v>21644196.020000245</v>
      </c>
      <c r="FM214" s="354"/>
      <c r="FN214" s="353">
        <v>9440955.1600000206</v>
      </c>
      <c r="FO214" s="354"/>
      <c r="FP214" s="353">
        <v>21982639.82</v>
      </c>
      <c r="FQ214" s="354"/>
      <c r="FR214" s="102"/>
      <c r="FS214" s="102"/>
      <c r="FT214" s="102"/>
      <c r="FU214" s="102"/>
      <c r="FV214" s="102"/>
      <c r="FW214" s="102"/>
      <c r="FX214" s="102"/>
      <c r="FY214" s="102"/>
      <c r="FZ214" s="102"/>
      <c r="GA214" s="102"/>
      <c r="GB214" s="102"/>
      <c r="GC214" s="102"/>
      <c r="GD214" s="102"/>
      <c r="GE214" s="324"/>
      <c r="GF214" s="326"/>
      <c r="GG214" s="326"/>
    </row>
    <row r="215" spans="1:189" ht="15" customHeight="1" outlineLevel="1" x14ac:dyDescent="0.3">
      <c r="A215" s="1"/>
      <c r="B215" s="301"/>
      <c r="C215" s="301"/>
      <c r="D215" s="301"/>
      <c r="E215" s="301"/>
      <c r="F215" s="301"/>
      <c r="G215" s="180" t="s">
        <v>170</v>
      </c>
      <c r="H215" s="5"/>
      <c r="I215" s="22">
        <f t="shared" ref="I215:CZ215" si="482">I216-(SUM(I217:I218))</f>
        <v>80792.70000000007</v>
      </c>
      <c r="J215" s="23">
        <f t="shared" si="482"/>
        <v>85</v>
      </c>
      <c r="K215" s="22">
        <f t="shared" si="482"/>
        <v>0</v>
      </c>
      <c r="L215" s="23">
        <f t="shared" si="482"/>
        <v>0</v>
      </c>
      <c r="M215" s="22">
        <f t="shared" si="482"/>
        <v>9772.8000000000029</v>
      </c>
      <c r="N215" s="23">
        <f t="shared" si="482"/>
        <v>8</v>
      </c>
      <c r="O215" s="22">
        <f t="shared" si="482"/>
        <v>10949.700000000006</v>
      </c>
      <c r="P215" s="23">
        <f t="shared" si="482"/>
        <v>11</v>
      </c>
      <c r="Q215" s="22">
        <f t="shared" si="482"/>
        <v>5450.1500000000051</v>
      </c>
      <c r="R215" s="23">
        <f t="shared" si="482"/>
        <v>4</v>
      </c>
      <c r="S215" s="22">
        <f t="shared" si="482"/>
        <v>3886.9000000000087</v>
      </c>
      <c r="T215" s="23">
        <f t="shared" si="482"/>
        <v>3</v>
      </c>
      <c r="U215" s="22">
        <f t="shared" si="482"/>
        <v>2601.0000000000036</v>
      </c>
      <c r="V215" s="23">
        <f t="shared" si="482"/>
        <v>4</v>
      </c>
      <c r="W215" s="22">
        <f t="shared" si="482"/>
        <v>8470.7000000000116</v>
      </c>
      <c r="X215" s="23">
        <f t="shared" si="482"/>
        <v>9</v>
      </c>
      <c r="Y215" s="22">
        <f t="shared" si="482"/>
        <v>8270</v>
      </c>
      <c r="Z215" s="23">
        <f t="shared" si="482"/>
        <v>11</v>
      </c>
      <c r="AA215" s="22">
        <f t="shared" si="482"/>
        <v>10236</v>
      </c>
      <c r="AB215" s="23">
        <f t="shared" si="482"/>
        <v>9</v>
      </c>
      <c r="AC215" s="22">
        <f t="shared" si="482"/>
        <v>10436</v>
      </c>
      <c r="AD215" s="23">
        <f t="shared" si="482"/>
        <v>12</v>
      </c>
      <c r="AE215" s="22">
        <f t="shared" si="482"/>
        <v>11799</v>
      </c>
      <c r="AF215" s="23">
        <f t="shared" si="482"/>
        <v>12</v>
      </c>
      <c r="AG215" s="22">
        <f t="shared" si="482"/>
        <v>4370.5999999999985</v>
      </c>
      <c r="AH215" s="23">
        <f t="shared" si="482"/>
        <v>6</v>
      </c>
      <c r="AI215" s="22">
        <f t="shared" si="482"/>
        <v>8217.0400000000009</v>
      </c>
      <c r="AJ215" s="23">
        <f t="shared" si="482"/>
        <v>6</v>
      </c>
      <c r="AK215" s="22">
        <f t="shared" si="482"/>
        <v>481.99</v>
      </c>
      <c r="AL215" s="23">
        <f t="shared" si="482"/>
        <v>1</v>
      </c>
      <c r="AM215" s="22">
        <f t="shared" si="482"/>
        <v>4334</v>
      </c>
      <c r="AN215" s="23">
        <f t="shared" si="482"/>
        <v>5</v>
      </c>
      <c r="AO215" s="22">
        <f t="shared" si="482"/>
        <v>2122</v>
      </c>
      <c r="AP215" s="23">
        <f t="shared" si="482"/>
        <v>2</v>
      </c>
      <c r="AQ215" s="22">
        <f t="shared" si="482"/>
        <v>18651</v>
      </c>
      <c r="AR215" s="23">
        <f t="shared" si="482"/>
        <v>20</v>
      </c>
      <c r="AS215" s="22">
        <f t="shared" si="482"/>
        <v>19009</v>
      </c>
      <c r="AT215" s="23">
        <f t="shared" si="482"/>
        <v>19</v>
      </c>
      <c r="AU215" s="22">
        <f t="shared" si="482"/>
        <v>35232</v>
      </c>
      <c r="AV215" s="23">
        <f t="shared" si="482"/>
        <v>34</v>
      </c>
      <c r="AW215" s="22">
        <f t="shared" si="482"/>
        <v>36215</v>
      </c>
      <c r="AX215" s="23">
        <f t="shared" si="482"/>
        <v>30</v>
      </c>
      <c r="AY215" s="22">
        <f t="shared" si="482"/>
        <v>35233</v>
      </c>
      <c r="AZ215" s="23">
        <f t="shared" si="482"/>
        <v>22</v>
      </c>
      <c r="BA215" s="22">
        <f t="shared" si="482"/>
        <v>18406</v>
      </c>
      <c r="BB215" s="23">
        <f t="shared" si="482"/>
        <v>42</v>
      </c>
      <c r="BC215" s="22">
        <f t="shared" si="482"/>
        <v>57102</v>
      </c>
      <c r="BD215" s="23">
        <f t="shared" si="482"/>
        <v>44</v>
      </c>
      <c r="BE215" s="22">
        <f t="shared" si="482"/>
        <v>40412</v>
      </c>
      <c r="BF215" s="23">
        <f t="shared" si="482"/>
        <v>27</v>
      </c>
      <c r="BG215" s="22">
        <f t="shared" si="482"/>
        <v>4121</v>
      </c>
      <c r="BH215" s="23">
        <f>BH216-(SUM(BH217:BH218))</f>
        <v>3</v>
      </c>
      <c r="BI215" s="22">
        <f t="shared" si="482"/>
        <v>470</v>
      </c>
      <c r="BJ215" s="23">
        <f t="shared" si="482"/>
        <v>1</v>
      </c>
      <c r="BK215" s="22">
        <f t="shared" si="482"/>
        <v>1</v>
      </c>
      <c r="BL215" s="23">
        <f t="shared" si="482"/>
        <v>0</v>
      </c>
      <c r="BM215" s="22">
        <f t="shared" si="482"/>
        <v>4940</v>
      </c>
      <c r="BN215" s="23">
        <f t="shared" si="482"/>
        <v>3</v>
      </c>
      <c r="BO215" s="22">
        <f t="shared" si="482"/>
        <v>15414</v>
      </c>
      <c r="BP215" s="23">
        <f t="shared" si="482"/>
        <v>8</v>
      </c>
      <c r="BQ215" s="22">
        <f t="shared" si="482"/>
        <v>36806</v>
      </c>
      <c r="BR215" s="81">
        <f t="shared" si="482"/>
        <v>26</v>
      </c>
      <c r="BS215" s="22">
        <f t="shared" si="482"/>
        <v>5050</v>
      </c>
      <c r="BT215" s="23">
        <f t="shared" si="482"/>
        <v>2</v>
      </c>
      <c r="BU215" s="22">
        <f t="shared" si="482"/>
        <v>3211</v>
      </c>
      <c r="BV215" s="23">
        <f t="shared" si="482"/>
        <v>2</v>
      </c>
      <c r="BW215" s="22">
        <f t="shared" si="482"/>
        <v>3751</v>
      </c>
      <c r="BX215" s="23">
        <f t="shared" si="482"/>
        <v>2</v>
      </c>
      <c r="BY215" s="22">
        <f t="shared" si="482"/>
        <v>1092</v>
      </c>
      <c r="BZ215" s="23">
        <f t="shared" si="482"/>
        <v>1</v>
      </c>
      <c r="CA215" s="22">
        <f t="shared" si="482"/>
        <v>3907</v>
      </c>
      <c r="CB215" s="23">
        <f t="shared" si="482"/>
        <v>3</v>
      </c>
      <c r="CC215" s="22">
        <f t="shared" si="482"/>
        <v>10271</v>
      </c>
      <c r="CD215" s="23">
        <f t="shared" si="482"/>
        <v>7</v>
      </c>
      <c r="CE215" s="22">
        <f t="shared" si="482"/>
        <v>29374</v>
      </c>
      <c r="CF215" s="23">
        <f t="shared" si="482"/>
        <v>17</v>
      </c>
      <c r="CG215" s="22">
        <f t="shared" si="482"/>
        <v>18093</v>
      </c>
      <c r="CH215" s="23">
        <f t="shared" si="482"/>
        <v>11</v>
      </c>
      <c r="CI215" s="22">
        <f t="shared" si="482"/>
        <v>26567</v>
      </c>
      <c r="CJ215" s="23">
        <f t="shared" si="482"/>
        <v>16</v>
      </c>
      <c r="CK215" s="22">
        <f t="shared" si="482"/>
        <v>32963</v>
      </c>
      <c r="CL215" s="23">
        <f t="shared" si="482"/>
        <v>18</v>
      </c>
      <c r="CM215" s="22">
        <f t="shared" si="482"/>
        <v>66010</v>
      </c>
      <c r="CN215" s="23">
        <f t="shared" si="482"/>
        <v>49</v>
      </c>
      <c r="CO215" s="22">
        <f t="shared" si="482"/>
        <v>39757</v>
      </c>
      <c r="CP215" s="23">
        <f t="shared" si="482"/>
        <v>32</v>
      </c>
      <c r="CQ215" s="22">
        <f t="shared" si="482"/>
        <v>56183</v>
      </c>
      <c r="CR215" s="23">
        <f t="shared" si="482"/>
        <v>44</v>
      </c>
      <c r="CS215" s="22">
        <f t="shared" si="482"/>
        <v>6513</v>
      </c>
      <c r="CT215" s="23">
        <f t="shared" si="482"/>
        <v>4</v>
      </c>
      <c r="CU215" s="22">
        <f t="shared" si="482"/>
        <v>5660</v>
      </c>
      <c r="CV215" s="23">
        <f t="shared" si="482"/>
        <v>6</v>
      </c>
      <c r="CW215" s="22">
        <f t="shared" si="482"/>
        <v>17215</v>
      </c>
      <c r="CX215" s="23">
        <f t="shared" si="482"/>
        <v>10</v>
      </c>
      <c r="CY215" s="22">
        <f t="shared" si="482"/>
        <v>1241</v>
      </c>
      <c r="CZ215" s="23">
        <f t="shared" si="482"/>
        <v>1</v>
      </c>
      <c r="DA215" s="22">
        <f t="shared" ref="DA215:DB215" si="483">DA216-(SUM(DA217:DA218))</f>
        <v>3584</v>
      </c>
      <c r="DB215" s="23">
        <f t="shared" si="483"/>
        <v>5</v>
      </c>
      <c r="DC215" s="22">
        <f t="shared" ref="DC215:DD215" si="484">DC216-(SUM(DC217:DC218))</f>
        <v>12851.310000000001</v>
      </c>
      <c r="DD215" s="23">
        <f t="shared" si="484"/>
        <v>15</v>
      </c>
      <c r="DE215" s="22">
        <f t="shared" ref="DE215:DF215" si="485">DE216-(SUM(DE217:DE218))</f>
        <v>13456.970000000001</v>
      </c>
      <c r="DF215" s="23">
        <f t="shared" si="485"/>
        <v>6</v>
      </c>
      <c r="DG215" s="22">
        <f t="shared" ref="DG215:DH215" si="486">DG216-(SUM(DG217:DG218))</f>
        <v>29857.440000000002</v>
      </c>
      <c r="DH215" s="23">
        <f t="shared" si="486"/>
        <v>21</v>
      </c>
      <c r="DI215" s="22">
        <f t="shared" ref="DI215:DJ215" si="487">DI216-(SUM(DI217:DI218))</f>
        <v>26480.04</v>
      </c>
      <c r="DJ215" s="23">
        <f t="shared" si="487"/>
        <v>12</v>
      </c>
      <c r="DK215" s="22">
        <f t="shared" ref="DK215:DL215" si="488">DK216-(SUM(DK217:DK218))</f>
        <v>34418.020000000004</v>
      </c>
      <c r="DL215" s="23">
        <f t="shared" si="488"/>
        <v>20</v>
      </c>
      <c r="DM215" s="22">
        <f t="shared" ref="DM215:DN215" si="489">DM216-(SUM(DM217:DM218))</f>
        <v>55368</v>
      </c>
      <c r="DN215" s="23">
        <f t="shared" si="489"/>
        <v>26</v>
      </c>
      <c r="DO215" s="22">
        <f t="shared" ref="DO215:DP215" si="490">DO216-(SUM(DO217:DO218))</f>
        <v>47929.58</v>
      </c>
      <c r="DP215" s="23">
        <f t="shared" si="490"/>
        <v>23</v>
      </c>
      <c r="DQ215" s="22">
        <f>DQ216-(SUM(DQ217:DQ218))</f>
        <v>83625.329999999987</v>
      </c>
      <c r="DR215" s="23">
        <f t="shared" ref="DR215:DT215" si="491">DR216-(SUM(DR217:DR218))</f>
        <v>47</v>
      </c>
      <c r="DS215" s="22">
        <f>DS216-(SUM(DS217:DS218))</f>
        <v>104571.69999999998</v>
      </c>
      <c r="DT215" s="23">
        <f t="shared" si="491"/>
        <v>74</v>
      </c>
      <c r="DU215" s="102" t="s">
        <v>29</v>
      </c>
      <c r="DV215" s="102" t="s">
        <v>29</v>
      </c>
      <c r="DW215" s="102" t="s">
        <v>29</v>
      </c>
      <c r="DX215" s="102" t="s">
        <v>29</v>
      </c>
      <c r="DY215" s="102" t="s">
        <v>29</v>
      </c>
      <c r="DZ215" s="102" t="s">
        <v>29</v>
      </c>
      <c r="EA215" s="102" t="s">
        <v>29</v>
      </c>
      <c r="EB215" s="102" t="s">
        <v>29</v>
      </c>
      <c r="EC215" s="102" t="s">
        <v>29</v>
      </c>
      <c r="ED215" s="102" t="s">
        <v>29</v>
      </c>
      <c r="EE215" s="102" t="s">
        <v>29</v>
      </c>
      <c r="EF215" s="102" t="s">
        <v>29</v>
      </c>
      <c r="EG215" s="102" t="s">
        <v>29</v>
      </c>
      <c r="EH215" s="102" t="s">
        <v>29</v>
      </c>
      <c r="EI215" s="102" t="s">
        <v>29</v>
      </c>
      <c r="EJ215" s="102" t="s">
        <v>29</v>
      </c>
      <c r="EK215" s="102" t="s">
        <v>29</v>
      </c>
      <c r="EL215" s="102" t="s">
        <v>29</v>
      </c>
      <c r="EM215" s="102" t="s">
        <v>29</v>
      </c>
      <c r="EN215" s="22">
        <f>EN216-(SUM(EN217:EN218))</f>
        <v>58073.740000000027</v>
      </c>
      <c r="EO215" s="23">
        <f t="shared" ref="EO215:EQ215" si="492">EO216-(SUM(EO217:EO218))</f>
        <v>56</v>
      </c>
      <c r="EP215" s="22">
        <f>EP216-(SUM(EP217:EP218))</f>
        <v>63543.899800000007</v>
      </c>
      <c r="EQ215" s="23">
        <f t="shared" si="492"/>
        <v>52</v>
      </c>
      <c r="ER215" s="22">
        <f>ER216-(SUM(ER217:ER218))</f>
        <v>80885.49960000001</v>
      </c>
      <c r="ES215" s="23">
        <f t="shared" ref="ES215" si="493">ES216-(SUM(ES217:ES218))</f>
        <v>68</v>
      </c>
      <c r="ET215" s="22">
        <f t="shared" ref="ET215:FO215" si="494">ET216-(SUM(ET217:ET218))</f>
        <v>21479.010000000009</v>
      </c>
      <c r="EU215" s="23">
        <f t="shared" si="494"/>
        <v>14</v>
      </c>
      <c r="EV215" s="22">
        <f t="shared" si="494"/>
        <v>7761.9599999999955</v>
      </c>
      <c r="EW215" s="23">
        <f t="shared" si="494"/>
        <v>8</v>
      </c>
      <c r="EX215" s="22">
        <f t="shared" si="494"/>
        <v>12468.689999999995</v>
      </c>
      <c r="EY215" s="23">
        <f t="shared" si="494"/>
        <v>6</v>
      </c>
      <c r="EZ215" s="22">
        <f t="shared" si="494"/>
        <v>23146.280000000017</v>
      </c>
      <c r="FA215" s="23">
        <f t="shared" si="494"/>
        <v>15</v>
      </c>
      <c r="FB215" s="22">
        <f t="shared" si="494"/>
        <v>24778.2</v>
      </c>
      <c r="FC215" s="23">
        <f t="shared" si="494"/>
        <v>13</v>
      </c>
      <c r="FD215" s="22">
        <f t="shared" si="494"/>
        <v>26786.369999999995</v>
      </c>
      <c r="FE215" s="23">
        <f t="shared" si="494"/>
        <v>13</v>
      </c>
      <c r="FF215" s="22">
        <f t="shared" si="494"/>
        <v>18560.310000000001</v>
      </c>
      <c r="FG215" s="23">
        <f t="shared" si="494"/>
        <v>8</v>
      </c>
      <c r="FH215" s="22">
        <f t="shared" si="494"/>
        <v>19261.489999999991</v>
      </c>
      <c r="FI215" s="23">
        <f t="shared" si="494"/>
        <v>10</v>
      </c>
      <c r="FJ215" s="22">
        <f t="shared" si="494"/>
        <v>24827.760000000002</v>
      </c>
      <c r="FK215" s="23">
        <f t="shared" si="494"/>
        <v>16</v>
      </c>
      <c r="FL215" s="22">
        <f t="shared" si="494"/>
        <v>35475.620000000003</v>
      </c>
      <c r="FM215" s="23">
        <f t="shared" si="494"/>
        <v>20</v>
      </c>
      <c r="FN215" s="22">
        <f t="shared" si="494"/>
        <v>26833.45</v>
      </c>
      <c r="FO215" s="23">
        <f t="shared" si="494"/>
        <v>20</v>
      </c>
      <c r="FP215" s="22">
        <f>FP216-(SUM(FP217:FP218))</f>
        <v>33178.799999999996</v>
      </c>
      <c r="FQ215" s="23">
        <f t="shared" ref="FQ215" si="495">FQ216-(SUM(FQ217:FQ218))</f>
        <v>23</v>
      </c>
      <c r="FR215" s="102" t="s">
        <v>29</v>
      </c>
      <c r="FS215" s="102" t="s">
        <v>29</v>
      </c>
      <c r="FT215" s="102" t="s">
        <v>29</v>
      </c>
      <c r="FU215" s="102" t="s">
        <v>29</v>
      </c>
      <c r="FV215" s="102" t="s">
        <v>29</v>
      </c>
      <c r="FW215" s="102" t="s">
        <v>29</v>
      </c>
      <c r="FX215" s="102" t="s">
        <v>29</v>
      </c>
      <c r="FY215" s="102" t="s">
        <v>29</v>
      </c>
      <c r="FZ215" s="102" t="s">
        <v>29</v>
      </c>
      <c r="GA215" s="102" t="s">
        <v>29</v>
      </c>
      <c r="GB215" s="102" t="s">
        <v>29</v>
      </c>
      <c r="GC215" s="102" t="s">
        <v>29</v>
      </c>
      <c r="GD215" s="102" t="s">
        <v>29</v>
      </c>
      <c r="GE215" s="324"/>
      <c r="GF215" s="326"/>
      <c r="GG215" s="326"/>
    </row>
    <row r="216" spans="1:189" ht="15" customHeight="1" outlineLevel="2" x14ac:dyDescent="0.3">
      <c r="A216" s="1"/>
      <c r="B216" s="301"/>
      <c r="C216" s="301"/>
      <c r="D216" s="301"/>
      <c r="E216" s="301"/>
      <c r="F216" s="301"/>
      <c r="G216" s="5" t="s">
        <v>171</v>
      </c>
      <c r="H216" s="5"/>
      <c r="I216" s="23">
        <f t="shared" ref="I216:J216" si="496">AG216+AE216+AC216+AA216+Y216+W216+U216+S216+O216+M216+K216</f>
        <v>348747.20000000007</v>
      </c>
      <c r="J216" s="23">
        <f t="shared" si="496"/>
        <v>306</v>
      </c>
      <c r="K216" s="22">
        <v>7788.32</v>
      </c>
      <c r="L216" s="23">
        <v>7</v>
      </c>
      <c r="M216" s="22">
        <v>32870.43</v>
      </c>
      <c r="N216" s="23">
        <v>25</v>
      </c>
      <c r="O216" s="22">
        <v>26945.020000000004</v>
      </c>
      <c r="P216" s="23">
        <v>25</v>
      </c>
      <c r="Q216" s="22">
        <v>24411.720000000005</v>
      </c>
      <c r="R216" s="23">
        <v>24</v>
      </c>
      <c r="S216" s="22">
        <v>26027.73000000001</v>
      </c>
      <c r="T216" s="23">
        <v>27</v>
      </c>
      <c r="U216" s="22">
        <v>32517.110000000008</v>
      </c>
      <c r="V216" s="23">
        <v>28</v>
      </c>
      <c r="W216" s="22">
        <v>71562.700000000012</v>
      </c>
      <c r="X216" s="23">
        <v>53</v>
      </c>
      <c r="Y216" s="22">
        <v>35061.29</v>
      </c>
      <c r="Z216" s="23">
        <v>37</v>
      </c>
      <c r="AA216" s="22">
        <v>28099</v>
      </c>
      <c r="AB216" s="23">
        <v>27</v>
      </c>
      <c r="AC216" s="22">
        <v>34418</v>
      </c>
      <c r="AD216" s="23">
        <v>27</v>
      </c>
      <c r="AE216" s="22">
        <v>28476</v>
      </c>
      <c r="AF216" s="23">
        <v>28</v>
      </c>
      <c r="AG216" s="22">
        <v>24981.599999999999</v>
      </c>
      <c r="AH216" s="23">
        <v>22</v>
      </c>
      <c r="AI216" s="22">
        <v>37312.120000000003</v>
      </c>
      <c r="AJ216" s="23">
        <v>33</v>
      </c>
      <c r="AK216" s="22">
        <v>481.99</v>
      </c>
      <c r="AL216" s="23">
        <v>1</v>
      </c>
      <c r="AM216" s="22">
        <v>11834</v>
      </c>
      <c r="AN216" s="23">
        <v>17</v>
      </c>
      <c r="AO216" s="22">
        <v>15703</v>
      </c>
      <c r="AP216" s="23">
        <v>13</v>
      </c>
      <c r="AQ216" s="22">
        <v>51123</v>
      </c>
      <c r="AR216" s="23">
        <v>47</v>
      </c>
      <c r="AS216" s="22">
        <v>48206</v>
      </c>
      <c r="AT216" s="23">
        <v>47</v>
      </c>
      <c r="AU216" s="22">
        <v>76779</v>
      </c>
      <c r="AV216" s="23">
        <v>61</v>
      </c>
      <c r="AW216" s="22">
        <v>52755</v>
      </c>
      <c r="AX216" s="23">
        <v>45</v>
      </c>
      <c r="AY216" s="22">
        <v>77220</v>
      </c>
      <c r="AZ216" s="23">
        <v>57</v>
      </c>
      <c r="BA216" s="22">
        <v>32779</v>
      </c>
      <c r="BB216" s="23">
        <v>58</v>
      </c>
      <c r="BC216" s="22">
        <v>85488</v>
      </c>
      <c r="BD216" s="23">
        <v>66</v>
      </c>
      <c r="BE216" s="22">
        <v>120023</v>
      </c>
      <c r="BF216" s="23">
        <v>80</v>
      </c>
      <c r="BG216" s="22">
        <v>80998</v>
      </c>
      <c r="BH216" s="23">
        <v>47</v>
      </c>
      <c r="BI216" s="22">
        <v>47882</v>
      </c>
      <c r="BJ216" s="23">
        <v>28</v>
      </c>
      <c r="BK216" s="22">
        <v>61941</v>
      </c>
      <c r="BL216" s="23">
        <v>39</v>
      </c>
      <c r="BM216" s="22">
        <v>97446</v>
      </c>
      <c r="BN216" s="23">
        <v>54</v>
      </c>
      <c r="BO216" s="22">
        <v>97377</v>
      </c>
      <c r="BP216" s="23">
        <v>60</v>
      </c>
      <c r="BQ216" s="22">
        <v>150618</v>
      </c>
      <c r="BR216" s="23">
        <v>94</v>
      </c>
      <c r="BS216" s="22">
        <v>75446</v>
      </c>
      <c r="BT216" s="23">
        <v>49</v>
      </c>
      <c r="BU216" s="22">
        <v>57529</v>
      </c>
      <c r="BV216" s="23">
        <v>33</v>
      </c>
      <c r="BW216" s="22">
        <v>14664</v>
      </c>
      <c r="BX216" s="23">
        <v>8</v>
      </c>
      <c r="BY216" s="22">
        <v>11698</v>
      </c>
      <c r="BZ216" s="23">
        <v>7</v>
      </c>
      <c r="CA216" s="22">
        <v>17721</v>
      </c>
      <c r="CB216" s="23">
        <v>12</v>
      </c>
      <c r="CC216" s="22">
        <v>49958</v>
      </c>
      <c r="CD216" s="23">
        <v>29</v>
      </c>
      <c r="CE216" s="22">
        <v>128064</v>
      </c>
      <c r="CF216" s="23">
        <v>76</v>
      </c>
      <c r="CG216" s="22">
        <v>65558</v>
      </c>
      <c r="CH216" s="23">
        <v>30</v>
      </c>
      <c r="CI216" s="22">
        <v>69556</v>
      </c>
      <c r="CJ216" s="23">
        <v>38</v>
      </c>
      <c r="CK216" s="22">
        <v>108157</v>
      </c>
      <c r="CL216" s="23">
        <v>52</v>
      </c>
      <c r="CM216" s="22">
        <v>102565</v>
      </c>
      <c r="CN216" s="23">
        <v>74</v>
      </c>
      <c r="CO216" s="22">
        <v>63953</v>
      </c>
      <c r="CP216" s="23">
        <v>49</v>
      </c>
      <c r="CQ216" s="22">
        <v>126338</v>
      </c>
      <c r="CR216" s="23">
        <v>100</v>
      </c>
      <c r="CS216" s="22">
        <v>12580</v>
      </c>
      <c r="CT216" s="23">
        <v>8</v>
      </c>
      <c r="CU216" s="22">
        <v>11738</v>
      </c>
      <c r="CV216" s="23">
        <v>10</v>
      </c>
      <c r="CW216" s="22">
        <v>20406</v>
      </c>
      <c r="CX216" s="23">
        <v>12</v>
      </c>
      <c r="CY216" s="22">
        <v>1241</v>
      </c>
      <c r="CZ216" s="23">
        <v>1</v>
      </c>
      <c r="DA216" s="22">
        <v>8765</v>
      </c>
      <c r="DB216" s="23">
        <v>7</v>
      </c>
      <c r="DC216" s="22">
        <v>19575</v>
      </c>
      <c r="DD216" s="23">
        <v>19</v>
      </c>
      <c r="DE216" s="22">
        <v>19058</v>
      </c>
      <c r="DF216" s="23">
        <v>10</v>
      </c>
      <c r="DG216" s="22">
        <v>159967.16999999995</v>
      </c>
      <c r="DH216" s="23">
        <v>119</v>
      </c>
      <c r="DI216" s="22">
        <v>39236</v>
      </c>
      <c r="DJ216" s="23">
        <v>25</v>
      </c>
      <c r="DK216" s="22">
        <v>67159.19</v>
      </c>
      <c r="DL216" s="23">
        <v>44</v>
      </c>
      <c r="DM216" s="22">
        <v>91865.260000000009</v>
      </c>
      <c r="DN216" s="23">
        <v>47</v>
      </c>
      <c r="DO216" s="22">
        <v>83537.22</v>
      </c>
      <c r="DP216" s="23">
        <v>45</v>
      </c>
      <c r="DQ216" s="22">
        <v>112310.10999999999</v>
      </c>
      <c r="DR216" s="23">
        <v>71</v>
      </c>
      <c r="DS216" s="22">
        <v>123562.84999999998</v>
      </c>
      <c r="DT216" s="23">
        <v>89</v>
      </c>
      <c r="DU216" s="102"/>
      <c r="DV216" s="102"/>
      <c r="DW216" s="102"/>
      <c r="DX216" s="102"/>
      <c r="DY216" s="102"/>
      <c r="DZ216" s="102"/>
      <c r="EA216" s="102"/>
      <c r="EB216" s="102"/>
      <c r="EC216" s="102"/>
      <c r="ED216" s="102"/>
      <c r="EE216" s="102"/>
      <c r="EF216" s="102"/>
      <c r="EG216" s="102"/>
      <c r="EH216" s="102"/>
      <c r="EI216" s="102"/>
      <c r="EJ216" s="102"/>
      <c r="EK216" s="102"/>
      <c r="EL216" s="102"/>
      <c r="EM216" s="102"/>
      <c r="EN216" s="22">
        <v>61803.210000000028</v>
      </c>
      <c r="EO216" s="23">
        <v>61</v>
      </c>
      <c r="EP216" s="22">
        <v>77244.929700000008</v>
      </c>
      <c r="EQ216" s="23">
        <v>60</v>
      </c>
      <c r="ER216" s="22">
        <v>94554.439400000003</v>
      </c>
      <c r="ES216" s="23">
        <v>78</v>
      </c>
      <c r="ET216" s="22">
        <v>33770.080000000009</v>
      </c>
      <c r="EU216" s="23">
        <v>23</v>
      </c>
      <c r="EV216" s="22">
        <v>28233.909999999996</v>
      </c>
      <c r="EW216" s="23">
        <v>17</v>
      </c>
      <c r="EX216" s="22">
        <v>50453.26999999999</v>
      </c>
      <c r="EY216" s="23">
        <v>28</v>
      </c>
      <c r="EZ216" s="22">
        <v>45387.110000000015</v>
      </c>
      <c r="FA216" s="23">
        <v>32</v>
      </c>
      <c r="FB216" s="22">
        <v>31907.09</v>
      </c>
      <c r="FC216" s="23">
        <v>17</v>
      </c>
      <c r="FD216" s="22">
        <v>35636.31</v>
      </c>
      <c r="FE216" s="23">
        <v>19</v>
      </c>
      <c r="FF216" s="22">
        <v>48050.869999999995</v>
      </c>
      <c r="FG216" s="23">
        <v>24</v>
      </c>
      <c r="FH216" s="22">
        <v>45326.709999999992</v>
      </c>
      <c r="FI216" s="23">
        <v>21</v>
      </c>
      <c r="FJ216" s="22">
        <v>76475.55</v>
      </c>
      <c r="FK216" s="23">
        <v>53</v>
      </c>
      <c r="FL216" s="22">
        <v>37835.58</v>
      </c>
      <c r="FM216" s="23">
        <v>23</v>
      </c>
      <c r="FN216" s="22">
        <v>31385.06</v>
      </c>
      <c r="FO216" s="23">
        <v>23</v>
      </c>
      <c r="FP216" s="22">
        <v>35406.019999999997</v>
      </c>
      <c r="FQ216" s="23">
        <v>24</v>
      </c>
      <c r="FR216" s="102"/>
      <c r="FS216" s="102"/>
      <c r="FT216" s="102"/>
      <c r="FU216" s="102"/>
      <c r="FV216" s="102"/>
      <c r="FW216" s="102"/>
      <c r="FX216" s="102"/>
      <c r="FY216" s="102"/>
      <c r="FZ216" s="102"/>
      <c r="GA216" s="102"/>
      <c r="GB216" s="102"/>
      <c r="GC216" s="102"/>
      <c r="GD216" s="102"/>
      <c r="GE216" s="324"/>
      <c r="GF216" s="326"/>
      <c r="GG216" s="326"/>
    </row>
    <row r="217" spans="1:189" ht="15" customHeight="1" outlineLevel="2" x14ac:dyDescent="0.3">
      <c r="A217" s="1"/>
      <c r="B217" s="301"/>
      <c r="C217" s="301"/>
      <c r="D217" s="301"/>
      <c r="E217" s="301"/>
      <c r="F217" s="301"/>
      <c r="G217" s="5" t="s">
        <v>172</v>
      </c>
      <c r="H217" s="5"/>
      <c r="I217" s="23">
        <f t="shared" ref="I217:J217" si="497">AG217+AE217+AC217+AA217+Y217+W217+U217+S217+O217+M217+K217</f>
        <v>192993.02000000002</v>
      </c>
      <c r="J217" s="23">
        <f t="shared" si="497"/>
        <v>156</v>
      </c>
      <c r="K217" s="22">
        <v>4380.32</v>
      </c>
      <c r="L217" s="23">
        <v>4</v>
      </c>
      <c r="M217" s="22">
        <v>14527.219999999998</v>
      </c>
      <c r="N217" s="23">
        <v>12</v>
      </c>
      <c r="O217" s="22">
        <v>11056.749999999998</v>
      </c>
      <c r="P217" s="23">
        <v>7</v>
      </c>
      <c r="Q217" s="22">
        <v>15010.869999999999</v>
      </c>
      <c r="R217" s="23">
        <v>15</v>
      </c>
      <c r="S217" s="22">
        <v>19675.13</v>
      </c>
      <c r="T217" s="23">
        <v>20</v>
      </c>
      <c r="U217" s="22">
        <v>24533.600000000006</v>
      </c>
      <c r="V217" s="23">
        <v>19</v>
      </c>
      <c r="W217" s="22">
        <v>47220.800000000003</v>
      </c>
      <c r="X217" s="23">
        <v>37</v>
      </c>
      <c r="Y217" s="22">
        <v>25080.2</v>
      </c>
      <c r="Z217" s="23">
        <v>23</v>
      </c>
      <c r="AA217" s="22">
        <v>13242</v>
      </c>
      <c r="AB217" s="23">
        <v>14</v>
      </c>
      <c r="AC217" s="22">
        <v>19393</v>
      </c>
      <c r="AD217" s="23">
        <v>10</v>
      </c>
      <c r="AE217" s="22">
        <v>9891</v>
      </c>
      <c r="AF217" s="23">
        <v>6</v>
      </c>
      <c r="AG217" s="22">
        <v>3993</v>
      </c>
      <c r="AH217" s="23">
        <v>4</v>
      </c>
      <c r="AI217" s="22">
        <v>11793.33</v>
      </c>
      <c r="AJ217" s="23">
        <v>12</v>
      </c>
      <c r="AK217" s="22">
        <v>0</v>
      </c>
      <c r="AL217" s="23">
        <v>0</v>
      </c>
      <c r="AM217" s="22">
        <v>2424</v>
      </c>
      <c r="AN217" s="23">
        <v>3</v>
      </c>
      <c r="AO217" s="22">
        <v>6137</v>
      </c>
      <c r="AP217" s="23">
        <v>6</v>
      </c>
      <c r="AQ217" s="22">
        <v>18408</v>
      </c>
      <c r="AR217" s="23">
        <v>12</v>
      </c>
      <c r="AS217" s="22">
        <v>11171</v>
      </c>
      <c r="AT217" s="23">
        <v>11</v>
      </c>
      <c r="AU217" s="22">
        <v>9728</v>
      </c>
      <c r="AV217" s="23">
        <v>8</v>
      </c>
      <c r="AW217" s="22">
        <v>5156</v>
      </c>
      <c r="AX217" s="23">
        <v>4</v>
      </c>
      <c r="AY217" s="22">
        <f>10034+485</f>
        <v>10519</v>
      </c>
      <c r="AZ217" s="23">
        <f>11+1</f>
        <v>12</v>
      </c>
      <c r="BA217" s="22">
        <v>5315</v>
      </c>
      <c r="BB217" s="23">
        <v>7</v>
      </c>
      <c r="BC217" s="22">
        <v>3115</v>
      </c>
      <c r="BD217" s="23">
        <v>3</v>
      </c>
      <c r="BE217" s="22">
        <v>67688</v>
      </c>
      <c r="BF217" s="23">
        <v>45</v>
      </c>
      <c r="BG217" s="22">
        <v>42876</v>
      </c>
      <c r="BH217" s="23">
        <v>26</v>
      </c>
      <c r="BI217" s="22">
        <v>34502</v>
      </c>
      <c r="BJ217" s="23">
        <v>19</v>
      </c>
      <c r="BK217" s="22">
        <v>25496</v>
      </c>
      <c r="BL217" s="23">
        <v>14</v>
      </c>
      <c r="BM217" s="22">
        <v>49219</v>
      </c>
      <c r="BN217" s="23">
        <v>25</v>
      </c>
      <c r="BO217" s="22">
        <v>60238</v>
      </c>
      <c r="BP217" s="23">
        <v>35</v>
      </c>
      <c r="BQ217" s="103">
        <v>64930</v>
      </c>
      <c r="BR217" s="28">
        <v>36</v>
      </c>
      <c r="BS217" s="22">
        <v>56942</v>
      </c>
      <c r="BT217" s="23">
        <v>40</v>
      </c>
      <c r="BU217" s="22">
        <v>48610</v>
      </c>
      <c r="BV217" s="23">
        <v>27</v>
      </c>
      <c r="BW217" s="22">
        <v>2856</v>
      </c>
      <c r="BX217" s="23">
        <v>2</v>
      </c>
      <c r="BY217" s="22">
        <v>8438</v>
      </c>
      <c r="BZ217" s="23">
        <v>4</v>
      </c>
      <c r="CA217" s="22">
        <v>2606</v>
      </c>
      <c r="CB217" s="23">
        <v>3</v>
      </c>
      <c r="CC217" s="104">
        <v>7158</v>
      </c>
      <c r="CD217" s="81">
        <v>4</v>
      </c>
      <c r="CE217" s="22">
        <v>46682</v>
      </c>
      <c r="CF217" s="23">
        <v>26</v>
      </c>
      <c r="CG217" s="22">
        <v>12058</v>
      </c>
      <c r="CH217" s="23">
        <v>6</v>
      </c>
      <c r="CI217" s="22">
        <v>16268</v>
      </c>
      <c r="CJ217" s="23">
        <v>8</v>
      </c>
      <c r="CK217" s="22">
        <v>12783</v>
      </c>
      <c r="CL217" s="23">
        <v>6</v>
      </c>
      <c r="CM217" s="22">
        <v>1994</v>
      </c>
      <c r="CN217" s="23">
        <v>3</v>
      </c>
      <c r="CO217" s="22">
        <v>10846</v>
      </c>
      <c r="CP217" s="23">
        <v>10</v>
      </c>
      <c r="CQ217" s="22">
        <v>12088</v>
      </c>
      <c r="CR217" s="23">
        <v>9</v>
      </c>
      <c r="CS217" s="22">
        <v>2523</v>
      </c>
      <c r="CT217" s="23">
        <v>1</v>
      </c>
      <c r="CU217" s="22">
        <v>0</v>
      </c>
      <c r="CV217" s="23">
        <v>0</v>
      </c>
      <c r="CW217" s="104">
        <v>3191</v>
      </c>
      <c r="CX217" s="81">
        <v>2</v>
      </c>
      <c r="CY217" s="104">
        <v>0</v>
      </c>
      <c r="CZ217" s="81">
        <v>0</v>
      </c>
      <c r="DA217" s="104">
        <v>4069</v>
      </c>
      <c r="DB217" s="81">
        <v>1</v>
      </c>
      <c r="DC217" s="22">
        <v>0</v>
      </c>
      <c r="DD217" s="23">
        <v>0</v>
      </c>
      <c r="DE217" s="22">
        <v>0</v>
      </c>
      <c r="DF217" s="23">
        <v>0</v>
      </c>
      <c r="DG217" s="22">
        <v>1465.19</v>
      </c>
      <c r="DH217" s="23">
        <v>1</v>
      </c>
      <c r="DI217" s="22">
        <v>1945.3000000000002</v>
      </c>
      <c r="DJ217" s="23">
        <v>2</v>
      </c>
      <c r="DK217" s="22">
        <v>2221.89</v>
      </c>
      <c r="DL217" s="23">
        <v>1</v>
      </c>
      <c r="DM217" s="22">
        <v>0</v>
      </c>
      <c r="DN217" s="23">
        <v>0</v>
      </c>
      <c r="DO217" s="22">
        <v>0</v>
      </c>
      <c r="DP217" s="23">
        <v>0</v>
      </c>
      <c r="DQ217" s="104">
        <v>4818.76</v>
      </c>
      <c r="DR217" s="81">
        <v>3</v>
      </c>
      <c r="DS217" s="104">
        <v>5556.05</v>
      </c>
      <c r="DT217" s="81">
        <v>5</v>
      </c>
      <c r="DU217" s="102"/>
      <c r="DV217" s="102"/>
      <c r="DW217" s="102"/>
      <c r="DX217" s="102"/>
      <c r="DY217" s="102"/>
      <c r="DZ217" s="102"/>
      <c r="EA217" s="102"/>
      <c r="EB217" s="102"/>
      <c r="EC217" s="102"/>
      <c r="ED217" s="102"/>
      <c r="EE217" s="102"/>
      <c r="EF217" s="102"/>
      <c r="EG217" s="102"/>
      <c r="EH217" s="102"/>
      <c r="EI217" s="102"/>
      <c r="EJ217" s="102"/>
      <c r="EK217" s="102"/>
      <c r="EL217" s="102"/>
      <c r="EM217" s="102"/>
      <c r="EN217" s="104">
        <v>2130.4700000000003</v>
      </c>
      <c r="EO217" s="81">
        <v>4</v>
      </c>
      <c r="EP217" s="104">
        <v>10851.5599</v>
      </c>
      <c r="EQ217" s="81">
        <v>4</v>
      </c>
      <c r="ER217" s="104">
        <v>8040.089899999999</v>
      </c>
      <c r="ES217" s="81">
        <v>7</v>
      </c>
      <c r="ET217" s="104">
        <v>12012.07</v>
      </c>
      <c r="EU217" s="81">
        <v>8</v>
      </c>
      <c r="EV217" s="104">
        <v>20471.95</v>
      </c>
      <c r="EW217" s="81">
        <v>9</v>
      </c>
      <c r="EX217" s="104">
        <v>36766.619999999995</v>
      </c>
      <c r="EY217" s="81">
        <v>21</v>
      </c>
      <c r="EZ217" s="104">
        <v>19382.64</v>
      </c>
      <c r="FA217" s="81">
        <v>14</v>
      </c>
      <c r="FB217" s="104">
        <v>1819</v>
      </c>
      <c r="FC217" s="81">
        <v>1</v>
      </c>
      <c r="FD217" s="104">
        <v>789</v>
      </c>
      <c r="FE217" s="81">
        <v>1</v>
      </c>
      <c r="FF217" s="104">
        <v>27941.559999999994</v>
      </c>
      <c r="FG217" s="81">
        <v>15</v>
      </c>
      <c r="FH217" s="104">
        <v>15699.01</v>
      </c>
      <c r="FI217" s="81">
        <v>7</v>
      </c>
      <c r="FJ217" s="104">
        <v>41142.26</v>
      </c>
      <c r="FK217" s="81">
        <v>30</v>
      </c>
      <c r="FL217" s="104">
        <v>1920.7599999999998</v>
      </c>
      <c r="FM217" s="81">
        <v>2</v>
      </c>
      <c r="FN217" s="104">
        <v>4551.6100000000006</v>
      </c>
      <c r="FO217" s="81">
        <v>3</v>
      </c>
      <c r="FP217" s="104">
        <v>2227.2199999999998</v>
      </c>
      <c r="FQ217" s="81">
        <v>1</v>
      </c>
      <c r="FR217" s="102"/>
      <c r="FS217" s="102"/>
      <c r="FT217" s="102"/>
      <c r="FU217" s="102"/>
      <c r="FV217" s="102"/>
      <c r="FW217" s="102"/>
      <c r="FX217" s="102"/>
      <c r="FY217" s="102"/>
      <c r="FZ217" s="102"/>
      <c r="GA217" s="102"/>
      <c r="GB217" s="102"/>
      <c r="GC217" s="102"/>
      <c r="GD217" s="102"/>
      <c r="GE217" s="324"/>
      <c r="GF217" s="326"/>
      <c r="GG217" s="326"/>
    </row>
    <row r="218" spans="1:189" ht="15" customHeight="1" outlineLevel="2" x14ac:dyDescent="0.3">
      <c r="A218" s="1"/>
      <c r="B218" s="301"/>
      <c r="C218" s="301"/>
      <c r="D218" s="301"/>
      <c r="E218" s="302"/>
      <c r="F218" s="302"/>
      <c r="G218" s="5" t="s">
        <v>173</v>
      </c>
      <c r="H218" s="5"/>
      <c r="I218" s="23">
        <f t="shared" ref="I218:J218" si="498">AG218+AE218+AC218+AA218+Y218+W218+U218+S218+O218+M218+K218</f>
        <v>74961.48</v>
      </c>
      <c r="J218" s="23">
        <f t="shared" si="498"/>
        <v>65</v>
      </c>
      <c r="K218" s="22">
        <v>3408</v>
      </c>
      <c r="L218" s="23">
        <v>3</v>
      </c>
      <c r="M218" s="22">
        <v>8570.41</v>
      </c>
      <c r="N218" s="23">
        <v>5</v>
      </c>
      <c r="O218" s="22">
        <v>4938.57</v>
      </c>
      <c r="P218" s="23">
        <v>7</v>
      </c>
      <c r="Q218" s="22">
        <v>3950.7000000000003</v>
      </c>
      <c r="R218" s="23">
        <v>5</v>
      </c>
      <c r="S218" s="22">
        <v>2465.7000000000003</v>
      </c>
      <c r="T218" s="23">
        <v>4</v>
      </c>
      <c r="U218" s="22">
        <v>5382.5099999999993</v>
      </c>
      <c r="V218" s="23">
        <v>5</v>
      </c>
      <c r="W218" s="22">
        <v>15871.2</v>
      </c>
      <c r="X218" s="23">
        <v>7</v>
      </c>
      <c r="Y218" s="22">
        <v>1711.09</v>
      </c>
      <c r="Z218" s="23">
        <v>3</v>
      </c>
      <c r="AA218" s="22">
        <v>4621</v>
      </c>
      <c r="AB218" s="23">
        <v>4</v>
      </c>
      <c r="AC218" s="22">
        <v>4589</v>
      </c>
      <c r="AD218" s="23">
        <v>5</v>
      </c>
      <c r="AE218" s="22">
        <v>6786</v>
      </c>
      <c r="AF218" s="23">
        <v>10</v>
      </c>
      <c r="AG218" s="22">
        <v>16618</v>
      </c>
      <c r="AH218" s="23">
        <v>12</v>
      </c>
      <c r="AI218" s="22">
        <v>17301.75</v>
      </c>
      <c r="AJ218" s="23">
        <v>15</v>
      </c>
      <c r="AK218" s="22">
        <v>0</v>
      </c>
      <c r="AL218" s="23">
        <v>0</v>
      </c>
      <c r="AM218" s="22">
        <v>5076</v>
      </c>
      <c r="AN218" s="23">
        <v>9</v>
      </c>
      <c r="AO218" s="22">
        <v>7444</v>
      </c>
      <c r="AP218" s="23">
        <v>5</v>
      </c>
      <c r="AQ218" s="22">
        <v>14064</v>
      </c>
      <c r="AR218" s="23">
        <v>15</v>
      </c>
      <c r="AS218" s="22">
        <v>18026</v>
      </c>
      <c r="AT218" s="23">
        <v>17</v>
      </c>
      <c r="AU218" s="22">
        <v>31819</v>
      </c>
      <c r="AV218" s="23">
        <v>19</v>
      </c>
      <c r="AW218" s="22">
        <v>11384</v>
      </c>
      <c r="AX218" s="23">
        <v>11</v>
      </c>
      <c r="AY218" s="22">
        <v>31468</v>
      </c>
      <c r="AZ218" s="23">
        <v>23</v>
      </c>
      <c r="BA218" s="22">
        <v>9058</v>
      </c>
      <c r="BB218" s="23">
        <v>9</v>
      </c>
      <c r="BC218" s="22">
        <v>25271</v>
      </c>
      <c r="BD218" s="23">
        <v>19</v>
      </c>
      <c r="BE218" s="22">
        <v>11923</v>
      </c>
      <c r="BF218" s="23">
        <v>8</v>
      </c>
      <c r="BG218" s="22">
        <v>34001</v>
      </c>
      <c r="BH218" s="23">
        <v>18</v>
      </c>
      <c r="BI218" s="22">
        <v>12910</v>
      </c>
      <c r="BJ218" s="23">
        <v>8</v>
      </c>
      <c r="BK218" s="22">
        <v>36444</v>
      </c>
      <c r="BL218" s="23">
        <v>25</v>
      </c>
      <c r="BM218" s="22">
        <v>43287</v>
      </c>
      <c r="BN218" s="23">
        <v>26</v>
      </c>
      <c r="BO218" s="22">
        <v>21725</v>
      </c>
      <c r="BP218" s="23">
        <v>17</v>
      </c>
      <c r="BQ218" s="22">
        <v>48882</v>
      </c>
      <c r="BR218" s="23">
        <v>32</v>
      </c>
      <c r="BS218" s="22">
        <v>13454</v>
      </c>
      <c r="BT218" s="23">
        <v>7</v>
      </c>
      <c r="BU218" s="22">
        <v>5708</v>
      </c>
      <c r="BV218" s="23">
        <v>4</v>
      </c>
      <c r="BW218" s="22">
        <v>8057</v>
      </c>
      <c r="BX218" s="23">
        <v>4</v>
      </c>
      <c r="BY218" s="22">
        <v>2168</v>
      </c>
      <c r="BZ218" s="23">
        <v>2</v>
      </c>
      <c r="CA218" s="22">
        <v>11208</v>
      </c>
      <c r="CB218" s="23">
        <v>6</v>
      </c>
      <c r="CC218" s="104">
        <v>32529</v>
      </c>
      <c r="CD218" s="81">
        <v>18</v>
      </c>
      <c r="CE218" s="22">
        <v>52008</v>
      </c>
      <c r="CF218" s="23">
        <v>33</v>
      </c>
      <c r="CG218" s="22">
        <v>35407</v>
      </c>
      <c r="CH218" s="23">
        <v>13</v>
      </c>
      <c r="CI218" s="22">
        <v>26721</v>
      </c>
      <c r="CJ218" s="23">
        <v>14</v>
      </c>
      <c r="CK218" s="22">
        <v>62411</v>
      </c>
      <c r="CL218" s="23">
        <v>28</v>
      </c>
      <c r="CM218" s="22">
        <v>34561</v>
      </c>
      <c r="CN218" s="23">
        <v>22</v>
      </c>
      <c r="CO218" s="22">
        <v>13350</v>
      </c>
      <c r="CP218" s="23">
        <v>7</v>
      </c>
      <c r="CQ218" s="22">
        <v>58067</v>
      </c>
      <c r="CR218" s="23">
        <v>47</v>
      </c>
      <c r="CS218" s="22">
        <v>3544</v>
      </c>
      <c r="CT218" s="23">
        <v>3</v>
      </c>
      <c r="CU218" s="22">
        <v>6078</v>
      </c>
      <c r="CV218" s="23">
        <v>4</v>
      </c>
      <c r="CW218" s="104">
        <v>0</v>
      </c>
      <c r="CX218" s="81">
        <v>0</v>
      </c>
      <c r="CY218" s="104">
        <v>0</v>
      </c>
      <c r="CZ218" s="81">
        <v>0</v>
      </c>
      <c r="DA218" s="104">
        <v>1112</v>
      </c>
      <c r="DB218" s="81">
        <v>1</v>
      </c>
      <c r="DC218" s="22">
        <v>6723.6899999999987</v>
      </c>
      <c r="DD218" s="23">
        <v>4</v>
      </c>
      <c r="DE218" s="22">
        <v>5601.03</v>
      </c>
      <c r="DF218" s="23">
        <v>4</v>
      </c>
      <c r="DG218" s="22">
        <v>128644.53999999995</v>
      </c>
      <c r="DH218" s="23">
        <v>97</v>
      </c>
      <c r="DI218" s="22">
        <v>10810.66</v>
      </c>
      <c r="DJ218" s="23">
        <v>11</v>
      </c>
      <c r="DK218" s="22">
        <v>30519.279999999999</v>
      </c>
      <c r="DL218" s="23">
        <v>23</v>
      </c>
      <c r="DM218" s="22">
        <v>36497.260000000009</v>
      </c>
      <c r="DN218" s="23">
        <v>21</v>
      </c>
      <c r="DO218" s="22">
        <v>35607.64</v>
      </c>
      <c r="DP218" s="23">
        <v>22</v>
      </c>
      <c r="DQ218" s="104">
        <v>23866.02</v>
      </c>
      <c r="DR218" s="81">
        <v>21</v>
      </c>
      <c r="DS218" s="104">
        <v>13435.1</v>
      </c>
      <c r="DT218" s="81">
        <v>10</v>
      </c>
      <c r="DU218" s="102"/>
      <c r="DV218" s="102"/>
      <c r="DW218" s="102"/>
      <c r="DX218" s="102"/>
      <c r="DY218" s="102"/>
      <c r="DZ218" s="102"/>
      <c r="EA218" s="102"/>
      <c r="EB218" s="102"/>
      <c r="EC218" s="102"/>
      <c r="ED218" s="102"/>
      <c r="EE218" s="102"/>
      <c r="EF218" s="102"/>
      <c r="EG218" s="102"/>
      <c r="EH218" s="102"/>
      <c r="EI218" s="102"/>
      <c r="EJ218" s="102"/>
      <c r="EK218" s="102"/>
      <c r="EL218" s="102"/>
      <c r="EM218" s="102"/>
      <c r="EN218" s="104">
        <v>1599</v>
      </c>
      <c r="EO218" s="81">
        <v>1</v>
      </c>
      <c r="EP218" s="104">
        <v>2849.4700000000003</v>
      </c>
      <c r="EQ218" s="81">
        <v>4</v>
      </c>
      <c r="ER218" s="104">
        <v>5628.8498999999993</v>
      </c>
      <c r="ES218" s="81">
        <v>3</v>
      </c>
      <c r="ET218" s="104">
        <v>279</v>
      </c>
      <c r="EU218" s="81">
        <v>1</v>
      </c>
      <c r="EV218" s="104">
        <v>0</v>
      </c>
      <c r="EW218" s="81">
        <v>0</v>
      </c>
      <c r="EX218" s="104">
        <v>1217.96</v>
      </c>
      <c r="EY218" s="81">
        <v>1</v>
      </c>
      <c r="EZ218" s="104">
        <v>2858.19</v>
      </c>
      <c r="FA218" s="81">
        <v>3</v>
      </c>
      <c r="FB218" s="104">
        <v>5309.89</v>
      </c>
      <c r="FC218" s="81">
        <v>3</v>
      </c>
      <c r="FD218" s="104">
        <v>8060.9400000000005</v>
      </c>
      <c r="FE218" s="81">
        <v>5</v>
      </c>
      <c r="FF218" s="104">
        <v>1549</v>
      </c>
      <c r="FG218" s="81">
        <v>1</v>
      </c>
      <c r="FH218" s="104">
        <v>10366.209999999999</v>
      </c>
      <c r="FI218" s="81">
        <v>4</v>
      </c>
      <c r="FJ218" s="104">
        <v>10505.529999999999</v>
      </c>
      <c r="FK218" s="81">
        <v>7</v>
      </c>
      <c r="FL218" s="104">
        <v>439.2</v>
      </c>
      <c r="FM218" s="81">
        <v>1</v>
      </c>
      <c r="FN218" s="104"/>
      <c r="FO218" s="81">
        <v>0</v>
      </c>
      <c r="FP218" s="104"/>
      <c r="FQ218" s="81">
        <v>0</v>
      </c>
      <c r="FR218" s="102"/>
      <c r="FS218" s="102"/>
      <c r="FT218" s="102"/>
      <c r="FU218" s="102"/>
      <c r="FV218" s="102"/>
      <c r="FW218" s="102"/>
      <c r="FX218" s="102"/>
      <c r="FY218" s="102"/>
      <c r="FZ218" s="102"/>
      <c r="GA218" s="102"/>
      <c r="GB218" s="102"/>
      <c r="GC218" s="102"/>
      <c r="GD218" s="102"/>
      <c r="GE218" s="324"/>
      <c r="GF218" s="326"/>
      <c r="GG218" s="326"/>
    </row>
    <row r="219" spans="1:189" ht="15" customHeight="1" outlineLevel="2" x14ac:dyDescent="0.3">
      <c r="A219" s="1"/>
      <c r="B219" s="302"/>
      <c r="C219" s="302"/>
      <c r="D219" s="302"/>
      <c r="E219" s="29" t="s">
        <v>174</v>
      </c>
      <c r="F219" s="29" t="s">
        <v>53</v>
      </c>
      <c r="G219" s="5" t="s">
        <v>175</v>
      </c>
      <c r="H219" s="5"/>
      <c r="I219" s="105"/>
      <c r="J219" s="106"/>
      <c r="K219" s="107"/>
      <c r="L219" s="107"/>
      <c r="M219" s="105">
        <f t="shared" ref="M219:N219" si="499">M215</f>
        <v>9772.8000000000029</v>
      </c>
      <c r="N219" s="106">
        <f t="shared" si="499"/>
        <v>8</v>
      </c>
      <c r="O219" s="105">
        <f t="shared" ref="O219:AH219" si="500">O215+M219</f>
        <v>20722.500000000007</v>
      </c>
      <c r="P219" s="106">
        <f t="shared" si="500"/>
        <v>19</v>
      </c>
      <c r="Q219" s="105">
        <f t="shared" si="500"/>
        <v>26172.650000000012</v>
      </c>
      <c r="R219" s="106">
        <f t="shared" si="500"/>
        <v>23</v>
      </c>
      <c r="S219" s="105">
        <f t="shared" si="500"/>
        <v>30059.550000000021</v>
      </c>
      <c r="T219" s="106">
        <f t="shared" si="500"/>
        <v>26</v>
      </c>
      <c r="U219" s="105">
        <f t="shared" si="500"/>
        <v>32660.550000000025</v>
      </c>
      <c r="V219" s="106">
        <f t="shared" si="500"/>
        <v>30</v>
      </c>
      <c r="W219" s="105">
        <f t="shared" si="500"/>
        <v>41131.250000000036</v>
      </c>
      <c r="X219" s="106">
        <f t="shared" si="500"/>
        <v>39</v>
      </c>
      <c r="Y219" s="105">
        <f t="shared" si="500"/>
        <v>49401.250000000036</v>
      </c>
      <c r="Z219" s="106">
        <f t="shared" si="500"/>
        <v>50</v>
      </c>
      <c r="AA219" s="105">
        <f t="shared" si="500"/>
        <v>59637.250000000036</v>
      </c>
      <c r="AB219" s="106">
        <f t="shared" si="500"/>
        <v>59</v>
      </c>
      <c r="AC219" s="105">
        <f t="shared" si="500"/>
        <v>70073.250000000029</v>
      </c>
      <c r="AD219" s="106">
        <f t="shared" si="500"/>
        <v>71</v>
      </c>
      <c r="AE219" s="105">
        <f t="shared" si="500"/>
        <v>81872.250000000029</v>
      </c>
      <c r="AF219" s="106">
        <f t="shared" si="500"/>
        <v>83</v>
      </c>
      <c r="AG219" s="105">
        <f t="shared" si="500"/>
        <v>86242.850000000035</v>
      </c>
      <c r="AH219" s="106">
        <f t="shared" si="500"/>
        <v>89</v>
      </c>
      <c r="AI219" s="105"/>
      <c r="AJ219" s="106"/>
      <c r="AK219" s="105">
        <f>AK215+K219</f>
        <v>481.99</v>
      </c>
      <c r="AL219" s="106">
        <f>AL215+AJ215</f>
        <v>7</v>
      </c>
      <c r="AM219" s="105">
        <f>AM215+M219</f>
        <v>14106.800000000003</v>
      </c>
      <c r="AN219" s="106">
        <f>AN215+AL219</f>
        <v>12</v>
      </c>
      <c r="AO219" s="105">
        <f>AO215+O219</f>
        <v>22844.500000000007</v>
      </c>
      <c r="AP219" s="106">
        <f>AP215+AN219</f>
        <v>14</v>
      </c>
      <c r="AQ219" s="105">
        <f>AQ215+Q219</f>
        <v>44823.650000000009</v>
      </c>
      <c r="AR219" s="106">
        <f>AR215+AP219</f>
        <v>34</v>
      </c>
      <c r="AS219" s="105">
        <f>AS215+S219</f>
        <v>49068.550000000017</v>
      </c>
      <c r="AT219" s="106">
        <f>AT215+AR219</f>
        <v>53</v>
      </c>
      <c r="AU219" s="105">
        <f>AU215+U219</f>
        <v>67892.550000000017</v>
      </c>
      <c r="AV219" s="106">
        <f>AV215+AT219</f>
        <v>87</v>
      </c>
      <c r="AW219" s="105">
        <v>92560</v>
      </c>
      <c r="AX219" s="106">
        <v>86</v>
      </c>
      <c r="AY219" s="105">
        <v>110734</v>
      </c>
      <c r="AZ219" s="106">
        <v>89</v>
      </c>
      <c r="BA219" s="105">
        <v>103773</v>
      </c>
      <c r="BB219" s="106">
        <v>112</v>
      </c>
      <c r="BC219" s="105">
        <v>203564</v>
      </c>
      <c r="BD219" s="106">
        <v>156</v>
      </c>
      <c r="BE219" s="105">
        <v>88895</v>
      </c>
      <c r="BF219" s="106">
        <v>72</v>
      </c>
      <c r="BG219" s="108">
        <f>BG215</f>
        <v>4121</v>
      </c>
      <c r="BH219" s="109">
        <f t="shared" ref="BH219" si="501">BH215</f>
        <v>3</v>
      </c>
      <c r="BI219" s="108">
        <f t="shared" ref="BI219:CE219" si="502">BI215+BG219</f>
        <v>4591</v>
      </c>
      <c r="BJ219" s="109">
        <f t="shared" si="502"/>
        <v>4</v>
      </c>
      <c r="BK219" s="108">
        <f t="shared" si="502"/>
        <v>4592</v>
      </c>
      <c r="BL219" s="109">
        <f t="shared" si="502"/>
        <v>4</v>
      </c>
      <c r="BM219" s="108">
        <f t="shared" si="502"/>
        <v>9532</v>
      </c>
      <c r="BN219" s="109">
        <f t="shared" si="502"/>
        <v>7</v>
      </c>
      <c r="BO219" s="108">
        <f t="shared" si="502"/>
        <v>24946</v>
      </c>
      <c r="BP219" s="109">
        <f t="shared" si="502"/>
        <v>15</v>
      </c>
      <c r="BQ219" s="108">
        <f t="shared" si="502"/>
        <v>61752</v>
      </c>
      <c r="BR219" s="109">
        <f t="shared" si="502"/>
        <v>41</v>
      </c>
      <c r="BS219" s="108">
        <f t="shared" si="502"/>
        <v>66802</v>
      </c>
      <c r="BT219" s="109">
        <f t="shared" si="502"/>
        <v>43</v>
      </c>
      <c r="BU219" s="108">
        <f t="shared" si="502"/>
        <v>70013</v>
      </c>
      <c r="BV219" s="109">
        <f t="shared" si="502"/>
        <v>45</v>
      </c>
      <c r="BW219" s="108">
        <f t="shared" si="502"/>
        <v>73764</v>
      </c>
      <c r="BX219" s="109">
        <f t="shared" si="502"/>
        <v>47</v>
      </c>
      <c r="BY219" s="108">
        <f t="shared" si="502"/>
        <v>74856</v>
      </c>
      <c r="BZ219" s="109">
        <f t="shared" si="502"/>
        <v>48</v>
      </c>
      <c r="CA219" s="108">
        <f t="shared" si="502"/>
        <v>78763</v>
      </c>
      <c r="CB219" s="109">
        <f t="shared" si="502"/>
        <v>51</v>
      </c>
      <c r="CC219" s="108">
        <f t="shared" si="502"/>
        <v>89034</v>
      </c>
      <c r="CD219" s="110">
        <f t="shared" si="502"/>
        <v>58</v>
      </c>
      <c r="CE219" s="108">
        <f t="shared" si="502"/>
        <v>118408</v>
      </c>
      <c r="CF219" s="109">
        <f>CF215</f>
        <v>17</v>
      </c>
      <c r="CG219" s="108">
        <f t="shared" ref="CG219:CZ219" si="503">CG215+CE219</f>
        <v>136501</v>
      </c>
      <c r="CH219" s="109">
        <f t="shared" si="503"/>
        <v>28</v>
      </c>
      <c r="CI219" s="108">
        <f t="shared" si="503"/>
        <v>163068</v>
      </c>
      <c r="CJ219" s="109">
        <f t="shared" si="503"/>
        <v>44</v>
      </c>
      <c r="CK219" s="108">
        <f t="shared" si="503"/>
        <v>196031</v>
      </c>
      <c r="CL219" s="109">
        <f t="shared" si="503"/>
        <v>62</v>
      </c>
      <c r="CM219" s="108">
        <f t="shared" si="503"/>
        <v>262041</v>
      </c>
      <c r="CN219" s="109">
        <f t="shared" si="503"/>
        <v>111</v>
      </c>
      <c r="CO219" s="108">
        <f t="shared" si="503"/>
        <v>301798</v>
      </c>
      <c r="CP219" s="109">
        <f t="shared" si="503"/>
        <v>143</v>
      </c>
      <c r="CQ219" s="108">
        <f t="shared" si="503"/>
        <v>357981</v>
      </c>
      <c r="CR219" s="109">
        <f t="shared" si="503"/>
        <v>187</v>
      </c>
      <c r="CS219" s="108">
        <f t="shared" si="503"/>
        <v>364494</v>
      </c>
      <c r="CT219" s="109">
        <f t="shared" si="503"/>
        <v>191</v>
      </c>
      <c r="CU219" s="108">
        <f t="shared" si="503"/>
        <v>370154</v>
      </c>
      <c r="CV219" s="109">
        <f t="shared" si="503"/>
        <v>197</v>
      </c>
      <c r="CW219" s="108">
        <f t="shared" si="503"/>
        <v>387369</v>
      </c>
      <c r="CX219" s="109">
        <f t="shared" si="503"/>
        <v>207</v>
      </c>
      <c r="CY219" s="108">
        <f t="shared" si="503"/>
        <v>388610</v>
      </c>
      <c r="CZ219" s="109">
        <f t="shared" si="503"/>
        <v>208</v>
      </c>
      <c r="DA219" s="108">
        <f t="shared" ref="DA219" si="504">DA215+CY219</f>
        <v>392194</v>
      </c>
      <c r="DB219" s="109">
        <f>DB215+CZ219</f>
        <v>213</v>
      </c>
      <c r="DC219" s="108">
        <v>9246</v>
      </c>
      <c r="DD219" s="109">
        <v>9</v>
      </c>
      <c r="DE219" s="108">
        <f t="shared" ref="DE219" si="505">DE215+DC219</f>
        <v>22702.97</v>
      </c>
      <c r="DF219" s="109">
        <f>DF215+DD219</f>
        <v>15</v>
      </c>
      <c r="DG219" s="108">
        <f t="shared" ref="DG219" si="506">DG215+DE219</f>
        <v>52560.41</v>
      </c>
      <c r="DH219" s="109">
        <f>DH215+DF219</f>
        <v>36</v>
      </c>
      <c r="DI219" s="108">
        <f t="shared" ref="DI219" si="507">DI215+DG219</f>
        <v>79040.450000000012</v>
      </c>
      <c r="DJ219" s="109">
        <f>DJ215+DH219</f>
        <v>48</v>
      </c>
      <c r="DK219" s="108">
        <f t="shared" ref="DK219" si="508">DK215+DI219</f>
        <v>113458.47000000002</v>
      </c>
      <c r="DL219" s="109">
        <f>DL215+DJ219</f>
        <v>68</v>
      </c>
      <c r="DM219" s="108">
        <f t="shared" ref="DM219" si="509">DM215+DK219</f>
        <v>168826.47000000003</v>
      </c>
      <c r="DN219" s="109">
        <f t="shared" ref="DN219:DT219" si="510">DN215+DL219</f>
        <v>94</v>
      </c>
      <c r="DO219" s="108">
        <f t="shared" si="510"/>
        <v>216756.05000000005</v>
      </c>
      <c r="DP219" s="109">
        <f t="shared" si="510"/>
        <v>117</v>
      </c>
      <c r="DQ219" s="108">
        <f t="shared" si="510"/>
        <v>300381.38</v>
      </c>
      <c r="DR219" s="109">
        <f t="shared" si="510"/>
        <v>164</v>
      </c>
      <c r="DS219" s="108">
        <f t="shared" si="510"/>
        <v>404953.07999999996</v>
      </c>
      <c r="DT219" s="109">
        <f t="shared" si="510"/>
        <v>238</v>
      </c>
      <c r="DU219" s="102"/>
      <c r="DV219" s="102"/>
      <c r="DW219" s="102"/>
      <c r="DX219" s="102"/>
      <c r="DY219" s="102"/>
      <c r="DZ219" s="102"/>
      <c r="EA219" s="102"/>
      <c r="EB219" s="102"/>
      <c r="EC219" s="102"/>
      <c r="ED219" s="102"/>
      <c r="EE219" s="102"/>
      <c r="EF219" s="102"/>
      <c r="EG219" s="102"/>
      <c r="EH219" s="102"/>
      <c r="EI219" s="102"/>
      <c r="EJ219" s="102"/>
      <c r="EK219" s="102"/>
      <c r="EL219" s="102"/>
      <c r="EM219" s="102"/>
      <c r="EN219" s="108">
        <f t="shared" ref="EN219" si="511">EN215+EL219</f>
        <v>58073.740000000027</v>
      </c>
      <c r="EO219" s="109">
        <f t="shared" ref="EO219" si="512">EO215+EM219</f>
        <v>56</v>
      </c>
      <c r="EP219" s="108">
        <f>EP215+EN219</f>
        <v>121617.63980000003</v>
      </c>
      <c r="EQ219" s="109">
        <f t="shared" ref="EQ219" si="513">EQ215+EO219</f>
        <v>108</v>
      </c>
      <c r="ER219" s="108">
        <f>ER215+EP219</f>
        <v>202503.13940000004</v>
      </c>
      <c r="ES219" s="109">
        <f t="shared" ref="ES219" si="514">ES215+EQ219</f>
        <v>176</v>
      </c>
      <c r="ET219" s="108">
        <f>ET215+BG219</f>
        <v>25600.010000000009</v>
      </c>
      <c r="EU219" s="109">
        <f>EU215</f>
        <v>14</v>
      </c>
      <c r="EV219" s="108">
        <f t="shared" ref="EV219:FO219" si="515">EV215+ET219</f>
        <v>33361.97</v>
      </c>
      <c r="EW219" s="109">
        <f t="shared" si="515"/>
        <v>22</v>
      </c>
      <c r="EX219" s="108">
        <f t="shared" si="515"/>
        <v>45830.659999999996</v>
      </c>
      <c r="EY219" s="109">
        <f t="shared" si="515"/>
        <v>28</v>
      </c>
      <c r="EZ219" s="108">
        <f t="shared" si="515"/>
        <v>68976.940000000017</v>
      </c>
      <c r="FA219" s="109">
        <f t="shared" si="515"/>
        <v>43</v>
      </c>
      <c r="FB219" s="108">
        <f t="shared" si="515"/>
        <v>93755.140000000014</v>
      </c>
      <c r="FC219" s="109">
        <f t="shared" si="515"/>
        <v>56</v>
      </c>
      <c r="FD219" s="108">
        <f t="shared" si="515"/>
        <v>120541.51000000001</v>
      </c>
      <c r="FE219" s="109">
        <f t="shared" si="515"/>
        <v>69</v>
      </c>
      <c r="FF219" s="108">
        <f t="shared" si="515"/>
        <v>139101.82</v>
      </c>
      <c r="FG219" s="109">
        <f t="shared" si="515"/>
        <v>77</v>
      </c>
      <c r="FH219" s="108">
        <f t="shared" si="515"/>
        <v>158363.31</v>
      </c>
      <c r="FI219" s="109">
        <f t="shared" si="515"/>
        <v>87</v>
      </c>
      <c r="FJ219" s="108">
        <f t="shared" si="515"/>
        <v>183191.07</v>
      </c>
      <c r="FK219" s="109">
        <f t="shared" si="515"/>
        <v>103</v>
      </c>
      <c r="FL219" s="108">
        <f t="shared" si="515"/>
        <v>218666.69</v>
      </c>
      <c r="FM219" s="109">
        <f t="shared" si="515"/>
        <v>123</v>
      </c>
      <c r="FN219" s="108">
        <f t="shared" si="515"/>
        <v>245500.14</v>
      </c>
      <c r="FO219" s="109">
        <f t="shared" si="515"/>
        <v>143</v>
      </c>
      <c r="FP219" s="108">
        <f t="shared" ref="FP219" si="516">FP215+FN219</f>
        <v>278678.94</v>
      </c>
      <c r="FQ219" s="109">
        <f t="shared" ref="FQ219" si="517">FQ215+FO219</f>
        <v>166</v>
      </c>
      <c r="FR219" s="102"/>
      <c r="FS219" s="102"/>
      <c r="FT219" s="102"/>
      <c r="FU219" s="102"/>
      <c r="FV219" s="102"/>
      <c r="FW219" s="102"/>
      <c r="FX219" s="102"/>
      <c r="FY219" s="102"/>
      <c r="FZ219" s="102"/>
      <c r="GA219" s="102"/>
      <c r="GB219" s="102"/>
      <c r="GC219" s="102"/>
      <c r="GD219" s="102"/>
      <c r="GE219" s="324"/>
      <c r="GF219" s="326"/>
      <c r="GG219" s="326"/>
    </row>
    <row r="220" spans="1:189" ht="8.25" customHeight="1" outlineLevel="1" x14ac:dyDescent="0.3">
      <c r="A220" s="1"/>
      <c r="B220" s="18"/>
      <c r="C220" s="18"/>
      <c r="D220" s="18"/>
      <c r="E220" s="18"/>
      <c r="F220" s="18"/>
      <c r="G220" s="3"/>
      <c r="H220" s="3"/>
      <c r="I220" s="19"/>
      <c r="J220" s="20"/>
      <c r="K220" s="19"/>
      <c r="L220" s="20"/>
      <c r="M220" s="19"/>
      <c r="N220" s="20"/>
      <c r="O220" s="19"/>
      <c r="P220" s="20"/>
      <c r="Q220" s="19"/>
      <c r="R220" s="20"/>
      <c r="S220" s="19"/>
      <c r="T220" s="20"/>
      <c r="U220" s="19"/>
      <c r="V220" s="20"/>
      <c r="W220" s="19"/>
      <c r="X220" s="20"/>
      <c r="Y220" s="19"/>
      <c r="Z220" s="20"/>
      <c r="AA220" s="19"/>
      <c r="AB220" s="20"/>
      <c r="AC220" s="19"/>
      <c r="AD220" s="20"/>
      <c r="AE220" s="19"/>
      <c r="AF220" s="20"/>
      <c r="AG220" s="19"/>
      <c r="AH220" s="20"/>
      <c r="AI220" s="19"/>
      <c r="AJ220" s="20"/>
      <c r="AK220" s="19"/>
      <c r="AL220" s="20"/>
      <c r="AM220" s="19"/>
      <c r="AN220" s="20"/>
      <c r="AO220" s="19"/>
      <c r="AP220" s="20"/>
      <c r="AQ220" s="19"/>
      <c r="AR220" s="20"/>
      <c r="AS220" s="19"/>
      <c r="AT220" s="20"/>
      <c r="AU220" s="19"/>
      <c r="AV220" s="20"/>
      <c r="AW220" s="19"/>
      <c r="AX220" s="20"/>
      <c r="AY220" s="19"/>
      <c r="AZ220" s="20"/>
      <c r="BA220" s="19"/>
      <c r="BB220" s="20"/>
      <c r="BC220" s="19"/>
      <c r="BD220" s="20"/>
      <c r="BE220" s="19"/>
      <c r="BF220" s="20"/>
      <c r="BG220" s="19"/>
      <c r="BH220" s="20"/>
      <c r="BI220" s="19"/>
      <c r="BJ220" s="20"/>
      <c r="BK220" s="19"/>
      <c r="BL220" s="20"/>
      <c r="BM220" s="19"/>
      <c r="BN220" s="20"/>
      <c r="BO220" s="19"/>
      <c r="BP220" s="20"/>
      <c r="BQ220" s="19"/>
      <c r="BR220" s="20"/>
      <c r="BS220" s="19"/>
      <c r="BT220" s="20"/>
      <c r="BU220" s="19"/>
      <c r="BV220" s="20"/>
      <c r="BW220" s="19"/>
      <c r="BX220" s="20"/>
      <c r="BY220" s="19"/>
      <c r="BZ220" s="20"/>
      <c r="CA220" s="19"/>
      <c r="CB220" s="20"/>
      <c r="CC220" s="19"/>
      <c r="CD220" s="20"/>
      <c r="CE220" s="19"/>
      <c r="CF220" s="20"/>
      <c r="CG220" s="19"/>
      <c r="CH220" s="20"/>
      <c r="CI220" s="19"/>
      <c r="CJ220" s="20"/>
      <c r="CK220" s="19"/>
      <c r="CL220" s="20"/>
      <c r="CM220" s="19"/>
      <c r="CN220" s="20"/>
      <c r="CO220" s="19"/>
      <c r="CP220" s="20"/>
      <c r="CQ220" s="19"/>
      <c r="CR220" s="20"/>
      <c r="CS220" s="19"/>
      <c r="CT220" s="20"/>
      <c r="CU220" s="19"/>
      <c r="CV220" s="20"/>
      <c r="CW220" s="19"/>
      <c r="CX220" s="20"/>
      <c r="CY220" s="19"/>
      <c r="CZ220" s="20"/>
      <c r="DA220" s="19"/>
      <c r="DB220" s="20"/>
      <c r="DC220" s="19"/>
      <c r="DD220" s="20"/>
      <c r="DE220" s="19"/>
      <c r="DF220" s="20"/>
      <c r="DG220" s="19"/>
      <c r="DH220" s="20"/>
      <c r="DI220" s="19"/>
      <c r="DJ220" s="20"/>
      <c r="DK220" s="19"/>
      <c r="DL220" s="20"/>
      <c r="DM220" s="19"/>
      <c r="DN220" s="20"/>
      <c r="DO220" s="19"/>
      <c r="DP220" s="20"/>
      <c r="DQ220" s="19"/>
      <c r="DR220" s="20"/>
      <c r="DS220" s="19"/>
      <c r="DT220" s="20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19"/>
      <c r="EO220" s="20"/>
      <c r="EP220" s="19"/>
      <c r="EQ220" s="20"/>
      <c r="ER220" s="19"/>
      <c r="ES220" s="20"/>
      <c r="ET220" s="19"/>
      <c r="EU220" s="20"/>
      <c r="EV220" s="19"/>
      <c r="EW220" s="20"/>
      <c r="EX220" s="19"/>
      <c r="EY220" s="20"/>
      <c r="EZ220" s="19"/>
      <c r="FA220" s="20"/>
      <c r="FB220" s="19"/>
      <c r="FC220" s="20"/>
      <c r="FD220" s="19"/>
      <c r="FE220" s="20"/>
      <c r="FF220" s="19"/>
      <c r="FG220" s="20"/>
      <c r="FH220" s="19"/>
      <c r="FI220" s="20"/>
      <c r="FJ220" s="19"/>
      <c r="FK220" s="20"/>
      <c r="FL220" s="19"/>
      <c r="FM220" s="20"/>
      <c r="FN220" s="19"/>
      <c r="FO220" s="20"/>
      <c r="FP220" s="19"/>
      <c r="FQ220" s="20"/>
      <c r="FR220" s="3"/>
      <c r="FS220" s="3"/>
      <c r="FT220" s="3"/>
      <c r="FU220" s="3"/>
      <c r="FV220" s="3"/>
      <c r="FW220" s="3"/>
      <c r="FX220" s="229"/>
      <c r="FY220" s="229"/>
      <c r="FZ220" s="229"/>
      <c r="GA220" s="229"/>
      <c r="GB220" s="229"/>
      <c r="GC220" s="229"/>
      <c r="GD220" s="229"/>
      <c r="GE220" s="229"/>
      <c r="GF220" s="20"/>
      <c r="GG220" s="20"/>
    </row>
    <row r="221" spans="1:189" ht="15" customHeight="1" outlineLevel="1" x14ac:dyDescent="0.3">
      <c r="A221" s="63"/>
      <c r="B221" s="438" t="s">
        <v>176</v>
      </c>
      <c r="C221" s="313" t="s">
        <v>149</v>
      </c>
      <c r="D221" s="313" t="s">
        <v>25</v>
      </c>
      <c r="E221" s="313" t="s">
        <v>177</v>
      </c>
      <c r="F221" s="313" t="s">
        <v>53</v>
      </c>
      <c r="G221" s="5" t="s">
        <v>28</v>
      </c>
      <c r="H221" s="5"/>
      <c r="I221" s="338">
        <v>0.94</v>
      </c>
      <c r="J221" s="281"/>
      <c r="K221" s="338">
        <v>0.94</v>
      </c>
      <c r="L221" s="281"/>
      <c r="M221" s="338">
        <v>0.94</v>
      </c>
      <c r="N221" s="281"/>
      <c r="O221" s="338">
        <v>0.94</v>
      </c>
      <c r="P221" s="281"/>
      <c r="Q221" s="338">
        <v>0.94</v>
      </c>
      <c r="R221" s="281"/>
      <c r="S221" s="338">
        <v>0.94</v>
      </c>
      <c r="T221" s="281"/>
      <c r="U221" s="338">
        <v>0.94</v>
      </c>
      <c r="V221" s="281"/>
      <c r="W221" s="338">
        <v>0.94</v>
      </c>
      <c r="X221" s="281"/>
      <c r="Y221" s="338">
        <v>0.94</v>
      </c>
      <c r="Z221" s="281"/>
      <c r="AA221" s="338">
        <v>0.94</v>
      </c>
      <c r="AB221" s="281"/>
      <c r="AC221" s="338">
        <v>0.94</v>
      </c>
      <c r="AD221" s="281"/>
      <c r="AE221" s="338">
        <v>0.94</v>
      </c>
      <c r="AF221" s="281"/>
      <c r="AG221" s="338">
        <v>0.94</v>
      </c>
      <c r="AH221" s="281"/>
      <c r="AI221" s="338">
        <v>0.69</v>
      </c>
      <c r="AJ221" s="281"/>
      <c r="AK221" s="338">
        <v>0.69</v>
      </c>
      <c r="AL221" s="281"/>
      <c r="AM221" s="338">
        <v>0.69</v>
      </c>
      <c r="AN221" s="281"/>
      <c r="AO221" s="338">
        <v>0.69</v>
      </c>
      <c r="AP221" s="281"/>
      <c r="AQ221" s="338">
        <v>0.69</v>
      </c>
      <c r="AR221" s="281"/>
      <c r="AS221" s="338">
        <v>0.69</v>
      </c>
      <c r="AT221" s="281"/>
      <c r="AU221" s="338">
        <v>0.69</v>
      </c>
      <c r="AV221" s="281"/>
      <c r="AW221" s="338">
        <v>0.69</v>
      </c>
      <c r="AX221" s="281"/>
      <c r="AY221" s="338">
        <v>0.69</v>
      </c>
      <c r="AZ221" s="281"/>
      <c r="BA221" s="338">
        <v>0.69</v>
      </c>
      <c r="BB221" s="281"/>
      <c r="BC221" s="338">
        <v>0.69</v>
      </c>
      <c r="BD221" s="281"/>
      <c r="BE221" s="338">
        <v>0.69</v>
      </c>
      <c r="BF221" s="281"/>
      <c r="BG221" s="338">
        <v>0.69</v>
      </c>
      <c r="BH221" s="281"/>
      <c r="BI221" s="338">
        <v>0.69</v>
      </c>
      <c r="BJ221" s="281"/>
      <c r="BK221" s="338">
        <v>0.69</v>
      </c>
      <c r="BL221" s="281"/>
      <c r="BM221" s="338">
        <v>0.69</v>
      </c>
      <c r="BN221" s="281"/>
      <c r="BO221" s="338">
        <v>0.69</v>
      </c>
      <c r="BP221" s="281"/>
      <c r="BQ221" s="338">
        <v>0.69</v>
      </c>
      <c r="BR221" s="281"/>
      <c r="BS221" s="338">
        <v>0.69</v>
      </c>
      <c r="BT221" s="281"/>
      <c r="BU221" s="338">
        <v>0.69</v>
      </c>
      <c r="BV221" s="281"/>
      <c r="BW221" s="338">
        <v>0.69</v>
      </c>
      <c r="BX221" s="281"/>
      <c r="BY221" s="338">
        <v>0.69</v>
      </c>
      <c r="BZ221" s="281"/>
      <c r="CA221" s="338">
        <v>0.69</v>
      </c>
      <c r="CB221" s="281"/>
      <c r="CC221" s="338">
        <v>0.69</v>
      </c>
      <c r="CD221" s="281"/>
      <c r="CE221" s="338">
        <v>0.69</v>
      </c>
      <c r="CF221" s="281"/>
      <c r="CG221" s="338">
        <v>0.69</v>
      </c>
      <c r="CH221" s="281"/>
      <c r="CI221" s="338">
        <v>0.69</v>
      </c>
      <c r="CJ221" s="281"/>
      <c r="CK221" s="338">
        <v>0.69</v>
      </c>
      <c r="CL221" s="281"/>
      <c r="CM221" s="338">
        <v>0.69</v>
      </c>
      <c r="CN221" s="281"/>
      <c r="CO221" s="338">
        <v>0.69</v>
      </c>
      <c r="CP221" s="281"/>
      <c r="CQ221" s="338">
        <v>0.69</v>
      </c>
      <c r="CR221" s="281"/>
      <c r="CS221" s="338">
        <v>0.69</v>
      </c>
      <c r="CT221" s="281"/>
      <c r="CU221" s="338">
        <v>0.69</v>
      </c>
      <c r="CV221" s="281"/>
      <c r="CW221" s="338">
        <v>0.69</v>
      </c>
      <c r="CX221" s="281"/>
      <c r="CY221" s="338">
        <v>0.69</v>
      </c>
      <c r="CZ221" s="281"/>
      <c r="DA221" s="338">
        <v>0.69</v>
      </c>
      <c r="DB221" s="281"/>
      <c r="DC221" s="338">
        <v>0.69</v>
      </c>
      <c r="DD221" s="281"/>
      <c r="DE221" s="338">
        <v>0.69</v>
      </c>
      <c r="DF221" s="281"/>
      <c r="DG221" s="338">
        <v>0.69</v>
      </c>
      <c r="DH221" s="281"/>
      <c r="DI221" s="338">
        <v>0.69</v>
      </c>
      <c r="DJ221" s="281"/>
      <c r="DK221" s="338">
        <v>0.69</v>
      </c>
      <c r="DL221" s="281"/>
      <c r="DM221" s="338">
        <v>0.69</v>
      </c>
      <c r="DN221" s="281"/>
      <c r="DO221" s="338">
        <v>0.69</v>
      </c>
      <c r="DP221" s="281"/>
      <c r="DQ221" s="338">
        <v>0.69</v>
      </c>
      <c r="DR221" s="281"/>
      <c r="DS221" s="338">
        <v>0.69</v>
      </c>
      <c r="DT221" s="281"/>
      <c r="DU221" s="111"/>
      <c r="DV221" s="111"/>
      <c r="DW221" s="111"/>
      <c r="DX221" s="111"/>
      <c r="DY221" s="111"/>
      <c r="DZ221" s="111"/>
      <c r="EA221" s="111"/>
      <c r="EB221" s="111"/>
      <c r="EC221" s="111"/>
      <c r="ED221" s="111"/>
      <c r="EE221" s="111"/>
      <c r="EF221" s="111"/>
      <c r="EG221" s="111"/>
      <c r="EH221" s="111"/>
      <c r="EI221" s="111"/>
      <c r="EJ221" s="111"/>
      <c r="EK221" s="111"/>
      <c r="EL221" s="111"/>
      <c r="EM221" s="111"/>
      <c r="EN221" s="338">
        <v>0.69</v>
      </c>
      <c r="EO221" s="281"/>
      <c r="EP221" s="338">
        <v>0.69</v>
      </c>
      <c r="EQ221" s="281"/>
      <c r="ER221" s="338">
        <v>0.69</v>
      </c>
      <c r="ES221" s="281"/>
      <c r="ET221" s="338">
        <v>0.69</v>
      </c>
      <c r="EU221" s="281"/>
      <c r="EV221" s="338">
        <v>0.69</v>
      </c>
      <c r="EW221" s="281"/>
      <c r="EX221" s="338">
        <v>0.69</v>
      </c>
      <c r="EY221" s="281"/>
      <c r="EZ221" s="338">
        <v>0.69</v>
      </c>
      <c r="FA221" s="281"/>
      <c r="FB221" s="338">
        <v>0.69</v>
      </c>
      <c r="FC221" s="281"/>
      <c r="FD221" s="338">
        <v>0.69</v>
      </c>
      <c r="FE221" s="281"/>
      <c r="FF221" s="338">
        <v>0.69</v>
      </c>
      <c r="FG221" s="281"/>
      <c r="FH221" s="338">
        <v>0.69</v>
      </c>
      <c r="FI221" s="281"/>
      <c r="FJ221" s="338">
        <v>0.69</v>
      </c>
      <c r="FK221" s="281"/>
      <c r="FL221" s="338">
        <v>0.69</v>
      </c>
      <c r="FM221" s="281"/>
      <c r="FN221" s="338">
        <v>0.69</v>
      </c>
      <c r="FO221" s="281"/>
      <c r="FP221" s="338">
        <v>0.69</v>
      </c>
      <c r="FQ221" s="281"/>
      <c r="FR221" s="111"/>
      <c r="FS221" s="111"/>
      <c r="FT221" s="111"/>
      <c r="FU221" s="111"/>
      <c r="FV221" s="111"/>
      <c r="FW221" s="111"/>
      <c r="FX221" s="230"/>
      <c r="FY221" s="230"/>
      <c r="FZ221" s="230"/>
      <c r="GA221" s="230"/>
      <c r="GB221" s="230"/>
      <c r="GC221" s="230"/>
      <c r="GD221" s="230"/>
      <c r="GE221" s="230"/>
      <c r="GF221" s="230"/>
      <c r="GG221" s="230"/>
    </row>
    <row r="222" spans="1:189" ht="4.5" customHeight="1" outlineLevel="1" x14ac:dyDescent="0.3">
      <c r="A222" s="1"/>
      <c r="B222" s="286"/>
      <c r="C222" s="301"/>
      <c r="D222" s="301"/>
      <c r="E222" s="301"/>
      <c r="F222" s="301"/>
      <c r="G222" s="5"/>
      <c r="H222" s="5"/>
      <c r="I222" s="328"/>
      <c r="J222" s="281"/>
      <c r="K222" s="328"/>
      <c r="L222" s="281"/>
      <c r="M222" s="351"/>
      <c r="N222" s="281"/>
      <c r="O222" s="351"/>
      <c r="P222" s="281"/>
      <c r="Q222" s="328"/>
      <c r="R222" s="281"/>
      <c r="S222" s="351"/>
      <c r="T222" s="281"/>
      <c r="U222" s="351"/>
      <c r="V222" s="281"/>
      <c r="W222" s="328"/>
      <c r="X222" s="281"/>
      <c r="Y222" s="328"/>
      <c r="Z222" s="281"/>
      <c r="AA222" s="328"/>
      <c r="AB222" s="281"/>
      <c r="AC222" s="351"/>
      <c r="AD222" s="281"/>
      <c r="AE222" s="328"/>
      <c r="AF222" s="281"/>
      <c r="AG222" s="328"/>
      <c r="AH222" s="281"/>
      <c r="AI222" s="351"/>
      <c r="AJ222" s="281"/>
      <c r="AK222" s="351"/>
      <c r="AL222" s="281"/>
      <c r="AM222" s="351"/>
      <c r="AN222" s="281"/>
      <c r="AO222" s="328"/>
      <c r="AP222" s="281"/>
      <c r="AQ222" s="351"/>
      <c r="AR222" s="281"/>
      <c r="AS222" s="351"/>
      <c r="AT222" s="281"/>
      <c r="AU222" s="351"/>
      <c r="AV222" s="281"/>
      <c r="AW222" s="351"/>
      <c r="AX222" s="281"/>
      <c r="AY222" s="351"/>
      <c r="AZ222" s="281"/>
      <c r="BA222" s="351"/>
      <c r="BB222" s="281"/>
      <c r="BC222" s="351"/>
      <c r="BD222" s="281"/>
      <c r="BE222" s="351"/>
      <c r="BF222" s="281"/>
      <c r="BG222" s="351"/>
      <c r="BH222" s="281"/>
      <c r="BI222" s="351"/>
      <c r="BJ222" s="281"/>
      <c r="BK222" s="351"/>
      <c r="BL222" s="281"/>
      <c r="BM222" s="351"/>
      <c r="BN222" s="281"/>
      <c r="BO222" s="351"/>
      <c r="BP222" s="281"/>
      <c r="BQ222" s="351"/>
      <c r="BR222" s="281"/>
      <c r="BS222" s="351"/>
      <c r="BT222" s="281"/>
      <c r="BU222" s="351"/>
      <c r="BV222" s="281"/>
      <c r="BW222" s="351"/>
      <c r="BX222" s="281"/>
      <c r="BY222" s="351"/>
      <c r="BZ222" s="281"/>
      <c r="CA222" s="351"/>
      <c r="CB222" s="281"/>
      <c r="CC222" s="351"/>
      <c r="CD222" s="281"/>
      <c r="CE222" s="351"/>
      <c r="CF222" s="281"/>
      <c r="CG222" s="351"/>
      <c r="CH222" s="281"/>
      <c r="CI222" s="351"/>
      <c r="CJ222" s="281"/>
      <c r="CK222" s="351"/>
      <c r="CL222" s="281"/>
      <c r="CM222" s="351"/>
      <c r="CN222" s="281"/>
      <c r="CO222" s="351"/>
      <c r="CP222" s="281"/>
      <c r="CQ222" s="351"/>
      <c r="CR222" s="281"/>
      <c r="CS222" s="351"/>
      <c r="CT222" s="281"/>
      <c r="CU222" s="351"/>
      <c r="CV222" s="281"/>
      <c r="CW222" s="351"/>
      <c r="CX222" s="281"/>
      <c r="CY222" s="351"/>
      <c r="CZ222" s="281"/>
      <c r="DA222" s="351"/>
      <c r="DB222" s="281"/>
      <c r="DC222" s="351"/>
      <c r="DD222" s="281"/>
      <c r="DE222" s="351"/>
      <c r="DF222" s="281"/>
      <c r="DG222" s="351"/>
      <c r="DH222" s="281"/>
      <c r="DI222" s="351"/>
      <c r="DJ222" s="281"/>
      <c r="DK222" s="351"/>
      <c r="DL222" s="281"/>
      <c r="DM222" s="351"/>
      <c r="DN222" s="281"/>
      <c r="DO222" s="351"/>
      <c r="DP222" s="281"/>
      <c r="DQ222" s="351"/>
      <c r="DR222" s="281"/>
      <c r="DS222" s="351"/>
      <c r="DT222" s="281"/>
      <c r="DU222" s="111"/>
      <c r="DV222" s="111"/>
      <c r="DW222" s="111"/>
      <c r="DX222" s="111"/>
      <c r="DY222" s="111"/>
      <c r="DZ222" s="111"/>
      <c r="EA222" s="111"/>
      <c r="EB222" s="111"/>
      <c r="EC222" s="111"/>
      <c r="ED222" s="111"/>
      <c r="EE222" s="111"/>
      <c r="EF222" s="111"/>
      <c r="EG222" s="111"/>
      <c r="EH222" s="111"/>
      <c r="EI222" s="111"/>
      <c r="EJ222" s="111"/>
      <c r="EK222" s="111"/>
      <c r="EL222" s="111"/>
      <c r="EM222" s="111"/>
      <c r="EN222" s="351"/>
      <c r="EO222" s="281"/>
      <c r="EP222" s="351"/>
      <c r="EQ222" s="281"/>
      <c r="ER222" s="351"/>
      <c r="ES222" s="281"/>
      <c r="ET222" s="351"/>
      <c r="EU222" s="281"/>
      <c r="EV222" s="351"/>
      <c r="EW222" s="281"/>
      <c r="EX222" s="351"/>
      <c r="EY222" s="281"/>
      <c r="EZ222" s="351"/>
      <c r="FA222" s="281"/>
      <c r="FB222" s="351"/>
      <c r="FC222" s="281"/>
      <c r="FD222" s="351"/>
      <c r="FE222" s="281"/>
      <c r="FF222" s="351"/>
      <c r="FG222" s="281"/>
      <c r="FH222" s="351"/>
      <c r="FI222" s="281"/>
      <c r="FJ222" s="351"/>
      <c r="FK222" s="281"/>
      <c r="FL222" s="351"/>
      <c r="FM222" s="281"/>
      <c r="FN222" s="351"/>
      <c r="FO222" s="281"/>
      <c r="FP222" s="351"/>
      <c r="FQ222" s="281"/>
      <c r="FR222" s="111"/>
      <c r="FS222" s="111"/>
      <c r="FT222" s="111"/>
      <c r="FU222" s="111"/>
      <c r="FV222" s="111"/>
      <c r="FW222" s="111"/>
      <c r="FX222" s="230"/>
      <c r="FY222" s="230"/>
      <c r="FZ222" s="230"/>
      <c r="GA222" s="230"/>
      <c r="GB222" s="230"/>
      <c r="GC222" s="230"/>
      <c r="GD222" s="230"/>
      <c r="GE222" s="230"/>
      <c r="GF222" s="230"/>
      <c r="GG222" s="230"/>
    </row>
    <row r="223" spans="1:189" ht="15" customHeight="1" outlineLevel="1" x14ac:dyDescent="0.3">
      <c r="A223" s="112"/>
      <c r="B223" s="286"/>
      <c r="C223" s="301"/>
      <c r="D223" s="301"/>
      <c r="E223" s="301"/>
      <c r="F223" s="301"/>
      <c r="G223" s="113" t="s">
        <v>30</v>
      </c>
      <c r="H223" s="113"/>
      <c r="I223" s="355">
        <f>I225/I224</f>
        <v>0.51711404202263078</v>
      </c>
      <c r="J223" s="281"/>
      <c r="K223" s="355">
        <f>K225/K224</f>
        <v>0.53240422863286163</v>
      </c>
      <c r="L223" s="281"/>
      <c r="M223" s="355">
        <f>M225/M224</f>
        <v>0.62642228739002936</v>
      </c>
      <c r="N223" s="281"/>
      <c r="O223" s="355">
        <f>O225/O224</f>
        <v>0.6519950603732162</v>
      </c>
      <c r="P223" s="281"/>
      <c r="Q223" s="355">
        <f>Q225/Q224</f>
        <v>0.47688460489224338</v>
      </c>
      <c r="R223" s="281"/>
      <c r="S223" s="355">
        <f>S225/S224</f>
        <v>0.56080374646046616</v>
      </c>
      <c r="T223" s="281"/>
      <c r="U223" s="355">
        <f>U225/U224</f>
        <v>0.55095994438205265</v>
      </c>
      <c r="V223" s="281"/>
      <c r="W223" s="355">
        <f>W225/W224</f>
        <v>0.37007307075387635</v>
      </c>
      <c r="X223" s="281"/>
      <c r="Y223" s="355">
        <f>Y225/Y224</f>
        <v>0.49337918494802169</v>
      </c>
      <c r="Z223" s="281"/>
      <c r="AA223" s="355">
        <f>AA225/AA224</f>
        <v>0.36194015033328608</v>
      </c>
      <c r="AB223" s="281"/>
      <c r="AC223" s="355">
        <f>AC225/AC224</f>
        <v>0.83035398855366349</v>
      </c>
      <c r="AD223" s="281"/>
      <c r="AE223" s="355">
        <f>AE225/AE224</f>
        <v>0.42162950614711403</v>
      </c>
      <c r="AF223" s="281"/>
      <c r="AG223" s="355">
        <f>AG225/AG224</f>
        <v>0.52371457376498265</v>
      </c>
      <c r="AH223" s="281"/>
      <c r="AI223" s="355">
        <f>AI225/AI224</f>
        <v>0.95445174783388109</v>
      </c>
      <c r="AJ223" s="281"/>
      <c r="AK223" s="355">
        <f>AK225/AK224</f>
        <v>0.89565481924656487</v>
      </c>
      <c r="AL223" s="281"/>
      <c r="AM223" s="355">
        <f>AM225/AM224</f>
        <v>0.91916865356066402</v>
      </c>
      <c r="AN223" s="281"/>
      <c r="AO223" s="355">
        <f>AO225/AO224</f>
        <v>0.56595001105950005</v>
      </c>
      <c r="AP223" s="281"/>
      <c r="AQ223" s="355">
        <f>AQ225/AQ224</f>
        <v>0.81901479434238333</v>
      </c>
      <c r="AR223" s="281"/>
      <c r="AS223" s="355">
        <f>AS225/AS224</f>
        <v>0.97887027914614122</v>
      </c>
      <c r="AT223" s="281"/>
      <c r="AU223" s="355">
        <f>AU225/AU224</f>
        <v>1.1390565418469341</v>
      </c>
      <c r="AV223" s="281"/>
      <c r="AW223" s="355">
        <f>AW225/AW224</f>
        <v>1.267369207185252</v>
      </c>
      <c r="AX223" s="281"/>
      <c r="AY223" s="355">
        <f>AY225/AY224</f>
        <v>1.7514252923816811</v>
      </c>
      <c r="AZ223" s="281"/>
      <c r="BA223" s="355">
        <f>BA225/BA224</f>
        <v>2.7228445189304491</v>
      </c>
      <c r="BB223" s="281"/>
      <c r="BC223" s="355">
        <f>BC225/BC224</f>
        <v>3.1721026682134572</v>
      </c>
      <c r="BD223" s="281"/>
      <c r="BE223" s="355">
        <f>BE225/BE224</f>
        <v>2.007552437366479</v>
      </c>
      <c r="BF223" s="281"/>
      <c r="BG223" s="355">
        <f>BG225/BG224</f>
        <v>1.6287156282631396</v>
      </c>
      <c r="BH223" s="281"/>
      <c r="BI223" s="355">
        <f>BI225/BI224</f>
        <v>1.8645268105105748</v>
      </c>
      <c r="BJ223" s="281"/>
      <c r="BK223" s="355">
        <f>BK225/BK224</f>
        <v>1.5594324894514768</v>
      </c>
      <c r="BL223" s="281"/>
      <c r="BM223" s="355">
        <f>BM225/BM224</f>
        <v>1.6753637552190968</v>
      </c>
      <c r="BN223" s="281"/>
      <c r="BO223" s="355">
        <f>BO225/BO224</f>
        <v>1.6273440907108592</v>
      </c>
      <c r="BP223" s="281"/>
      <c r="BQ223" s="355">
        <f>BQ225/BQ224</f>
        <v>1.6337240455458808</v>
      </c>
      <c r="BR223" s="281"/>
      <c r="BS223" s="355">
        <f>BS225/BS224</f>
        <v>1.8216271073117152</v>
      </c>
      <c r="BT223" s="281"/>
      <c r="BU223" s="355">
        <f>BU225/BU224</f>
        <v>1.490503638296133</v>
      </c>
      <c r="BV223" s="281"/>
      <c r="BW223" s="355">
        <f>BW225/BW224</f>
        <v>1.3778920815968416</v>
      </c>
      <c r="BX223" s="281"/>
      <c r="BY223" s="355">
        <f>BY225/BY224</f>
        <v>1.509761861479731</v>
      </c>
      <c r="BZ223" s="281"/>
      <c r="CA223" s="355">
        <f>CA225/CA224</f>
        <v>1.69838871347667</v>
      </c>
      <c r="CB223" s="281"/>
      <c r="CC223" s="355">
        <f>CC225/CC224</f>
        <v>1.4346129378553538</v>
      </c>
      <c r="CD223" s="281"/>
      <c r="CE223" s="355">
        <f>CE225/CE224</f>
        <v>1.2915604976903592</v>
      </c>
      <c r="CF223" s="281"/>
      <c r="CG223" s="355">
        <f>CG225/CG224</f>
        <v>1.4855845793550713</v>
      </c>
      <c r="CH223" s="281"/>
      <c r="CI223" s="355">
        <f>CI225/CI224</f>
        <v>1.7816884412408289</v>
      </c>
      <c r="CJ223" s="281"/>
      <c r="CK223" s="355">
        <f>CK225/CK224</f>
        <v>1.7299785827008343</v>
      </c>
      <c r="CL223" s="281"/>
      <c r="CM223" s="355">
        <f>CM225/CM224</f>
        <v>1.7529301655867531</v>
      </c>
      <c r="CN223" s="281"/>
      <c r="CO223" s="355">
        <f>CO225/CO224</f>
        <v>1.929064582131053</v>
      </c>
      <c r="CP223" s="281"/>
      <c r="CQ223" s="355">
        <f>CQ225/CQ224</f>
        <v>1.5841353748543312</v>
      </c>
      <c r="CR223" s="281"/>
      <c r="CS223" s="355">
        <f>CS225/CS224</f>
        <v>1.8775777414075288</v>
      </c>
      <c r="CT223" s="281"/>
      <c r="CU223" s="355">
        <f>CU225/CU224</f>
        <v>2.3361217346211189</v>
      </c>
      <c r="CV223" s="281"/>
      <c r="CW223" s="355">
        <f>CW225/CW224</f>
        <v>3.117650444793302</v>
      </c>
      <c r="CX223" s="281"/>
      <c r="CY223" s="355">
        <f>CY225/CY224</f>
        <v>2.9432254975719858</v>
      </c>
      <c r="CZ223" s="281"/>
      <c r="DA223" s="355">
        <f>DA225/DA224</f>
        <v>2.9757048685569054</v>
      </c>
      <c r="DB223" s="281"/>
      <c r="DC223" s="355">
        <f>DC225/DC224</f>
        <v>1.2910117110906862</v>
      </c>
      <c r="DD223" s="281"/>
      <c r="DE223" s="355">
        <f>DE225/DE224</f>
        <v>1.1884876002581359</v>
      </c>
      <c r="DF223" s="281"/>
      <c r="DG223" s="355">
        <f>DG225/DG224</f>
        <v>1.1769606842737095</v>
      </c>
      <c r="DH223" s="281"/>
      <c r="DI223" s="355">
        <f>DI225/DI224</f>
        <v>1.470893074795504</v>
      </c>
      <c r="DJ223" s="281"/>
      <c r="DK223" s="355">
        <f>DK225/DK224</f>
        <v>1.3396474888975123</v>
      </c>
      <c r="DL223" s="281"/>
      <c r="DM223" s="355">
        <f>DM225/DM224</f>
        <v>1.2400153543044981</v>
      </c>
      <c r="DN223" s="281"/>
      <c r="DO223" s="355">
        <f>DO225/DO224</f>
        <v>1.3766535950994176</v>
      </c>
      <c r="DP223" s="281"/>
      <c r="DQ223" s="355">
        <f>DQ225/DQ224</f>
        <v>1.1063653404137275</v>
      </c>
      <c r="DR223" s="281"/>
      <c r="DS223" s="355">
        <f>DS225/DS224</f>
        <v>1.6111594550762245</v>
      </c>
      <c r="DT223" s="281"/>
      <c r="DU223" s="111"/>
      <c r="DV223" s="111"/>
      <c r="DW223" s="111"/>
      <c r="DX223" s="111"/>
      <c r="DY223" s="111"/>
      <c r="DZ223" s="111"/>
      <c r="EA223" s="111"/>
      <c r="EB223" s="111"/>
      <c r="EC223" s="111"/>
      <c r="ED223" s="111"/>
      <c r="EE223" s="111"/>
      <c r="EF223" s="111"/>
      <c r="EG223" s="111"/>
      <c r="EH223" s="111"/>
      <c r="EI223" s="111"/>
      <c r="EJ223" s="111"/>
      <c r="EK223" s="111"/>
      <c r="EL223" s="111"/>
      <c r="EM223" s="111"/>
      <c r="EN223" s="355">
        <f>EN225/EN224</f>
        <v>1.3545063669972419</v>
      </c>
      <c r="EO223" s="281"/>
      <c r="EP223" s="355">
        <f>EP225/EP224</f>
        <v>1.292649802890933</v>
      </c>
      <c r="EQ223" s="281"/>
      <c r="ER223" s="355">
        <f>ER225/ER224</f>
        <v>1.3662982162473192</v>
      </c>
      <c r="ES223" s="281"/>
      <c r="ET223" s="355">
        <f>ET225/ET224</f>
        <v>1.1022756161377447</v>
      </c>
      <c r="EU223" s="281"/>
      <c r="EV223" s="355">
        <f>EV225/EV224</f>
        <v>1.6614394071490848</v>
      </c>
      <c r="EW223" s="281"/>
      <c r="EX223" s="355">
        <f>EX225/EX224</f>
        <v>1.2333206174855278</v>
      </c>
      <c r="EY223" s="281"/>
      <c r="EZ223" s="355">
        <f>EZ225/EZ224</f>
        <v>0.97891735326285079</v>
      </c>
      <c r="FA223" s="281"/>
      <c r="FB223" s="355">
        <f>FB225/FB224</f>
        <v>1.3586575652356903</v>
      </c>
      <c r="FC223" s="281"/>
      <c r="FD223" s="355">
        <f>FD225/FD224</f>
        <v>1.3555074959261271</v>
      </c>
      <c r="FE223" s="281"/>
      <c r="FF223" s="355">
        <f>FF225/FF224</f>
        <v>1.5845937089650233</v>
      </c>
      <c r="FG223" s="281"/>
      <c r="FH223" s="355">
        <f>FH225/FH224</f>
        <v>1.6504341090254564</v>
      </c>
      <c r="FI223" s="281"/>
      <c r="FJ223" s="355">
        <f>FJ225/FJ224</f>
        <v>1.1725883611789001</v>
      </c>
      <c r="FK223" s="281"/>
      <c r="FL223" s="355">
        <f>FL225/FL224</f>
        <v>1.0330320828226998</v>
      </c>
      <c r="FM223" s="281"/>
      <c r="FN223" s="355">
        <f>FN225/FN224</f>
        <v>1.1632266612520508</v>
      </c>
      <c r="FO223" s="281"/>
      <c r="FP223" s="355">
        <f>FP225/FP224</f>
        <v>5.6071689831748352E-2</v>
      </c>
      <c r="FQ223" s="281"/>
      <c r="FR223" s="111"/>
      <c r="FS223" s="111"/>
      <c r="FT223" s="111"/>
      <c r="FU223" s="111"/>
      <c r="FV223" s="111"/>
      <c r="FW223" s="111"/>
      <c r="FX223" s="230"/>
      <c r="FY223" s="230"/>
      <c r="FZ223" s="230"/>
      <c r="GA223" s="230"/>
      <c r="GB223" s="230"/>
      <c r="GC223" s="230"/>
      <c r="GD223" s="230"/>
      <c r="GE223" s="230"/>
      <c r="GF223" s="230"/>
      <c r="GG223" s="230"/>
    </row>
    <row r="224" spans="1:189" ht="15" customHeight="1" outlineLevel="1" x14ac:dyDescent="0.3">
      <c r="A224" s="112"/>
      <c r="B224" s="286"/>
      <c r="C224" s="301"/>
      <c r="D224" s="301"/>
      <c r="E224" s="301"/>
      <c r="F224" s="301"/>
      <c r="G224" s="114" t="s">
        <v>178</v>
      </c>
      <c r="H224" s="114"/>
      <c r="I224" s="284">
        <f>I280</f>
        <v>287131</v>
      </c>
      <c r="J224" s="281"/>
      <c r="K224" s="284">
        <f>K280</f>
        <v>33486</v>
      </c>
      <c r="L224" s="281"/>
      <c r="M224" s="284">
        <f>M280</f>
        <v>22506</v>
      </c>
      <c r="N224" s="281"/>
      <c r="O224" s="284">
        <f>O280</f>
        <v>21864</v>
      </c>
      <c r="P224" s="281"/>
      <c r="Q224" s="284">
        <f>Q280</f>
        <v>21994</v>
      </c>
      <c r="R224" s="281"/>
      <c r="S224" s="284">
        <f>S280</f>
        <v>18364</v>
      </c>
      <c r="T224" s="281"/>
      <c r="U224" s="284">
        <f>U280</f>
        <v>18699</v>
      </c>
      <c r="V224" s="281"/>
      <c r="W224" s="284">
        <f>W280</f>
        <v>28055</v>
      </c>
      <c r="X224" s="281"/>
      <c r="Y224" s="284">
        <f>Y280</f>
        <v>25299</v>
      </c>
      <c r="Z224" s="281"/>
      <c r="AA224" s="284">
        <f>AA280</f>
        <v>35255</v>
      </c>
      <c r="AB224" s="281"/>
      <c r="AC224" s="284">
        <f>AC280</f>
        <v>14153</v>
      </c>
      <c r="AD224" s="281"/>
      <c r="AE224" s="284">
        <f>AE280</f>
        <v>33593</v>
      </c>
      <c r="AF224" s="281"/>
      <c r="AG224" s="284">
        <f>AG280</f>
        <v>26781</v>
      </c>
      <c r="AH224" s="281"/>
      <c r="AI224" s="284">
        <f>AI280</f>
        <v>20082</v>
      </c>
      <c r="AJ224" s="281"/>
      <c r="AK224" s="284">
        <f>AK280</f>
        <v>19723</v>
      </c>
      <c r="AL224" s="281"/>
      <c r="AM224" s="284">
        <f>AM280</f>
        <v>22229</v>
      </c>
      <c r="AN224" s="281"/>
      <c r="AO224" s="284">
        <f>AO280</f>
        <v>45210</v>
      </c>
      <c r="AP224" s="281"/>
      <c r="AQ224" s="284">
        <f>AQ280</f>
        <v>30755</v>
      </c>
      <c r="AR224" s="281"/>
      <c r="AS224" s="284">
        <f>AS280</f>
        <v>30450</v>
      </c>
      <c r="AT224" s="281"/>
      <c r="AU224" s="284">
        <f>AU280</f>
        <v>33515</v>
      </c>
      <c r="AV224" s="281"/>
      <c r="AW224" s="284">
        <f>AW280</f>
        <v>25441</v>
      </c>
      <c r="AX224" s="281"/>
      <c r="AY224" s="284">
        <f>AY280</f>
        <v>18298</v>
      </c>
      <c r="AZ224" s="281"/>
      <c r="BA224" s="284">
        <f>BA280</f>
        <v>13127</v>
      </c>
      <c r="BB224" s="281"/>
      <c r="BC224" s="284">
        <f>BC280</f>
        <v>13792</v>
      </c>
      <c r="BD224" s="281"/>
      <c r="BE224" s="284">
        <f>BE280</f>
        <v>20596</v>
      </c>
      <c r="BF224" s="281"/>
      <c r="BG224" s="284">
        <f>BG280</f>
        <v>17238</v>
      </c>
      <c r="BH224" s="281"/>
      <c r="BI224" s="284">
        <f>BI280</f>
        <v>14043</v>
      </c>
      <c r="BJ224" s="281"/>
      <c r="BK224" s="284">
        <f>BK280</f>
        <v>23700</v>
      </c>
      <c r="BL224" s="281"/>
      <c r="BM224" s="284">
        <f>BM280</f>
        <v>23711</v>
      </c>
      <c r="BN224" s="281"/>
      <c r="BO224" s="284">
        <f>BO280</f>
        <v>20637</v>
      </c>
      <c r="BP224" s="281"/>
      <c r="BQ224" s="284">
        <f>BQ280</f>
        <v>23888</v>
      </c>
      <c r="BR224" s="281"/>
      <c r="BS224" s="284">
        <f>BS280</f>
        <v>20939</v>
      </c>
      <c r="BT224" s="281"/>
      <c r="BU224" s="284">
        <f>BU280</f>
        <v>24462</v>
      </c>
      <c r="BV224" s="281"/>
      <c r="BW224" s="284">
        <f>BW280</f>
        <v>22795</v>
      </c>
      <c r="BX224" s="281"/>
      <c r="BY224" s="284">
        <f>BY280</f>
        <v>22004</v>
      </c>
      <c r="BZ224" s="281"/>
      <c r="CA224" s="284">
        <f>CA280</f>
        <v>19953</v>
      </c>
      <c r="CB224" s="281"/>
      <c r="CC224" s="284">
        <f>CC280</f>
        <v>25151</v>
      </c>
      <c r="CD224" s="281"/>
      <c r="CE224" s="284">
        <f>CE280</f>
        <v>26844</v>
      </c>
      <c r="CF224" s="281"/>
      <c r="CG224" s="284">
        <f>CG280</f>
        <v>27755</v>
      </c>
      <c r="CH224" s="281"/>
      <c r="CI224" s="284">
        <f>CI280</f>
        <v>31076</v>
      </c>
      <c r="CJ224" s="281"/>
      <c r="CK224" s="284">
        <f>CK280</f>
        <v>26614</v>
      </c>
      <c r="CL224" s="281"/>
      <c r="CM224" s="284">
        <f>CM280</f>
        <v>27780</v>
      </c>
      <c r="CN224" s="281"/>
      <c r="CO224" s="284">
        <f>CO280</f>
        <v>19061</v>
      </c>
      <c r="CP224" s="281"/>
      <c r="CQ224" s="284">
        <f>CQ280</f>
        <v>30892</v>
      </c>
      <c r="CR224" s="281"/>
      <c r="CS224" s="284">
        <f>CS280</f>
        <v>15886</v>
      </c>
      <c r="CT224" s="281"/>
      <c r="CU224" s="284">
        <f>CU280</f>
        <v>15427</v>
      </c>
      <c r="CV224" s="281"/>
      <c r="CW224" s="284">
        <f>CW280</f>
        <v>9555</v>
      </c>
      <c r="CX224" s="281"/>
      <c r="CY224" s="284">
        <f>CY280</f>
        <v>14621</v>
      </c>
      <c r="CZ224" s="281"/>
      <c r="DA224" s="284">
        <f>DA280</f>
        <v>12591</v>
      </c>
      <c r="DB224" s="281"/>
      <c r="DC224" s="284">
        <f>DC280</f>
        <v>26112</v>
      </c>
      <c r="DD224" s="281"/>
      <c r="DE224" s="284">
        <f>DE280</f>
        <v>21694</v>
      </c>
      <c r="DF224" s="281"/>
      <c r="DG224" s="284">
        <f>DG280</f>
        <v>19992</v>
      </c>
      <c r="DH224" s="281"/>
      <c r="DI224" s="284">
        <f>DI280</f>
        <v>16993</v>
      </c>
      <c r="DJ224" s="281"/>
      <c r="DK224" s="284">
        <f>DK280</f>
        <v>23193</v>
      </c>
      <c r="DL224" s="281"/>
      <c r="DM224" s="284">
        <f>DM280</f>
        <v>24033</v>
      </c>
      <c r="DN224" s="281"/>
      <c r="DO224" s="284">
        <f>DO280</f>
        <v>19916</v>
      </c>
      <c r="DP224" s="281"/>
      <c r="DQ224" s="284">
        <f>DQ280</f>
        <v>25234</v>
      </c>
      <c r="DR224" s="281"/>
      <c r="DS224" s="284">
        <f>DS280</f>
        <v>15415</v>
      </c>
      <c r="DT224" s="281"/>
      <c r="DU224" s="111"/>
      <c r="DV224" s="111"/>
      <c r="DW224" s="111"/>
      <c r="DX224" s="111"/>
      <c r="DY224" s="111"/>
      <c r="DZ224" s="111"/>
      <c r="EA224" s="111"/>
      <c r="EB224" s="111"/>
      <c r="EC224" s="111"/>
      <c r="ED224" s="111"/>
      <c r="EE224" s="111"/>
      <c r="EF224" s="111"/>
      <c r="EG224" s="111"/>
      <c r="EH224" s="111"/>
      <c r="EI224" s="111"/>
      <c r="EJ224" s="111"/>
      <c r="EK224" s="111"/>
      <c r="EL224" s="111"/>
      <c r="EM224" s="111"/>
      <c r="EN224" s="284">
        <f>EN280</f>
        <v>17041</v>
      </c>
      <c r="EO224" s="281"/>
      <c r="EP224" s="284">
        <f>EP280</f>
        <v>16742</v>
      </c>
      <c r="EQ224" s="281"/>
      <c r="ER224" s="284">
        <f>ER280</f>
        <v>19117</v>
      </c>
      <c r="ES224" s="281"/>
      <c r="ET224" s="284">
        <f>ET280</f>
        <v>23696</v>
      </c>
      <c r="EU224" s="281"/>
      <c r="EV224" s="284">
        <f>EV280</f>
        <v>14911</v>
      </c>
      <c r="EW224" s="281"/>
      <c r="EX224" s="284">
        <f>EX280</f>
        <v>20211</v>
      </c>
      <c r="EY224" s="281"/>
      <c r="EZ224" s="284">
        <f>EZ280</f>
        <v>27430</v>
      </c>
      <c r="FA224" s="281"/>
      <c r="FB224" s="284">
        <f>FB280</f>
        <v>19008</v>
      </c>
      <c r="FC224" s="281"/>
      <c r="FD224" s="284">
        <f>FD280</f>
        <v>18410</v>
      </c>
      <c r="FE224" s="281"/>
      <c r="FF224" s="284">
        <f>FF280</f>
        <v>16754</v>
      </c>
      <c r="FG224" s="281"/>
      <c r="FH224" s="284">
        <f>FH280</f>
        <v>15556</v>
      </c>
      <c r="FI224" s="281"/>
      <c r="FJ224" s="284">
        <f>FJ280</f>
        <v>15981</v>
      </c>
      <c r="FK224" s="281"/>
      <c r="FL224" s="284">
        <f>FL280</f>
        <v>18056</v>
      </c>
      <c r="FM224" s="281"/>
      <c r="FN224" s="284">
        <f>FN280</f>
        <v>15239</v>
      </c>
      <c r="FO224" s="281"/>
      <c r="FP224" s="284">
        <f>FP280</f>
        <v>13670</v>
      </c>
      <c r="FQ224" s="281"/>
      <c r="FR224" s="111"/>
      <c r="FS224" s="111"/>
      <c r="FT224" s="111"/>
      <c r="FU224" s="111"/>
      <c r="FV224" s="111"/>
      <c r="FW224" s="111"/>
      <c r="FX224" s="230"/>
      <c r="FY224" s="230"/>
      <c r="FZ224" s="230"/>
      <c r="GA224" s="230"/>
      <c r="GB224" s="230"/>
      <c r="GC224" s="230"/>
      <c r="GD224" s="230"/>
      <c r="GE224" s="230"/>
      <c r="GF224" s="230"/>
      <c r="GG224" s="230"/>
    </row>
    <row r="225" spans="1:189" ht="15" customHeight="1" outlineLevel="1" x14ac:dyDescent="0.3">
      <c r="A225" s="1"/>
      <c r="B225" s="286"/>
      <c r="C225" s="301"/>
      <c r="D225" s="301"/>
      <c r="E225" s="301"/>
      <c r="F225" s="301"/>
      <c r="G225" s="5" t="s">
        <v>179</v>
      </c>
      <c r="H225" s="5"/>
      <c r="I225" s="338">
        <f>SUM(I226:J232)</f>
        <v>148479.47200000001</v>
      </c>
      <c r="J225" s="281"/>
      <c r="K225" s="338">
        <f>SUM(K226:L232)</f>
        <v>17828.088000000003</v>
      </c>
      <c r="L225" s="281"/>
      <c r="M225" s="338">
        <f>SUM(M226:N232)</f>
        <v>14098.26</v>
      </c>
      <c r="N225" s="281"/>
      <c r="O225" s="338">
        <f>SUM(O226:P232)</f>
        <v>14255.22</v>
      </c>
      <c r="P225" s="281"/>
      <c r="Q225" s="338">
        <f>SUM(Q226:R232)</f>
        <v>10488.6</v>
      </c>
      <c r="R225" s="281"/>
      <c r="S225" s="338">
        <f>SUM(S226:T232)</f>
        <v>10298.6</v>
      </c>
      <c r="T225" s="281"/>
      <c r="U225" s="338">
        <f>SUM(U226:V232)</f>
        <v>10302.400000000001</v>
      </c>
      <c r="V225" s="281"/>
      <c r="W225" s="338">
        <f>SUM(W226:X232)</f>
        <v>10382.400000000001</v>
      </c>
      <c r="X225" s="281"/>
      <c r="Y225" s="338">
        <f>SUM(Y226:Z232)</f>
        <v>12482</v>
      </c>
      <c r="Z225" s="281"/>
      <c r="AA225" s="338">
        <f>SUM(AA226:AB232)</f>
        <v>12760.2</v>
      </c>
      <c r="AB225" s="281"/>
      <c r="AC225" s="338">
        <f>SUM(AC226:AD232)</f>
        <v>11752</v>
      </c>
      <c r="AD225" s="281"/>
      <c r="AE225" s="338">
        <f>SUM(AE226:AF232)</f>
        <v>14163.800000000001</v>
      </c>
      <c r="AF225" s="281"/>
      <c r="AG225" s="338">
        <f>SUM(AG226:AH232)</f>
        <v>14025.6</v>
      </c>
      <c r="AH225" s="281"/>
      <c r="AI225" s="338">
        <f>SUM(AI226:AJ232)</f>
        <v>19167.3</v>
      </c>
      <c r="AJ225" s="281"/>
      <c r="AK225" s="338">
        <f>SUM(AK226:AL232)</f>
        <v>17665</v>
      </c>
      <c r="AL225" s="281"/>
      <c r="AM225" s="338">
        <f>SUM(AM226:AN232)</f>
        <v>20432.2</v>
      </c>
      <c r="AN225" s="281"/>
      <c r="AO225" s="338">
        <f>SUM(AO226:AP232)</f>
        <v>25586.6</v>
      </c>
      <c r="AP225" s="281"/>
      <c r="AQ225" s="338">
        <f>SUM(AQ226:AR232)</f>
        <v>25188.799999999999</v>
      </c>
      <c r="AR225" s="281"/>
      <c r="AS225" s="338">
        <f>SUM(AS226:AT232)</f>
        <v>29806.6</v>
      </c>
      <c r="AT225" s="281"/>
      <c r="AU225" s="338">
        <f>SUM(AU226:AV232)</f>
        <v>38175.479999999996</v>
      </c>
      <c r="AV225" s="281"/>
      <c r="AW225" s="338">
        <f>SUM(AW226:AX232)</f>
        <v>32243.14</v>
      </c>
      <c r="AX225" s="281"/>
      <c r="AY225" s="338">
        <f>SUM(AY226:AZ232)</f>
        <v>32047.58</v>
      </c>
      <c r="AZ225" s="281"/>
      <c r="BA225" s="338">
        <f>SUM(BA226:BB232)</f>
        <v>35742.780000000006</v>
      </c>
      <c r="BB225" s="281"/>
      <c r="BC225" s="338">
        <f>SUM(BC226:BD232)</f>
        <v>43749.64</v>
      </c>
      <c r="BD225" s="281"/>
      <c r="BE225" s="338">
        <f>SUM(BE226:BF232)</f>
        <v>41347.550000000003</v>
      </c>
      <c r="BF225" s="281"/>
      <c r="BG225" s="338">
        <f>SUM(BG226:BH232)</f>
        <v>28075.800000000003</v>
      </c>
      <c r="BH225" s="281"/>
      <c r="BI225" s="338">
        <f>SUM(BI226:BJ232)</f>
        <v>26183.550000000003</v>
      </c>
      <c r="BJ225" s="281"/>
      <c r="BK225" s="338">
        <f>SUM(BK226:BL232)</f>
        <v>36958.550000000003</v>
      </c>
      <c r="BL225" s="281"/>
      <c r="BM225" s="338">
        <f>SUM(BM226:BN232)</f>
        <v>39724.550000000003</v>
      </c>
      <c r="BN225" s="281"/>
      <c r="BO225" s="338">
        <f>SUM(BO226:BP232)</f>
        <v>33583.5</v>
      </c>
      <c r="BP225" s="281"/>
      <c r="BQ225" s="338">
        <f>SUM(BQ226:BR232)</f>
        <v>39026.400000000001</v>
      </c>
      <c r="BR225" s="281"/>
      <c r="BS225" s="338">
        <f>SUM(BS226:BT232)</f>
        <v>38143.050000000003</v>
      </c>
      <c r="BT225" s="281"/>
      <c r="BU225" s="338">
        <f>SUM(BU226:BV232)</f>
        <v>36460.700000000004</v>
      </c>
      <c r="BV225" s="281"/>
      <c r="BW225" s="338">
        <f>SUM(BW226:BX232)</f>
        <v>31409.050000000003</v>
      </c>
      <c r="BX225" s="281"/>
      <c r="BY225" s="338">
        <f>SUM(BY226:BZ232)</f>
        <v>33220.800000000003</v>
      </c>
      <c r="BZ225" s="281"/>
      <c r="CA225" s="338">
        <f>SUM(CA226:CB232)</f>
        <v>33887.949999999997</v>
      </c>
      <c r="CB225" s="281"/>
      <c r="CC225" s="338">
        <f>SUM(CC226:CD232)</f>
        <v>36081.950000000004</v>
      </c>
      <c r="CD225" s="281"/>
      <c r="CE225" s="338">
        <f>SUM(CE226:CF232)</f>
        <v>34670.65</v>
      </c>
      <c r="CF225" s="281"/>
      <c r="CG225" s="338">
        <f>SUM(CG226:CH232)</f>
        <v>41232.400000000001</v>
      </c>
      <c r="CH225" s="281"/>
      <c r="CI225" s="338">
        <f>SUM(CI226:CJ232)</f>
        <v>55367.75</v>
      </c>
      <c r="CJ225" s="281"/>
      <c r="CK225" s="338">
        <f>SUM(CK226:CL232)</f>
        <v>46041.65</v>
      </c>
      <c r="CL225" s="281"/>
      <c r="CM225" s="338">
        <f>SUM(CM226:CN232)</f>
        <v>48696.4</v>
      </c>
      <c r="CN225" s="281"/>
      <c r="CO225" s="338">
        <f>SUM(CO226:CP232)</f>
        <v>36769.9</v>
      </c>
      <c r="CP225" s="281"/>
      <c r="CQ225" s="338">
        <f>SUM(CQ226:CR232)</f>
        <v>48937.11</v>
      </c>
      <c r="CR225" s="281"/>
      <c r="CS225" s="338">
        <f>SUM(CS226:CT232)</f>
        <v>29827.200000000001</v>
      </c>
      <c r="CT225" s="281"/>
      <c r="CU225" s="338">
        <f>SUM(CU226:CV232)</f>
        <v>36039.35</v>
      </c>
      <c r="CV225" s="281"/>
      <c r="CW225" s="338">
        <f>SUM(CW226:CX232)</f>
        <v>29789.15</v>
      </c>
      <c r="CX225" s="281"/>
      <c r="CY225" s="338">
        <f>SUM(CY226:CZ232)</f>
        <v>43032.9</v>
      </c>
      <c r="CZ225" s="281"/>
      <c r="DA225" s="338">
        <f>SUM(DA226:DB232)</f>
        <v>37467.1</v>
      </c>
      <c r="DB225" s="281"/>
      <c r="DC225" s="338">
        <f>SUM(DC226:DD232)</f>
        <v>33710.897799999999</v>
      </c>
      <c r="DD225" s="281"/>
      <c r="DE225" s="338">
        <f>SUM(DE226:DF232)</f>
        <v>25783.050000000003</v>
      </c>
      <c r="DF225" s="281"/>
      <c r="DG225" s="338">
        <f>SUM(DG226:DH232)</f>
        <v>23529.797999999999</v>
      </c>
      <c r="DH225" s="281"/>
      <c r="DI225" s="338">
        <f>SUM(DI226:DJ232)</f>
        <v>24994.886019999998</v>
      </c>
      <c r="DJ225" s="281"/>
      <c r="DK225" s="338">
        <f>SUM(DK226:DL232)</f>
        <v>31070.444210000001</v>
      </c>
      <c r="DL225" s="281"/>
      <c r="DM225" s="338">
        <f>SUM(DM226:DN232)</f>
        <v>29801.28901</v>
      </c>
      <c r="DN225" s="281"/>
      <c r="DO225" s="338">
        <f>SUM(DO226:DP232)</f>
        <v>27417.433000000001</v>
      </c>
      <c r="DP225" s="281"/>
      <c r="DQ225" s="338">
        <f>SUM(DQ226:DR232)</f>
        <v>27918.022999999997</v>
      </c>
      <c r="DR225" s="281"/>
      <c r="DS225" s="338">
        <f>SUM(DS226:DT232)</f>
        <v>24836.023000000001</v>
      </c>
      <c r="DT225" s="281"/>
      <c r="DU225" s="111"/>
      <c r="DV225" s="111"/>
      <c r="DW225" s="111"/>
      <c r="DX225" s="111"/>
      <c r="DY225" s="111"/>
      <c r="DZ225" s="111"/>
      <c r="EA225" s="111"/>
      <c r="EB225" s="111"/>
      <c r="EC225" s="111"/>
      <c r="ED225" s="111"/>
      <c r="EE225" s="111"/>
      <c r="EF225" s="111"/>
      <c r="EG225" s="111"/>
      <c r="EH225" s="111"/>
      <c r="EI225" s="111"/>
      <c r="EJ225" s="111"/>
      <c r="EK225" s="111"/>
      <c r="EL225" s="111"/>
      <c r="EM225" s="111"/>
      <c r="EN225" s="338">
        <f>SUM(EN226:EO232)</f>
        <v>23082.143</v>
      </c>
      <c r="EO225" s="281"/>
      <c r="EP225" s="338">
        <f>SUM(EP226:EQ232)</f>
        <v>21641.543000000001</v>
      </c>
      <c r="EQ225" s="281"/>
      <c r="ER225" s="338">
        <f>SUM(ER226:ES232)</f>
        <v>26119.523000000001</v>
      </c>
      <c r="ES225" s="281"/>
      <c r="ET225" s="338">
        <f>SUM(ET226:EU232)</f>
        <v>26119.523000000001</v>
      </c>
      <c r="EU225" s="281"/>
      <c r="EV225" s="338">
        <f>SUM(EV226:EW232)</f>
        <v>24773.723000000002</v>
      </c>
      <c r="EW225" s="281"/>
      <c r="EX225" s="338">
        <f>SUM(EX226:EY232)</f>
        <v>24926.643</v>
      </c>
      <c r="EY225" s="281"/>
      <c r="EZ225" s="338">
        <f>SUM(EZ226:FA232)</f>
        <v>26851.702999999998</v>
      </c>
      <c r="FA225" s="281"/>
      <c r="FB225" s="338">
        <f>SUM(FB226:FC232)</f>
        <v>25825.363000000001</v>
      </c>
      <c r="FC225" s="281"/>
      <c r="FD225" s="338">
        <f>SUM(FD226:FE232)</f>
        <v>24954.893</v>
      </c>
      <c r="FE225" s="281"/>
      <c r="FF225" s="338">
        <f>SUM(FF226:FG232)</f>
        <v>26548.282999999999</v>
      </c>
      <c r="FG225" s="281"/>
      <c r="FH225" s="338">
        <f>SUM(FH226:FI232)</f>
        <v>25674.152999999998</v>
      </c>
      <c r="FI225" s="281"/>
      <c r="FJ225" s="338">
        <f>SUM(FJ226:FK232)</f>
        <v>18739.134600000001</v>
      </c>
      <c r="FK225" s="281"/>
      <c r="FL225" s="338">
        <f>SUM(FL226:FM232)</f>
        <v>18652.427287446666</v>
      </c>
      <c r="FM225" s="281"/>
      <c r="FN225" s="338">
        <f>SUM(FN226:FO232)</f>
        <v>17726.411090820002</v>
      </c>
      <c r="FO225" s="281"/>
      <c r="FP225" s="338">
        <f>SUM(FP226:FQ232)</f>
        <v>766.5</v>
      </c>
      <c r="FQ225" s="281"/>
      <c r="FR225" s="111"/>
      <c r="FS225" s="111"/>
      <c r="FT225" s="111"/>
      <c r="FU225" s="111"/>
      <c r="FV225" s="111"/>
      <c r="FW225" s="111"/>
      <c r="FX225" s="230"/>
      <c r="FY225" s="230"/>
      <c r="FZ225" s="230"/>
      <c r="GA225" s="230"/>
      <c r="GB225" s="230"/>
      <c r="GC225" s="230"/>
      <c r="GD225" s="230"/>
      <c r="GE225" s="230"/>
      <c r="GF225" s="230"/>
      <c r="GG225" s="230"/>
    </row>
    <row r="226" spans="1:189" ht="15" hidden="1" customHeight="1" outlineLevel="2" x14ac:dyDescent="0.3">
      <c r="A226" s="1"/>
      <c r="B226" s="286"/>
      <c r="C226" s="301"/>
      <c r="D226" s="301"/>
      <c r="E226" s="301"/>
      <c r="F226" s="301"/>
      <c r="G226" s="115" t="s">
        <v>180</v>
      </c>
      <c r="H226" s="5"/>
      <c r="I226" s="338">
        <f t="shared" ref="I226:I227" si="518">SUM(K226:AH226)</f>
        <v>54000</v>
      </c>
      <c r="J226" s="281"/>
      <c r="K226" s="338">
        <v>4500</v>
      </c>
      <c r="L226" s="281"/>
      <c r="M226" s="338">
        <v>4500</v>
      </c>
      <c r="N226" s="281"/>
      <c r="O226" s="338">
        <v>4500</v>
      </c>
      <c r="P226" s="281"/>
      <c r="Q226" s="338">
        <v>4500</v>
      </c>
      <c r="R226" s="281"/>
      <c r="S226" s="338">
        <v>4500</v>
      </c>
      <c r="T226" s="281"/>
      <c r="U226" s="338">
        <f t="shared" ref="U226:U227" si="519">S226</f>
        <v>4500</v>
      </c>
      <c r="V226" s="281"/>
      <c r="W226" s="338">
        <f t="shared" ref="W226:W227" si="520">U226</f>
        <v>4500</v>
      </c>
      <c r="X226" s="281"/>
      <c r="Y226" s="338">
        <f t="shared" ref="Y226:Y227" si="521">W226</f>
        <v>4500</v>
      </c>
      <c r="Z226" s="281"/>
      <c r="AA226" s="338">
        <f t="shared" ref="AA226:AA227" si="522">Y226</f>
        <v>4500</v>
      </c>
      <c r="AB226" s="281"/>
      <c r="AC226" s="338">
        <f t="shared" ref="AC226:AC227" si="523">AA226</f>
        <v>4500</v>
      </c>
      <c r="AD226" s="281"/>
      <c r="AE226" s="338">
        <f>AC226</f>
        <v>4500</v>
      </c>
      <c r="AF226" s="281"/>
      <c r="AG226" s="338">
        <f>AE226</f>
        <v>4500</v>
      </c>
      <c r="AH226" s="281"/>
      <c r="AI226" s="338">
        <f>AI77</f>
        <v>9507.2999999999993</v>
      </c>
      <c r="AJ226" s="281"/>
      <c r="AK226" s="338">
        <f>AK77</f>
        <v>9578.7999999999993</v>
      </c>
      <c r="AL226" s="281"/>
      <c r="AM226" s="338">
        <f>AM77</f>
        <v>11321</v>
      </c>
      <c r="AN226" s="281"/>
      <c r="AO226" s="338">
        <f>AO77</f>
        <v>17397</v>
      </c>
      <c r="AP226" s="281"/>
      <c r="AQ226" s="338">
        <f>AQ77</f>
        <v>12981</v>
      </c>
      <c r="AR226" s="281"/>
      <c r="AS226" s="338">
        <f>AS77</f>
        <v>17517.12</v>
      </c>
      <c r="AT226" s="281"/>
      <c r="AU226" s="338">
        <f>AU77</f>
        <v>18511</v>
      </c>
      <c r="AV226" s="281"/>
      <c r="AW226" s="338">
        <f>AW77</f>
        <v>11071</v>
      </c>
      <c r="AX226" s="281"/>
      <c r="AY226" s="338">
        <f>AY77</f>
        <v>7840</v>
      </c>
      <c r="AZ226" s="281"/>
      <c r="BA226" s="338">
        <f>BA77</f>
        <v>7217</v>
      </c>
      <c r="BB226" s="281"/>
      <c r="BC226" s="338">
        <f>BC77</f>
        <v>8539.9599999999991</v>
      </c>
      <c r="BD226" s="281"/>
      <c r="BE226" s="338">
        <f>BE77</f>
        <v>8780.42</v>
      </c>
      <c r="BF226" s="281"/>
      <c r="BG226" s="338">
        <f>BG77</f>
        <v>4093</v>
      </c>
      <c r="BH226" s="281"/>
      <c r="BI226" s="338">
        <f>BI77</f>
        <v>3948</v>
      </c>
      <c r="BJ226" s="281"/>
      <c r="BK226" s="338">
        <f>BK77</f>
        <v>4132</v>
      </c>
      <c r="BL226" s="281"/>
      <c r="BM226" s="338">
        <f>BM77</f>
        <v>4252</v>
      </c>
      <c r="BN226" s="281"/>
      <c r="BO226" s="338">
        <f>BO77</f>
        <v>4008</v>
      </c>
      <c r="BP226" s="281"/>
      <c r="BQ226" s="338">
        <f>BQ77</f>
        <v>3965</v>
      </c>
      <c r="BR226" s="281"/>
      <c r="BS226" s="338">
        <f>BS77</f>
        <v>2916</v>
      </c>
      <c r="BT226" s="281"/>
      <c r="BU226" s="338">
        <f>BU77</f>
        <v>2563</v>
      </c>
      <c r="BV226" s="281"/>
      <c r="BW226" s="338">
        <f>BW77</f>
        <v>2860</v>
      </c>
      <c r="BX226" s="281"/>
      <c r="BY226" s="338">
        <f>BY77</f>
        <v>3211</v>
      </c>
      <c r="BZ226" s="281"/>
      <c r="CA226" s="338">
        <f>CA77</f>
        <v>3001</v>
      </c>
      <c r="CB226" s="281"/>
      <c r="CC226" s="338">
        <f>CC77</f>
        <v>2864</v>
      </c>
      <c r="CD226" s="281"/>
      <c r="CE226" s="338">
        <f>CE77</f>
        <v>0</v>
      </c>
      <c r="CF226" s="281"/>
      <c r="CG226" s="338">
        <f>CG77</f>
        <v>0</v>
      </c>
      <c r="CH226" s="281"/>
      <c r="CI226" s="338">
        <f>CI77</f>
        <v>0</v>
      </c>
      <c r="CJ226" s="281"/>
      <c r="CK226" s="338">
        <f>CK77</f>
        <v>0</v>
      </c>
      <c r="CL226" s="281"/>
      <c r="CM226" s="338">
        <f>CM77</f>
        <v>0</v>
      </c>
      <c r="CN226" s="281"/>
      <c r="CO226" s="338">
        <f>CO77</f>
        <v>0</v>
      </c>
      <c r="CP226" s="281"/>
      <c r="CQ226" s="338">
        <f>CQ77</f>
        <v>0</v>
      </c>
      <c r="CR226" s="281"/>
      <c r="CS226" s="338">
        <f>CS77</f>
        <v>0</v>
      </c>
      <c r="CT226" s="281"/>
      <c r="CU226" s="338">
        <f>CU77</f>
        <v>0</v>
      </c>
      <c r="CV226" s="281"/>
      <c r="CW226" s="338">
        <f>CW77</f>
        <v>0</v>
      </c>
      <c r="CX226" s="281"/>
      <c r="CY226" s="338">
        <f>CY77</f>
        <v>0</v>
      </c>
      <c r="CZ226" s="281"/>
      <c r="DA226" s="338">
        <f>DA77</f>
        <v>0</v>
      </c>
      <c r="DB226" s="281"/>
      <c r="DC226" s="338">
        <f>DC77</f>
        <v>0</v>
      </c>
      <c r="DD226" s="281"/>
      <c r="DE226" s="338">
        <f>DE77</f>
        <v>0</v>
      </c>
      <c r="DF226" s="281"/>
      <c r="DG226" s="338">
        <f>DG77</f>
        <v>0</v>
      </c>
      <c r="DH226" s="281"/>
      <c r="DI226" s="338">
        <f>DI77</f>
        <v>0</v>
      </c>
      <c r="DJ226" s="281"/>
      <c r="DK226" s="338">
        <f>DK77</f>
        <v>0</v>
      </c>
      <c r="DL226" s="281"/>
      <c r="DM226" s="338">
        <f>DM77</f>
        <v>0</v>
      </c>
      <c r="DN226" s="281"/>
      <c r="DO226" s="338">
        <f>DO77</f>
        <v>0</v>
      </c>
      <c r="DP226" s="281"/>
      <c r="DQ226" s="338">
        <f>DQ77</f>
        <v>0</v>
      </c>
      <c r="DR226" s="281"/>
      <c r="DS226" s="338">
        <f>DS77</f>
        <v>0</v>
      </c>
      <c r="DT226" s="281"/>
      <c r="DU226" s="111"/>
      <c r="DV226" s="111"/>
      <c r="DW226" s="111"/>
      <c r="DX226" s="111"/>
      <c r="DY226" s="111"/>
      <c r="DZ226" s="111"/>
      <c r="EA226" s="111"/>
      <c r="EB226" s="111"/>
      <c r="EC226" s="111"/>
      <c r="ED226" s="111"/>
      <c r="EE226" s="111"/>
      <c r="EF226" s="111"/>
      <c r="EG226" s="111"/>
      <c r="EH226" s="111"/>
      <c r="EI226" s="111"/>
      <c r="EJ226" s="111"/>
      <c r="EK226" s="111"/>
      <c r="EL226" s="111"/>
      <c r="EM226" s="111"/>
      <c r="EN226" s="338">
        <f>EN77</f>
        <v>0</v>
      </c>
      <c r="EO226" s="281"/>
      <c r="EP226" s="338">
        <f>EP77</f>
        <v>0</v>
      </c>
      <c r="EQ226" s="281"/>
      <c r="ER226" s="338">
        <f>ER77</f>
        <v>0</v>
      </c>
      <c r="ES226" s="281"/>
      <c r="ET226" s="338">
        <f>ET77</f>
        <v>0</v>
      </c>
      <c r="EU226" s="281"/>
      <c r="EV226" s="338">
        <f>EV77</f>
        <v>0</v>
      </c>
      <c r="EW226" s="281"/>
      <c r="EX226" s="338">
        <f>EX77</f>
        <v>0</v>
      </c>
      <c r="EY226" s="281"/>
      <c r="EZ226" s="338">
        <f>EZ77</f>
        <v>0</v>
      </c>
      <c r="FA226" s="281"/>
      <c r="FB226" s="338">
        <f>FB77</f>
        <v>0</v>
      </c>
      <c r="FC226" s="281"/>
      <c r="FD226" s="338">
        <f>FD77</f>
        <v>0</v>
      </c>
      <c r="FE226" s="281"/>
      <c r="FF226" s="338">
        <f>FF77</f>
        <v>0</v>
      </c>
      <c r="FG226" s="281"/>
      <c r="FH226" s="338">
        <f>FH77</f>
        <v>0</v>
      </c>
      <c r="FI226" s="281"/>
      <c r="FJ226" s="338">
        <f>FJ77</f>
        <v>0</v>
      </c>
      <c r="FK226" s="281"/>
      <c r="FL226" s="338">
        <f>FL77</f>
        <v>0</v>
      </c>
      <c r="FM226" s="281"/>
      <c r="FN226" s="338">
        <f>FN77</f>
        <v>0</v>
      </c>
      <c r="FO226" s="281"/>
      <c r="FP226" s="338">
        <f>FP77</f>
        <v>0</v>
      </c>
      <c r="FQ226" s="281"/>
      <c r="FR226" s="111"/>
      <c r="FS226" s="111"/>
      <c r="FT226" s="111"/>
      <c r="FU226" s="111"/>
      <c r="FV226" s="111"/>
      <c r="FW226" s="111"/>
      <c r="FX226" s="230"/>
      <c r="FY226" s="230"/>
      <c r="FZ226" s="230"/>
      <c r="GA226" s="230"/>
      <c r="GB226" s="230"/>
      <c r="GC226" s="230"/>
      <c r="GD226" s="230"/>
      <c r="GE226" s="230"/>
      <c r="GF226" s="230"/>
      <c r="GG226" s="230"/>
    </row>
    <row r="227" spans="1:189" ht="15" hidden="1" customHeight="1" outlineLevel="2" x14ac:dyDescent="0.3">
      <c r="A227" s="1"/>
      <c r="B227" s="286"/>
      <c r="C227" s="301"/>
      <c r="D227" s="301"/>
      <c r="E227" s="301"/>
      <c r="F227" s="301"/>
      <c r="G227" s="115" t="s">
        <v>181</v>
      </c>
      <c r="H227" s="5"/>
      <c r="I227" s="338">
        <f t="shared" si="518"/>
        <v>4848</v>
      </c>
      <c r="J227" s="281"/>
      <c r="K227" s="338">
        <v>255</v>
      </c>
      <c r="L227" s="281"/>
      <c r="M227" s="338">
        <v>255</v>
      </c>
      <c r="N227" s="281"/>
      <c r="O227" s="338">
        <v>255</v>
      </c>
      <c r="P227" s="281"/>
      <c r="Q227" s="338">
        <v>255</v>
      </c>
      <c r="R227" s="281"/>
      <c r="S227" s="338">
        <v>255</v>
      </c>
      <c r="T227" s="281"/>
      <c r="U227" s="338">
        <f t="shared" si="519"/>
        <v>255</v>
      </c>
      <c r="V227" s="281"/>
      <c r="W227" s="338">
        <f t="shared" si="520"/>
        <v>255</v>
      </c>
      <c r="X227" s="281"/>
      <c r="Y227" s="338">
        <f t="shared" si="521"/>
        <v>255</v>
      </c>
      <c r="Z227" s="281"/>
      <c r="AA227" s="338">
        <f t="shared" si="522"/>
        <v>255</v>
      </c>
      <c r="AB227" s="281"/>
      <c r="AC227" s="338">
        <f t="shared" si="523"/>
        <v>255</v>
      </c>
      <c r="AD227" s="281"/>
      <c r="AE227" s="338">
        <f>AE80</f>
        <v>1149</v>
      </c>
      <c r="AF227" s="281"/>
      <c r="AG227" s="338">
        <f>AG80</f>
        <v>1149</v>
      </c>
      <c r="AH227" s="281"/>
      <c r="AI227" s="338">
        <f>AI80</f>
        <v>1149</v>
      </c>
      <c r="AJ227" s="281"/>
      <c r="AK227" s="338">
        <f>AK80</f>
        <v>899</v>
      </c>
      <c r="AL227" s="281"/>
      <c r="AM227" s="338">
        <f>AM80</f>
        <v>1001</v>
      </c>
      <c r="AN227" s="281"/>
      <c r="AO227" s="338">
        <f>AO80</f>
        <v>1189</v>
      </c>
      <c r="AP227" s="281"/>
      <c r="AQ227" s="338">
        <f>AQ80</f>
        <v>1149</v>
      </c>
      <c r="AR227" s="281"/>
      <c r="AS227" s="338">
        <f>AS80</f>
        <v>1149</v>
      </c>
      <c r="AT227" s="281"/>
      <c r="AU227" s="338">
        <f>AU80</f>
        <v>1149</v>
      </c>
      <c r="AV227" s="281"/>
      <c r="AW227" s="338">
        <f>AW80</f>
        <v>1149</v>
      </c>
      <c r="AX227" s="281"/>
      <c r="AY227" s="338">
        <f>AY80</f>
        <v>1050.7</v>
      </c>
      <c r="AZ227" s="281"/>
      <c r="BA227" s="338">
        <f>BA80</f>
        <v>937.5</v>
      </c>
      <c r="BB227" s="281"/>
      <c r="BC227" s="338">
        <f>BC80</f>
        <v>1101.5</v>
      </c>
      <c r="BD227" s="281"/>
      <c r="BE227" s="338">
        <f>BE80</f>
        <v>889.9</v>
      </c>
      <c r="BF227" s="281"/>
      <c r="BG227" s="338">
        <f>BG80</f>
        <v>889.9</v>
      </c>
      <c r="BH227" s="281"/>
      <c r="BI227" s="338">
        <f>BI80</f>
        <v>899.9</v>
      </c>
      <c r="BJ227" s="281"/>
      <c r="BK227" s="338">
        <f>BK80</f>
        <v>899.9</v>
      </c>
      <c r="BL227" s="281"/>
      <c r="BM227" s="338">
        <f>BM80</f>
        <v>899.9</v>
      </c>
      <c r="BN227" s="281"/>
      <c r="BO227" s="338">
        <f>BO80</f>
        <v>899.9</v>
      </c>
      <c r="BP227" s="281"/>
      <c r="BQ227" s="338">
        <f>BQ80</f>
        <v>899.9</v>
      </c>
      <c r="BR227" s="281"/>
      <c r="BS227" s="338">
        <f>BS80</f>
        <v>899.9</v>
      </c>
      <c r="BT227" s="281"/>
      <c r="BU227" s="338">
        <f>BU80</f>
        <v>899.9</v>
      </c>
      <c r="BV227" s="281"/>
      <c r="BW227" s="338">
        <f>BW80</f>
        <v>899.9</v>
      </c>
      <c r="BX227" s="281"/>
      <c r="BY227" s="338">
        <f>BY80</f>
        <v>899.9</v>
      </c>
      <c r="BZ227" s="281"/>
      <c r="CA227" s="338">
        <f>CA80</f>
        <v>899.9</v>
      </c>
      <c r="CB227" s="281"/>
      <c r="CC227" s="338">
        <f>CC80</f>
        <v>899.9</v>
      </c>
      <c r="CD227" s="281"/>
      <c r="CE227" s="338">
        <f>CE80</f>
        <v>899.9</v>
      </c>
      <c r="CF227" s="281"/>
      <c r="CG227" s="338">
        <f>CG80</f>
        <v>899.9</v>
      </c>
      <c r="CH227" s="281"/>
      <c r="CI227" s="338">
        <f>CI80</f>
        <v>1354</v>
      </c>
      <c r="CJ227" s="281"/>
      <c r="CK227" s="338">
        <f>CK80</f>
        <v>1322</v>
      </c>
      <c r="CL227" s="281"/>
      <c r="CM227" s="338">
        <f>CM80</f>
        <v>899.9</v>
      </c>
      <c r="CN227" s="281"/>
      <c r="CO227" s="338">
        <f>CO80</f>
        <v>899.9</v>
      </c>
      <c r="CP227" s="281"/>
      <c r="CQ227" s="338">
        <f>CQ80</f>
        <v>1051.1099999999999</v>
      </c>
      <c r="CR227" s="281"/>
      <c r="CS227" s="338">
        <f>CS80</f>
        <v>1149.9000000000001</v>
      </c>
      <c r="CT227" s="281"/>
      <c r="CU227" s="338">
        <f>CU80</f>
        <v>1149.9000000000001</v>
      </c>
      <c r="CV227" s="281"/>
      <c r="CW227" s="338">
        <f>CW80</f>
        <v>1149.9000000000001</v>
      </c>
      <c r="CX227" s="281"/>
      <c r="CY227" s="338">
        <f>CY80</f>
        <v>1149.9000000000001</v>
      </c>
      <c r="CZ227" s="281"/>
      <c r="DA227" s="338">
        <f>DA80</f>
        <v>1149.9000000000001</v>
      </c>
      <c r="DB227" s="281"/>
      <c r="DC227" s="338">
        <f>DC80</f>
        <v>1385.88</v>
      </c>
      <c r="DD227" s="281"/>
      <c r="DE227" s="338">
        <f>DE80</f>
        <v>1385.88</v>
      </c>
      <c r="DF227" s="281"/>
      <c r="DG227" s="338">
        <f>DG80</f>
        <v>1103.6500000000001</v>
      </c>
      <c r="DH227" s="281"/>
      <c r="DI227" s="338">
        <f>DI80</f>
        <v>1385</v>
      </c>
      <c r="DJ227" s="281"/>
      <c r="DK227" s="338">
        <f>DK80</f>
        <v>1385</v>
      </c>
      <c r="DL227" s="281"/>
      <c r="DM227" s="338">
        <f>DM80</f>
        <v>1385</v>
      </c>
      <c r="DN227" s="281"/>
      <c r="DO227" s="338">
        <f>DO80</f>
        <v>1385.88</v>
      </c>
      <c r="DP227" s="281"/>
      <c r="DQ227" s="338">
        <f>DQ80</f>
        <v>1385.88</v>
      </c>
      <c r="DR227" s="281"/>
      <c r="DS227" s="338">
        <f>DS80</f>
        <v>1385.88</v>
      </c>
      <c r="DT227" s="281"/>
      <c r="DU227" s="111"/>
      <c r="DV227" s="111"/>
      <c r="DW227" s="111"/>
      <c r="DX227" s="111"/>
      <c r="DY227" s="111" t="s">
        <v>29</v>
      </c>
      <c r="DZ227" s="111" t="s">
        <v>29</v>
      </c>
      <c r="EA227" s="111" t="s">
        <v>29</v>
      </c>
      <c r="EB227" s="111" t="s">
        <v>29</v>
      </c>
      <c r="EC227" s="111" t="s">
        <v>29</v>
      </c>
      <c r="ED227" s="111" t="s">
        <v>29</v>
      </c>
      <c r="EE227" s="111" t="s">
        <v>29</v>
      </c>
      <c r="EF227" s="111" t="s">
        <v>29</v>
      </c>
      <c r="EG227" s="111" t="s">
        <v>29</v>
      </c>
      <c r="EH227" s="111"/>
      <c r="EI227" s="111"/>
      <c r="EJ227" s="111"/>
      <c r="EK227" s="111"/>
      <c r="EL227" s="111"/>
      <c r="EM227" s="111"/>
      <c r="EN227" s="338">
        <f>EN80</f>
        <v>1385.88</v>
      </c>
      <c r="EO227" s="281"/>
      <c r="EP227" s="338">
        <f>EP80</f>
        <v>1385.88</v>
      </c>
      <c r="EQ227" s="281"/>
      <c r="ER227" s="338">
        <f>ER80</f>
        <v>1415.43</v>
      </c>
      <c r="ES227" s="281"/>
      <c r="ET227" s="338">
        <f>ET80</f>
        <v>1415.43</v>
      </c>
      <c r="EU227" s="281"/>
      <c r="EV227" s="338">
        <f>EV80</f>
        <v>1070.33</v>
      </c>
      <c r="EW227" s="281"/>
      <c r="EX227" s="338">
        <f>EX80</f>
        <v>1386</v>
      </c>
      <c r="EY227" s="281"/>
      <c r="EZ227" s="338">
        <f>EZ80</f>
        <v>1386</v>
      </c>
      <c r="FA227" s="281"/>
      <c r="FB227" s="338">
        <f>FB80</f>
        <v>1490.01</v>
      </c>
      <c r="FC227" s="281"/>
      <c r="FD227" s="338">
        <f>FD80</f>
        <v>1385.88</v>
      </c>
      <c r="FE227" s="281"/>
      <c r="FF227" s="338">
        <f>FF80</f>
        <v>1709.25</v>
      </c>
      <c r="FG227" s="281"/>
      <c r="FH227" s="338">
        <f>FH80</f>
        <v>1385.88</v>
      </c>
      <c r="FI227" s="281"/>
      <c r="FJ227" s="338"/>
      <c r="FK227" s="281"/>
      <c r="FL227" s="338"/>
      <c r="FM227" s="281"/>
      <c r="FN227" s="338"/>
      <c r="FO227" s="281"/>
      <c r="FP227" s="338"/>
      <c r="FQ227" s="281"/>
      <c r="FR227" s="111"/>
      <c r="FS227" s="111"/>
      <c r="FT227" s="111"/>
      <c r="FU227" s="111"/>
      <c r="FV227" s="111"/>
      <c r="FW227" s="111"/>
      <c r="FX227" s="230"/>
      <c r="FY227" s="230"/>
      <c r="FZ227" s="230"/>
      <c r="GA227" s="230"/>
      <c r="GB227" s="230"/>
      <c r="GC227" s="230"/>
      <c r="GD227" s="230"/>
      <c r="GE227" s="230"/>
      <c r="GF227" s="230"/>
      <c r="GG227" s="230"/>
    </row>
    <row r="228" spans="1:189" ht="15" hidden="1" customHeight="1" outlineLevel="2" x14ac:dyDescent="0.3">
      <c r="A228" s="1"/>
      <c r="B228" s="286"/>
      <c r="C228" s="301"/>
      <c r="D228" s="301"/>
      <c r="E228" s="301"/>
      <c r="F228" s="301"/>
      <c r="G228" s="115" t="str">
        <f>G81</f>
        <v>Trustvox</v>
      </c>
      <c r="H228" s="5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338">
        <f>AI81</f>
        <v>1728</v>
      </c>
      <c r="AJ228" s="281"/>
      <c r="AK228" s="338">
        <f>AK81</f>
        <v>1728</v>
      </c>
      <c r="AL228" s="281"/>
      <c r="AM228" s="338">
        <f>AM81</f>
        <v>1728</v>
      </c>
      <c r="AN228" s="281"/>
      <c r="AO228" s="338">
        <f>AO81</f>
        <v>1728</v>
      </c>
      <c r="AP228" s="281"/>
      <c r="AQ228" s="338">
        <f>AQ81</f>
        <v>1728</v>
      </c>
      <c r="AR228" s="281"/>
      <c r="AS228" s="338">
        <f>AS81</f>
        <v>1781.28</v>
      </c>
      <c r="AT228" s="281"/>
      <c r="AU228" s="338">
        <f>AU81</f>
        <v>1781.28</v>
      </c>
      <c r="AV228" s="281"/>
      <c r="AW228" s="338">
        <f>AW81</f>
        <v>1781.28</v>
      </c>
      <c r="AX228" s="281"/>
      <c r="AY228" s="338">
        <f>AY81</f>
        <v>1781.28</v>
      </c>
      <c r="AZ228" s="281"/>
      <c r="BA228" s="338">
        <f>BA81</f>
        <v>1781.28</v>
      </c>
      <c r="BB228" s="281"/>
      <c r="BC228" s="338">
        <f>BC81</f>
        <v>1781.28</v>
      </c>
      <c r="BD228" s="281"/>
      <c r="BE228" s="338">
        <f>BE81</f>
        <v>1781.28</v>
      </c>
      <c r="BF228" s="281"/>
      <c r="BG228" s="338">
        <f>BG81</f>
        <v>1999</v>
      </c>
      <c r="BH228" s="281"/>
      <c r="BI228" s="338">
        <f>BI81</f>
        <v>1990</v>
      </c>
      <c r="BJ228" s="281"/>
      <c r="BK228" s="338">
        <f>BK81</f>
        <v>1990</v>
      </c>
      <c r="BL228" s="281"/>
      <c r="BM228" s="338">
        <f>BM81</f>
        <v>1990</v>
      </c>
      <c r="BN228" s="281"/>
      <c r="BO228" s="338">
        <f>BO81</f>
        <v>1999</v>
      </c>
      <c r="BP228" s="281"/>
      <c r="BQ228" s="338">
        <f>BQ81</f>
        <v>1999</v>
      </c>
      <c r="BR228" s="281"/>
      <c r="BS228" s="338">
        <f>BS81</f>
        <v>1999</v>
      </c>
      <c r="BT228" s="281"/>
      <c r="BU228" s="338">
        <f>BU81</f>
        <v>1999</v>
      </c>
      <c r="BV228" s="281"/>
      <c r="BW228" s="338">
        <f>BW81</f>
        <v>1999</v>
      </c>
      <c r="BX228" s="281"/>
      <c r="BY228" s="338">
        <f>BY81</f>
        <v>1999</v>
      </c>
      <c r="BZ228" s="281"/>
      <c r="CA228" s="338">
        <f>CA81</f>
        <v>1999</v>
      </c>
      <c r="CB228" s="281"/>
      <c r="CC228" s="338">
        <f>CC81</f>
        <v>1999</v>
      </c>
      <c r="CD228" s="281"/>
      <c r="CE228" s="338">
        <f>CE81</f>
        <v>1999</v>
      </c>
      <c r="CF228" s="281"/>
      <c r="CG228" s="338">
        <f>CG81</f>
        <v>1999</v>
      </c>
      <c r="CH228" s="281"/>
      <c r="CI228" s="338">
        <f>CI81</f>
        <v>1781</v>
      </c>
      <c r="CJ228" s="281"/>
      <c r="CK228" s="338">
        <f>CK81</f>
        <v>1781</v>
      </c>
      <c r="CL228" s="281"/>
      <c r="CM228" s="338">
        <f>CM81</f>
        <v>1781</v>
      </c>
      <c r="CN228" s="281"/>
      <c r="CO228" s="338">
        <f>CO81</f>
        <v>1781</v>
      </c>
      <c r="CP228" s="281"/>
      <c r="CQ228" s="338">
        <f>CQ81</f>
        <v>1781</v>
      </c>
      <c r="CR228" s="281"/>
      <c r="CS228" s="338">
        <f>CS81</f>
        <v>1781</v>
      </c>
      <c r="CT228" s="281"/>
      <c r="CU228" s="338">
        <f>CU81</f>
        <v>1781</v>
      </c>
      <c r="CV228" s="281"/>
      <c r="CW228" s="338">
        <f>CW81</f>
        <v>1781</v>
      </c>
      <c r="CX228" s="281"/>
      <c r="CY228" s="338">
        <f>CY81</f>
        <v>1781</v>
      </c>
      <c r="CZ228" s="281"/>
      <c r="DA228" s="338">
        <f>DA81</f>
        <v>1781</v>
      </c>
      <c r="DB228" s="281"/>
      <c r="DC228" s="338">
        <f>DC81</f>
        <v>1380</v>
      </c>
      <c r="DD228" s="281"/>
      <c r="DE228" s="338">
        <f>DE81</f>
        <v>1380</v>
      </c>
      <c r="DF228" s="281"/>
      <c r="DG228" s="338">
        <f>DG81</f>
        <v>1380</v>
      </c>
      <c r="DH228" s="281"/>
      <c r="DI228" s="338">
        <f>DI81</f>
        <v>1380</v>
      </c>
      <c r="DJ228" s="281"/>
      <c r="DK228" s="338">
        <f>DK81</f>
        <v>1380</v>
      </c>
      <c r="DL228" s="281"/>
      <c r="DM228" s="338">
        <f>DM81</f>
        <v>1380</v>
      </c>
      <c r="DN228" s="281"/>
      <c r="DO228" s="338">
        <f>DO81</f>
        <v>1380</v>
      </c>
      <c r="DP228" s="281"/>
      <c r="DQ228" s="338">
        <f>DQ81</f>
        <v>1380</v>
      </c>
      <c r="DR228" s="281"/>
      <c r="DS228" s="338">
        <f>DS81</f>
        <v>1380</v>
      </c>
      <c r="DT228" s="281"/>
      <c r="DU228" s="111"/>
      <c r="DV228" s="111"/>
      <c r="DW228" s="111"/>
      <c r="DX228" s="111"/>
      <c r="DY228" s="111"/>
      <c r="DZ228" s="111"/>
      <c r="EA228" s="111"/>
      <c r="EB228" s="111"/>
      <c r="EC228" s="111"/>
      <c r="ED228" s="111"/>
      <c r="EE228" s="111"/>
      <c r="EF228" s="111"/>
      <c r="EG228" s="111"/>
      <c r="EH228" s="111"/>
      <c r="EI228" s="111"/>
      <c r="EJ228" s="111"/>
      <c r="EK228" s="111"/>
      <c r="EL228" s="111"/>
      <c r="EM228" s="111"/>
      <c r="EN228" s="338">
        <f>EN81</f>
        <v>1380</v>
      </c>
      <c r="EO228" s="281"/>
      <c r="EP228" s="338">
        <f>EP81</f>
        <v>1380</v>
      </c>
      <c r="EQ228" s="281"/>
      <c r="ER228" s="338">
        <f>ER81</f>
        <v>1380</v>
      </c>
      <c r="ES228" s="281"/>
      <c r="ET228" s="338">
        <f>ET81</f>
        <v>1380</v>
      </c>
      <c r="EU228" s="281"/>
      <c r="EV228" s="338">
        <f>EV81</f>
        <v>2417.75</v>
      </c>
      <c r="EW228" s="281"/>
      <c r="EX228" s="338">
        <f>EX81</f>
        <v>2418</v>
      </c>
      <c r="EY228" s="281"/>
      <c r="EZ228" s="338">
        <f>EZ81</f>
        <v>2418</v>
      </c>
      <c r="FA228" s="281"/>
      <c r="FB228" s="338">
        <f>FB81</f>
        <v>2418</v>
      </c>
      <c r="FC228" s="281"/>
      <c r="FD228" s="338">
        <f>FD81</f>
        <v>2418</v>
      </c>
      <c r="FE228" s="281"/>
      <c r="FF228" s="338">
        <f>FF81</f>
        <v>2417.75</v>
      </c>
      <c r="FG228" s="281"/>
      <c r="FH228" s="338">
        <f>FH81</f>
        <v>2417.75</v>
      </c>
      <c r="FI228" s="281"/>
      <c r="FJ228" s="338"/>
      <c r="FK228" s="281"/>
      <c r="FL228" s="338"/>
      <c r="FM228" s="281"/>
      <c r="FN228" s="338"/>
      <c r="FO228" s="281"/>
      <c r="FP228" s="338"/>
      <c r="FQ228" s="281"/>
      <c r="FR228" s="111"/>
      <c r="FS228" s="111"/>
      <c r="FT228" s="111"/>
      <c r="FU228" s="111"/>
      <c r="FV228" s="111"/>
      <c r="FW228" s="111"/>
      <c r="FX228" s="230"/>
      <c r="FY228" s="230"/>
      <c r="FZ228" s="230"/>
      <c r="GA228" s="230"/>
      <c r="GB228" s="230"/>
      <c r="GC228" s="230"/>
      <c r="GD228" s="230"/>
      <c r="GE228" s="230"/>
      <c r="GF228" s="230"/>
      <c r="GG228" s="230"/>
    </row>
    <row r="229" spans="1:189" ht="15" customHeight="1" outlineLevel="2" x14ac:dyDescent="0.3">
      <c r="A229" s="1"/>
      <c r="B229" s="286"/>
      <c r="C229" s="301"/>
      <c r="D229" s="301"/>
      <c r="E229" s="301"/>
      <c r="F229" s="301"/>
      <c r="G229" s="115" t="str">
        <f>G82</f>
        <v>WhatsApp Sistema Take-Blip Contatos recebidos</v>
      </c>
      <c r="H229" s="5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338"/>
      <c r="AJ229" s="281"/>
      <c r="AK229" s="338"/>
      <c r="AL229" s="281"/>
      <c r="AM229" s="338"/>
      <c r="AN229" s="281"/>
      <c r="AO229" s="338"/>
      <c r="AP229" s="281"/>
      <c r="AQ229" s="338">
        <f>AQ82</f>
        <v>1782</v>
      </c>
      <c r="AR229" s="281"/>
      <c r="AS229" s="338">
        <f>AS82</f>
        <v>1980</v>
      </c>
      <c r="AT229" s="281"/>
      <c r="AU229" s="338">
        <f>AU82</f>
        <v>1980</v>
      </c>
      <c r="AV229" s="281"/>
      <c r="AW229" s="338">
        <f>AW82</f>
        <v>9322.11</v>
      </c>
      <c r="AX229" s="281"/>
      <c r="AY229" s="338">
        <f>AY82</f>
        <v>12928.5</v>
      </c>
      <c r="AZ229" s="281"/>
      <c r="BA229" s="338">
        <f>BA82</f>
        <v>13714.2</v>
      </c>
      <c r="BB229" s="281"/>
      <c r="BC229" s="338">
        <f>BC82</f>
        <v>18266.400000000001</v>
      </c>
      <c r="BD229" s="281"/>
      <c r="BE229" s="338">
        <f>BE82</f>
        <v>17147.2</v>
      </c>
      <c r="BF229" s="281"/>
      <c r="BG229" s="338">
        <f>BG82</f>
        <v>10277</v>
      </c>
      <c r="BH229" s="281"/>
      <c r="BI229" s="338">
        <f>BI82</f>
        <v>8853</v>
      </c>
      <c r="BJ229" s="281"/>
      <c r="BK229" s="338">
        <f>BK82</f>
        <v>16514</v>
      </c>
      <c r="BL229" s="281"/>
      <c r="BM229" s="338">
        <f>BM82</f>
        <v>18916</v>
      </c>
      <c r="BN229" s="281"/>
      <c r="BO229" s="338">
        <f>BO82</f>
        <v>15080</v>
      </c>
      <c r="BP229" s="281"/>
      <c r="BQ229" s="338">
        <f>BQ82</f>
        <v>20607</v>
      </c>
      <c r="BR229" s="281"/>
      <c r="BS229" s="338">
        <f>BS82</f>
        <v>18721</v>
      </c>
      <c r="BT229" s="281"/>
      <c r="BU229" s="338">
        <f>BU82</f>
        <v>18986</v>
      </c>
      <c r="BV229" s="281"/>
      <c r="BW229" s="338">
        <f>BW82</f>
        <v>14537</v>
      </c>
      <c r="BX229" s="281"/>
      <c r="BY229" s="338">
        <f>BY82</f>
        <v>15205</v>
      </c>
      <c r="BZ229" s="281"/>
      <c r="CA229" s="338">
        <f>CA82</f>
        <v>14711</v>
      </c>
      <c r="CB229" s="281"/>
      <c r="CC229" s="338">
        <f>CC82</f>
        <v>18396</v>
      </c>
      <c r="CD229" s="281"/>
      <c r="CE229" s="338">
        <f>CE82</f>
        <v>21843</v>
      </c>
      <c r="CF229" s="281"/>
      <c r="CG229" s="338">
        <f>CG82</f>
        <v>24229</v>
      </c>
      <c r="CH229" s="281"/>
      <c r="CI229" s="338">
        <f>CI82</f>
        <v>36334</v>
      </c>
      <c r="CJ229" s="281"/>
      <c r="CK229" s="338">
        <f>CK82</f>
        <v>30200</v>
      </c>
      <c r="CL229" s="281"/>
      <c r="CM229" s="338">
        <f>CM82</f>
        <v>32419</v>
      </c>
      <c r="CN229" s="281"/>
      <c r="CO229" s="338">
        <f>CO82</f>
        <v>22821</v>
      </c>
      <c r="CP229" s="281"/>
      <c r="CQ229" s="338">
        <f>CQ82</f>
        <v>34478</v>
      </c>
      <c r="CR229" s="281"/>
      <c r="CS229" s="338">
        <f>CS82</f>
        <v>19870</v>
      </c>
      <c r="CT229" s="281"/>
      <c r="CU229" s="338">
        <f>CU82</f>
        <v>18509</v>
      </c>
      <c r="CV229" s="281"/>
      <c r="CW229" s="338">
        <f>CW82</f>
        <v>12314</v>
      </c>
      <c r="CX229" s="281"/>
      <c r="CY229" s="338">
        <f>CY82</f>
        <v>25777</v>
      </c>
      <c r="CZ229" s="281"/>
      <c r="DA229" s="338">
        <f>DA82</f>
        <v>22597</v>
      </c>
      <c r="DB229" s="281"/>
      <c r="DC229" s="338">
        <f>DC82</f>
        <v>17995.04</v>
      </c>
      <c r="DD229" s="281"/>
      <c r="DE229" s="338">
        <f>DE82</f>
        <v>14055.09</v>
      </c>
      <c r="DF229" s="281"/>
      <c r="DG229" s="338">
        <f>DG82</f>
        <v>13042.72</v>
      </c>
      <c r="DH229" s="281"/>
      <c r="DI229" s="338">
        <f>DI82</f>
        <v>12722.49</v>
      </c>
      <c r="DJ229" s="281"/>
      <c r="DK229" s="338">
        <f>DK82</f>
        <v>17247.55</v>
      </c>
      <c r="DL229" s="281"/>
      <c r="DM229" s="338">
        <f>DM82</f>
        <v>14704.79</v>
      </c>
      <c r="DN229" s="281"/>
      <c r="DO229" s="338">
        <f>DO82</f>
        <v>13605.8</v>
      </c>
      <c r="DP229" s="281"/>
      <c r="DQ229" s="338">
        <f>DQ82</f>
        <v>14331.56</v>
      </c>
      <c r="DR229" s="281"/>
      <c r="DS229" s="338">
        <f>DS82</f>
        <v>12277.16</v>
      </c>
      <c r="DT229" s="281"/>
      <c r="DU229" s="111"/>
      <c r="DV229" s="111"/>
      <c r="DW229" s="111"/>
      <c r="DX229" s="111"/>
      <c r="DY229" s="111"/>
      <c r="DZ229" s="111"/>
      <c r="EA229" s="111"/>
      <c r="EB229" s="111"/>
      <c r="EC229" s="111"/>
      <c r="ED229" s="111"/>
      <c r="EE229" s="111"/>
      <c r="EF229" s="111"/>
      <c r="EG229" s="111"/>
      <c r="EH229" s="111"/>
      <c r="EI229" s="111"/>
      <c r="EJ229" s="111"/>
      <c r="EK229" s="111"/>
      <c r="EL229" s="111"/>
      <c r="EM229" s="111"/>
      <c r="EN229" s="338">
        <f>EN82</f>
        <v>10387.549999999999</v>
      </c>
      <c r="EO229" s="281"/>
      <c r="EP229" s="338">
        <f>EP82</f>
        <v>9285.5</v>
      </c>
      <c r="EQ229" s="281"/>
      <c r="ER229" s="338">
        <f>ER82</f>
        <v>12988.04</v>
      </c>
      <c r="ES229" s="281"/>
      <c r="ET229" s="338">
        <f>ET82</f>
        <v>12988.04</v>
      </c>
      <c r="EU229" s="281"/>
      <c r="EV229" s="338">
        <f>EV82</f>
        <v>14149</v>
      </c>
      <c r="EW229" s="281"/>
      <c r="EX229" s="338">
        <f>EX82</f>
        <v>13986</v>
      </c>
      <c r="EY229" s="281"/>
      <c r="EZ229" s="338">
        <f>EZ82</f>
        <v>15911.06</v>
      </c>
      <c r="FA229" s="281"/>
      <c r="FB229" s="338">
        <f>FB82</f>
        <v>14780.71</v>
      </c>
      <c r="FC229" s="281"/>
      <c r="FD229" s="338">
        <f>FD82</f>
        <v>14014.37</v>
      </c>
      <c r="FE229" s="281"/>
      <c r="FF229" s="338">
        <f>FF82</f>
        <v>15284.64</v>
      </c>
      <c r="FG229" s="281"/>
      <c r="FH229" s="338">
        <f>FH82</f>
        <v>14733.88</v>
      </c>
      <c r="FI229" s="281"/>
      <c r="FJ229" s="338">
        <f>FJ82</f>
        <v>14314.77</v>
      </c>
      <c r="FK229" s="281"/>
      <c r="FL229" s="338">
        <f>FL82</f>
        <v>14267.32</v>
      </c>
      <c r="FM229" s="281"/>
      <c r="FN229" s="338">
        <f>FN82</f>
        <v>14435.69</v>
      </c>
      <c r="FO229" s="281"/>
      <c r="FP229" s="338">
        <f>FP82</f>
        <v>0</v>
      </c>
      <c r="FQ229" s="281"/>
      <c r="FR229" s="111"/>
      <c r="FS229" s="111"/>
      <c r="FT229" s="111"/>
      <c r="FU229" s="111"/>
      <c r="FV229" s="111"/>
      <c r="FW229" s="111"/>
      <c r="FX229" s="230"/>
      <c r="FY229" s="230"/>
      <c r="FZ229" s="230"/>
      <c r="GA229" s="230"/>
      <c r="GB229" s="230"/>
      <c r="GC229" s="230"/>
      <c r="GD229" s="230"/>
      <c r="GE229" s="230"/>
      <c r="GF229" s="230"/>
      <c r="GG229" s="230"/>
    </row>
    <row r="230" spans="1:189" ht="15" customHeight="1" outlineLevel="2" x14ac:dyDescent="0.3">
      <c r="A230" s="1"/>
      <c r="B230" s="286"/>
      <c r="C230" s="301"/>
      <c r="D230" s="301"/>
      <c r="E230" s="301"/>
      <c r="F230" s="301"/>
      <c r="G230" s="115" t="str">
        <f>G78</f>
        <v>Zendesk Página de atendimento</v>
      </c>
      <c r="H230" s="5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338"/>
      <c r="AJ230" s="281"/>
      <c r="AK230" s="338"/>
      <c r="AL230" s="281"/>
      <c r="AM230" s="338"/>
      <c r="AN230" s="281"/>
      <c r="AO230" s="338"/>
      <c r="AP230" s="281"/>
      <c r="AQ230" s="338">
        <f>AQ78</f>
        <v>803</v>
      </c>
      <c r="AR230" s="281"/>
      <c r="AS230" s="338">
        <f>AS78</f>
        <v>803</v>
      </c>
      <c r="AT230" s="281"/>
      <c r="AU230" s="338">
        <f>AU78</f>
        <v>803</v>
      </c>
      <c r="AV230" s="281"/>
      <c r="AW230" s="338">
        <f>AW78</f>
        <v>803</v>
      </c>
      <c r="AX230" s="281"/>
      <c r="AY230" s="338">
        <f>AY78</f>
        <v>803</v>
      </c>
      <c r="AZ230" s="281"/>
      <c r="BA230" s="338">
        <f>BA78</f>
        <v>803</v>
      </c>
      <c r="BB230" s="281"/>
      <c r="BC230" s="338">
        <f>BC78</f>
        <v>803</v>
      </c>
      <c r="BD230" s="281"/>
      <c r="BE230" s="338">
        <f>BE78</f>
        <v>803</v>
      </c>
      <c r="BF230" s="281"/>
      <c r="BG230" s="338">
        <f>BG78</f>
        <v>803</v>
      </c>
      <c r="BH230" s="281"/>
      <c r="BI230" s="338">
        <f>BI78</f>
        <v>803</v>
      </c>
      <c r="BJ230" s="281"/>
      <c r="BK230" s="338">
        <f>BK78</f>
        <v>803</v>
      </c>
      <c r="BL230" s="281"/>
      <c r="BM230" s="338">
        <f>BM78</f>
        <v>803</v>
      </c>
      <c r="BN230" s="281"/>
      <c r="BO230" s="338">
        <f>BO78</f>
        <v>803</v>
      </c>
      <c r="BP230" s="281"/>
      <c r="BQ230" s="338">
        <f>BQ78</f>
        <v>803</v>
      </c>
      <c r="BR230" s="281"/>
      <c r="BS230" s="338">
        <f>BS78</f>
        <v>803</v>
      </c>
      <c r="BT230" s="281"/>
      <c r="BU230" s="338">
        <f>BU78</f>
        <v>803</v>
      </c>
      <c r="BV230" s="281"/>
      <c r="BW230" s="338">
        <f>BW78</f>
        <v>803</v>
      </c>
      <c r="BX230" s="281"/>
      <c r="BY230" s="338">
        <f>BY78</f>
        <v>803</v>
      </c>
      <c r="BZ230" s="281"/>
      <c r="CA230" s="338">
        <f>CA78</f>
        <v>803</v>
      </c>
      <c r="CB230" s="281"/>
      <c r="CC230" s="338">
        <f>CC78</f>
        <v>803</v>
      </c>
      <c r="CD230" s="281"/>
      <c r="CE230" s="338">
        <f>CE78</f>
        <v>803</v>
      </c>
      <c r="CF230" s="281"/>
      <c r="CG230" s="338">
        <f>CG78</f>
        <v>803</v>
      </c>
      <c r="CH230" s="281"/>
      <c r="CI230" s="338">
        <f>CI78</f>
        <v>803</v>
      </c>
      <c r="CJ230" s="281"/>
      <c r="CK230" s="338">
        <f>CK78</f>
        <v>803</v>
      </c>
      <c r="CL230" s="281"/>
      <c r="CM230" s="338">
        <f>CM78</f>
        <v>803</v>
      </c>
      <c r="CN230" s="281"/>
      <c r="CO230" s="338">
        <f>CO78</f>
        <v>803</v>
      </c>
      <c r="CP230" s="281"/>
      <c r="CQ230" s="338">
        <f>CQ78</f>
        <v>803</v>
      </c>
      <c r="CR230" s="281"/>
      <c r="CS230" s="338">
        <f>CS78</f>
        <v>803</v>
      </c>
      <c r="CT230" s="281"/>
      <c r="CU230" s="338">
        <f>CU78</f>
        <v>803</v>
      </c>
      <c r="CV230" s="281"/>
      <c r="CW230" s="338">
        <f>CW78</f>
        <v>803</v>
      </c>
      <c r="CX230" s="281"/>
      <c r="CY230" s="338">
        <f>CY78</f>
        <v>803</v>
      </c>
      <c r="CZ230" s="281"/>
      <c r="DA230" s="338">
        <f>DA78</f>
        <v>803</v>
      </c>
      <c r="DB230" s="281"/>
      <c r="DC230" s="338">
        <f>DC78</f>
        <v>766.5</v>
      </c>
      <c r="DD230" s="281"/>
      <c r="DE230" s="338">
        <f>DE78</f>
        <v>766.5</v>
      </c>
      <c r="DF230" s="281"/>
      <c r="DG230" s="338">
        <f>DG78</f>
        <v>766.5</v>
      </c>
      <c r="DH230" s="281"/>
      <c r="DI230" s="338">
        <f>DI78</f>
        <v>766.5</v>
      </c>
      <c r="DJ230" s="281"/>
      <c r="DK230" s="338">
        <f>DK78</f>
        <v>766.5</v>
      </c>
      <c r="DL230" s="281"/>
      <c r="DM230" s="338">
        <f>DM78</f>
        <v>766.5</v>
      </c>
      <c r="DN230" s="281"/>
      <c r="DO230" s="338">
        <f>DO78</f>
        <v>766.5</v>
      </c>
      <c r="DP230" s="281"/>
      <c r="DQ230" s="338">
        <f>DQ78</f>
        <v>766.5</v>
      </c>
      <c r="DR230" s="281"/>
      <c r="DS230" s="338">
        <f>DS78</f>
        <v>766.5</v>
      </c>
      <c r="DT230" s="281"/>
      <c r="DU230" s="111"/>
      <c r="DV230" s="111"/>
      <c r="DW230" s="111"/>
      <c r="DX230" s="111"/>
      <c r="DY230" s="111"/>
      <c r="DZ230" s="111"/>
      <c r="EA230" s="111"/>
      <c r="EB230" s="111"/>
      <c r="EC230" s="111"/>
      <c r="ED230" s="111"/>
      <c r="EE230" s="111"/>
      <c r="EF230" s="111"/>
      <c r="EG230" s="111"/>
      <c r="EH230" s="111"/>
      <c r="EI230" s="111"/>
      <c r="EJ230" s="111"/>
      <c r="EK230" s="111"/>
      <c r="EL230" s="111"/>
      <c r="EM230" s="111"/>
      <c r="EN230" s="338">
        <f>EN78</f>
        <v>766.5</v>
      </c>
      <c r="EO230" s="281"/>
      <c r="EP230" s="338">
        <f>EP78</f>
        <v>766.5</v>
      </c>
      <c r="EQ230" s="281"/>
      <c r="ER230" s="338">
        <f>ER78</f>
        <v>766.5</v>
      </c>
      <c r="ES230" s="281"/>
      <c r="ET230" s="338">
        <f>ET78</f>
        <v>766.5</v>
      </c>
      <c r="EU230" s="281"/>
      <c r="EV230" s="338">
        <f>EV78</f>
        <v>766.5</v>
      </c>
      <c r="EW230" s="281"/>
      <c r="EX230" s="338">
        <f>EX78</f>
        <v>766.5</v>
      </c>
      <c r="EY230" s="281"/>
      <c r="EZ230" s="338">
        <f>EZ78</f>
        <v>766.5</v>
      </c>
      <c r="FA230" s="281"/>
      <c r="FB230" s="338">
        <f>FB78</f>
        <v>766.5</v>
      </c>
      <c r="FC230" s="281"/>
      <c r="FD230" s="338">
        <f>FD78</f>
        <v>766.5</v>
      </c>
      <c r="FE230" s="281"/>
      <c r="FF230" s="338">
        <f>FF78</f>
        <v>766.5</v>
      </c>
      <c r="FG230" s="281"/>
      <c r="FH230" s="338">
        <f>FH78</f>
        <v>766.5</v>
      </c>
      <c r="FI230" s="281"/>
      <c r="FJ230" s="338">
        <f>FJ78</f>
        <v>766.5</v>
      </c>
      <c r="FK230" s="281"/>
      <c r="FL230" s="338">
        <f>FL78</f>
        <v>766.5</v>
      </c>
      <c r="FM230" s="281"/>
      <c r="FN230" s="338">
        <f>FN78</f>
        <v>766.5</v>
      </c>
      <c r="FO230" s="281"/>
      <c r="FP230" s="338">
        <f>FP78</f>
        <v>766.5</v>
      </c>
      <c r="FQ230" s="281"/>
      <c r="FR230" s="111"/>
      <c r="FS230" s="111"/>
      <c r="FT230" s="111"/>
      <c r="FU230" s="111"/>
      <c r="FV230" s="111"/>
      <c r="FW230" s="111"/>
      <c r="FX230" s="230"/>
      <c r="FY230" s="230"/>
      <c r="FZ230" s="230"/>
      <c r="GA230" s="230"/>
      <c r="GB230" s="230"/>
      <c r="GC230" s="230"/>
      <c r="GD230" s="230"/>
      <c r="GE230" s="230"/>
      <c r="GF230" s="230"/>
      <c r="GG230" s="230"/>
    </row>
    <row r="231" spans="1:189" ht="15" hidden="1" customHeight="1" outlineLevel="2" x14ac:dyDescent="0.3">
      <c r="A231" s="1"/>
      <c r="B231" s="286"/>
      <c r="C231" s="301"/>
      <c r="D231" s="301"/>
      <c r="E231" s="301"/>
      <c r="F231" s="301"/>
      <c r="G231" s="115" t="s">
        <v>182</v>
      </c>
      <c r="H231" s="5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338"/>
      <c r="AH231" s="281"/>
      <c r="AI231" s="338"/>
      <c r="AJ231" s="281"/>
      <c r="AK231" s="338"/>
      <c r="AL231" s="281"/>
      <c r="AM231" s="338"/>
      <c r="AN231" s="281"/>
      <c r="AO231" s="338"/>
      <c r="AP231" s="281"/>
      <c r="AQ231" s="338"/>
      <c r="AR231" s="281"/>
      <c r="AS231" s="338"/>
      <c r="AT231" s="281"/>
      <c r="AU231" s="338">
        <f>AU83</f>
        <v>5600</v>
      </c>
      <c r="AV231" s="281"/>
      <c r="AW231" s="338">
        <f>AW83</f>
        <v>2800</v>
      </c>
      <c r="AX231" s="281"/>
      <c r="AY231" s="338">
        <f>AY83</f>
        <v>2800</v>
      </c>
      <c r="AZ231" s="281"/>
      <c r="BA231" s="338">
        <f>BA83</f>
        <v>5600</v>
      </c>
      <c r="BB231" s="281"/>
      <c r="BC231" s="338">
        <f>BC83</f>
        <v>5600</v>
      </c>
      <c r="BD231" s="281"/>
      <c r="BE231" s="338">
        <f>BE83</f>
        <v>5600</v>
      </c>
      <c r="BF231" s="281"/>
      <c r="BG231" s="338">
        <f>BG83</f>
        <v>5099</v>
      </c>
      <c r="BH231" s="281"/>
      <c r="BI231" s="338">
        <f>BI83</f>
        <v>4333</v>
      </c>
      <c r="BJ231" s="281"/>
      <c r="BK231" s="338">
        <f>BK83</f>
        <v>6309</v>
      </c>
      <c r="BL231" s="281"/>
      <c r="BM231" s="338">
        <f>BM83</f>
        <v>7459</v>
      </c>
      <c r="BN231" s="281"/>
      <c r="BO231" s="338">
        <f>BO83</f>
        <v>5102</v>
      </c>
      <c r="BP231" s="281"/>
      <c r="BQ231" s="338">
        <f>BQ83</f>
        <v>4712</v>
      </c>
      <c r="BR231" s="281"/>
      <c r="BS231" s="338">
        <f>BS83</f>
        <v>5895</v>
      </c>
      <c r="BT231" s="281"/>
      <c r="BU231" s="338">
        <f>BU83</f>
        <v>5682</v>
      </c>
      <c r="BV231" s="281"/>
      <c r="BW231" s="338">
        <f>BW83</f>
        <v>4856</v>
      </c>
      <c r="BX231" s="281"/>
      <c r="BY231" s="338">
        <f>BY83</f>
        <v>5249</v>
      </c>
      <c r="BZ231" s="281"/>
      <c r="CA231" s="338">
        <f>CA83</f>
        <v>4856</v>
      </c>
      <c r="CB231" s="281"/>
      <c r="CC231" s="338">
        <f>CC83</f>
        <v>5536</v>
      </c>
      <c r="CD231" s="281"/>
      <c r="CE231" s="338">
        <f>CE83</f>
        <v>3851</v>
      </c>
      <c r="CF231" s="281"/>
      <c r="CG231" s="338">
        <f>CG83</f>
        <v>7720</v>
      </c>
      <c r="CH231" s="281"/>
      <c r="CI231" s="338">
        <f>CI83</f>
        <v>9086</v>
      </c>
      <c r="CJ231" s="281"/>
      <c r="CK231" s="338">
        <f>CK83</f>
        <v>6279</v>
      </c>
      <c r="CL231" s="281"/>
      <c r="CM231" s="338">
        <f>CM83</f>
        <v>7350</v>
      </c>
      <c r="CN231" s="281"/>
      <c r="CO231" s="338">
        <f>CO83</f>
        <v>5251</v>
      </c>
      <c r="CP231" s="281"/>
      <c r="CQ231" s="338">
        <f>CQ83</f>
        <v>5592</v>
      </c>
      <c r="CR231" s="281"/>
      <c r="CS231" s="338">
        <f>CS83</f>
        <v>961</v>
      </c>
      <c r="CT231" s="281"/>
      <c r="CU231" s="338">
        <f>CU83</f>
        <v>8399</v>
      </c>
      <c r="CV231" s="281"/>
      <c r="CW231" s="338">
        <f>CW83</f>
        <v>7586</v>
      </c>
      <c r="CX231" s="281"/>
      <c r="CY231" s="338">
        <f>CY83</f>
        <v>7675</v>
      </c>
      <c r="CZ231" s="281"/>
      <c r="DA231" s="338">
        <f>DA83</f>
        <v>5780</v>
      </c>
      <c r="DB231" s="281"/>
      <c r="DC231" s="338">
        <f>DC83</f>
        <v>5627.96</v>
      </c>
      <c r="DD231" s="281"/>
      <c r="DE231" s="338">
        <f>DE83</f>
        <v>2688</v>
      </c>
      <c r="DF231" s="281"/>
      <c r="DG231" s="338">
        <f>DG83</f>
        <v>1267.1199999999999</v>
      </c>
      <c r="DH231" s="281"/>
      <c r="DI231" s="338">
        <f>DI83</f>
        <v>1598</v>
      </c>
      <c r="DJ231" s="281"/>
      <c r="DK231" s="338">
        <f>DK83</f>
        <v>3292.4</v>
      </c>
      <c r="DL231" s="281"/>
      <c r="DM231" s="338">
        <f>DM83</f>
        <v>4934.43</v>
      </c>
      <c r="DN231" s="281"/>
      <c r="DO231" s="338">
        <f>DO83</f>
        <v>3909.11</v>
      </c>
      <c r="DP231" s="281"/>
      <c r="DQ231" s="338">
        <f>DQ83</f>
        <v>3683.94</v>
      </c>
      <c r="DR231" s="281"/>
      <c r="DS231" s="338">
        <f>DS83</f>
        <v>2656.34</v>
      </c>
      <c r="DT231" s="281"/>
      <c r="DU231" s="111"/>
      <c r="DV231" s="111"/>
      <c r="DW231" s="111"/>
      <c r="DX231" s="111"/>
      <c r="DY231" s="111"/>
      <c r="DZ231" s="111"/>
      <c r="EA231" s="111"/>
      <c r="EB231" s="111"/>
      <c r="EC231" s="111"/>
      <c r="ED231" s="111"/>
      <c r="EE231" s="111"/>
      <c r="EF231" s="111"/>
      <c r="EG231" s="111"/>
      <c r="EH231" s="111"/>
      <c r="EI231" s="111"/>
      <c r="EJ231" s="111"/>
      <c r="EK231" s="111"/>
      <c r="EL231" s="111"/>
      <c r="EM231" s="111"/>
      <c r="EN231" s="338">
        <f>EN83</f>
        <v>2792.07</v>
      </c>
      <c r="EO231" s="281"/>
      <c r="EP231" s="338">
        <f>EP83</f>
        <v>2453.52</v>
      </c>
      <c r="EQ231" s="281"/>
      <c r="ER231" s="338">
        <f>ER83</f>
        <v>3199.41</v>
      </c>
      <c r="ES231" s="281"/>
      <c r="ET231" s="338">
        <f>ET83</f>
        <v>3199.41</v>
      </c>
      <c r="EU231" s="281"/>
      <c r="EV231" s="338">
        <f>EV83</f>
        <v>0</v>
      </c>
      <c r="EW231" s="281"/>
      <c r="EX231" s="338">
        <f>EX83</f>
        <v>0</v>
      </c>
      <c r="EY231" s="281"/>
      <c r="EZ231" s="338">
        <f>EZ83</f>
        <v>0</v>
      </c>
      <c r="FA231" s="281"/>
      <c r="FB231" s="338">
        <f>FB83</f>
        <v>0</v>
      </c>
      <c r="FC231" s="281"/>
      <c r="FD231" s="338">
        <f>FD83</f>
        <v>0</v>
      </c>
      <c r="FE231" s="281"/>
      <c r="FF231" s="338">
        <f>FF83</f>
        <v>0</v>
      </c>
      <c r="FG231" s="281"/>
      <c r="FH231" s="338">
        <f>FH83</f>
        <v>0</v>
      </c>
      <c r="FI231" s="281"/>
      <c r="FJ231" s="338">
        <f>FJ83</f>
        <v>0</v>
      </c>
      <c r="FK231" s="281"/>
      <c r="FL231" s="338">
        <f>FL83</f>
        <v>0</v>
      </c>
      <c r="FM231" s="281"/>
      <c r="FN231" s="338">
        <f>FN83</f>
        <v>0</v>
      </c>
      <c r="FO231" s="281"/>
      <c r="FP231" s="338">
        <f>FP83</f>
        <v>0</v>
      </c>
      <c r="FQ231" s="281"/>
      <c r="FR231" s="111"/>
      <c r="FS231" s="111"/>
      <c r="FT231" s="111"/>
      <c r="FU231" s="111"/>
      <c r="FV231" s="111"/>
      <c r="FW231" s="111"/>
      <c r="FX231" s="230"/>
      <c r="FY231" s="230"/>
      <c r="FZ231" s="230"/>
      <c r="GA231" s="230"/>
      <c r="GB231" s="230"/>
      <c r="GC231" s="230"/>
      <c r="GD231" s="230"/>
      <c r="GE231" s="230"/>
      <c r="GF231" s="230"/>
      <c r="GG231" s="230"/>
    </row>
    <row r="232" spans="1:189" ht="15" customHeight="1" outlineLevel="2" x14ac:dyDescent="0.3">
      <c r="A232" s="116"/>
      <c r="B232" s="287"/>
      <c r="C232" s="302"/>
      <c r="D232" s="302"/>
      <c r="E232" s="302"/>
      <c r="F232" s="302"/>
      <c r="G232" s="117" t="s">
        <v>183</v>
      </c>
      <c r="H232" s="33"/>
      <c r="I232" s="338">
        <f>I65*20%</f>
        <v>89631.472000000009</v>
      </c>
      <c r="J232" s="281"/>
      <c r="K232" s="338">
        <f>K65*30%</f>
        <v>13073.088000000002</v>
      </c>
      <c r="L232" s="281"/>
      <c r="M232" s="338">
        <f>M65*20%</f>
        <v>9343.26</v>
      </c>
      <c r="N232" s="281"/>
      <c r="O232" s="338">
        <f>O65*20%</f>
        <v>9500.2199999999993</v>
      </c>
      <c r="P232" s="281"/>
      <c r="Q232" s="338">
        <f>Q65*20%</f>
        <v>5733.6</v>
      </c>
      <c r="R232" s="281"/>
      <c r="S232" s="338">
        <f>S65*20%</f>
        <v>5543.6</v>
      </c>
      <c r="T232" s="281"/>
      <c r="U232" s="338">
        <f>U65*20%</f>
        <v>5547.4000000000005</v>
      </c>
      <c r="V232" s="281"/>
      <c r="W232" s="338">
        <f>W65*20%</f>
        <v>5627.4000000000005</v>
      </c>
      <c r="X232" s="281"/>
      <c r="Y232" s="338">
        <f>Y65*20%</f>
        <v>7727</v>
      </c>
      <c r="Z232" s="281"/>
      <c r="AA232" s="338">
        <f>AA65*20%</f>
        <v>8005.2000000000007</v>
      </c>
      <c r="AB232" s="281"/>
      <c r="AC232" s="338">
        <f>AC65*20%</f>
        <v>6997</v>
      </c>
      <c r="AD232" s="281"/>
      <c r="AE232" s="338">
        <f>AE65*20%</f>
        <v>8514.8000000000011</v>
      </c>
      <c r="AF232" s="281"/>
      <c r="AG232" s="338">
        <f>AG65*20%</f>
        <v>8376.6</v>
      </c>
      <c r="AH232" s="281"/>
      <c r="AI232" s="338">
        <f>AI65*20%</f>
        <v>6783</v>
      </c>
      <c r="AJ232" s="281"/>
      <c r="AK232" s="338">
        <f>AK65*20%</f>
        <v>5459.2000000000007</v>
      </c>
      <c r="AL232" s="281"/>
      <c r="AM232" s="338">
        <f>AM65*20%</f>
        <v>6382.2000000000007</v>
      </c>
      <c r="AN232" s="281"/>
      <c r="AO232" s="338">
        <f>AO65*20%</f>
        <v>5272.6</v>
      </c>
      <c r="AP232" s="281"/>
      <c r="AQ232" s="338">
        <f>AQ65*20%</f>
        <v>6745.8</v>
      </c>
      <c r="AR232" s="281"/>
      <c r="AS232" s="338">
        <f>AS65*20%</f>
        <v>6576.2000000000007</v>
      </c>
      <c r="AT232" s="281"/>
      <c r="AU232" s="338">
        <f>AU65*20%</f>
        <v>8351.2000000000007</v>
      </c>
      <c r="AV232" s="281"/>
      <c r="AW232" s="338">
        <f>AW65*15%</f>
        <v>5316.75</v>
      </c>
      <c r="AX232" s="281"/>
      <c r="AY232" s="338">
        <f>AY65*15%</f>
        <v>4844.0999999999995</v>
      </c>
      <c r="AZ232" s="281"/>
      <c r="BA232" s="338">
        <f>BA65*15%</f>
        <v>5689.8</v>
      </c>
      <c r="BB232" s="281"/>
      <c r="BC232" s="338">
        <f>BC65*15%</f>
        <v>7657.5</v>
      </c>
      <c r="BD232" s="281"/>
      <c r="BE232" s="338">
        <f>BE65*15%</f>
        <v>6345.75</v>
      </c>
      <c r="BF232" s="281"/>
      <c r="BG232" s="338">
        <f>BG65*15%</f>
        <v>4914.8999999999996</v>
      </c>
      <c r="BH232" s="281"/>
      <c r="BI232" s="338">
        <f>BI65*15%</f>
        <v>5356.65</v>
      </c>
      <c r="BJ232" s="281"/>
      <c r="BK232" s="338">
        <f>BK65*15%</f>
        <v>6310.65</v>
      </c>
      <c r="BL232" s="281"/>
      <c r="BM232" s="338">
        <f>BM65*15%</f>
        <v>5404.65</v>
      </c>
      <c r="BN232" s="281"/>
      <c r="BO232" s="338">
        <f>BO65*15%</f>
        <v>5691.5999999999995</v>
      </c>
      <c r="BP232" s="281"/>
      <c r="BQ232" s="338">
        <f>BQ65*15%</f>
        <v>6040.5</v>
      </c>
      <c r="BR232" s="281"/>
      <c r="BS232" s="338">
        <f>BS65*15%</f>
        <v>6909.15</v>
      </c>
      <c r="BT232" s="281"/>
      <c r="BU232" s="338">
        <f>BU65*15%</f>
        <v>5527.8</v>
      </c>
      <c r="BV232" s="281"/>
      <c r="BW232" s="338">
        <f>BW65*15%</f>
        <v>5454.15</v>
      </c>
      <c r="BX232" s="281"/>
      <c r="BY232" s="338">
        <f>BY65*15%</f>
        <v>5853.9</v>
      </c>
      <c r="BZ232" s="281"/>
      <c r="CA232" s="338">
        <f>CA65*15%</f>
        <v>7618.0499999999993</v>
      </c>
      <c r="CB232" s="281"/>
      <c r="CC232" s="338">
        <f>CC65*15%</f>
        <v>5584.05</v>
      </c>
      <c r="CD232" s="281"/>
      <c r="CE232" s="338">
        <f>CE65*15%</f>
        <v>5274.75</v>
      </c>
      <c r="CF232" s="281"/>
      <c r="CG232" s="338">
        <f>CG65*15%</f>
        <v>5581.5</v>
      </c>
      <c r="CH232" s="281"/>
      <c r="CI232" s="338">
        <f>CI65*15%</f>
        <v>6009.75</v>
      </c>
      <c r="CJ232" s="281"/>
      <c r="CK232" s="338">
        <f>CK65*15%</f>
        <v>5656.65</v>
      </c>
      <c r="CL232" s="281"/>
      <c r="CM232" s="338">
        <f>CM65*15%</f>
        <v>5443.5</v>
      </c>
      <c r="CN232" s="281"/>
      <c r="CO232" s="338">
        <f>CO65*15%</f>
        <v>5214</v>
      </c>
      <c r="CP232" s="281"/>
      <c r="CQ232" s="338">
        <f>CQ65*15%</f>
        <v>5232</v>
      </c>
      <c r="CR232" s="281"/>
      <c r="CS232" s="338">
        <f>CS65*15%</f>
        <v>5262.3</v>
      </c>
      <c r="CT232" s="281"/>
      <c r="CU232" s="338">
        <f>CU65*15%</f>
        <v>5397.45</v>
      </c>
      <c r="CV232" s="281"/>
      <c r="CW232" s="338">
        <f>CW65*15%</f>
        <v>6155.25</v>
      </c>
      <c r="CX232" s="281"/>
      <c r="CY232" s="338">
        <f>CY65*15%</f>
        <v>5847</v>
      </c>
      <c r="CZ232" s="281"/>
      <c r="DA232" s="338">
        <f>DA65*15%</f>
        <v>5356.2</v>
      </c>
      <c r="DB232" s="281"/>
      <c r="DC232" s="338">
        <f>DC65*15%</f>
        <v>6555.5178000000005</v>
      </c>
      <c r="DD232" s="281"/>
      <c r="DE232" s="338">
        <f>DE65*15%</f>
        <v>5507.5800000000008</v>
      </c>
      <c r="DF232" s="281"/>
      <c r="DG232" s="338">
        <f>DG65*15%</f>
        <v>5969.808</v>
      </c>
      <c r="DH232" s="281"/>
      <c r="DI232" s="338">
        <f>DI65*15%</f>
        <v>7142.8960199999992</v>
      </c>
      <c r="DJ232" s="281"/>
      <c r="DK232" s="338">
        <f>DK65*15%</f>
        <v>6998.9942100000007</v>
      </c>
      <c r="DL232" s="281"/>
      <c r="DM232" s="338">
        <f>DM65*15%</f>
        <v>6630.5690100000002</v>
      </c>
      <c r="DN232" s="281"/>
      <c r="DO232" s="338">
        <f>DO65*15%</f>
        <v>6370.143</v>
      </c>
      <c r="DP232" s="281"/>
      <c r="DQ232" s="338">
        <f>DQ65*15%</f>
        <v>6370.143</v>
      </c>
      <c r="DR232" s="281"/>
      <c r="DS232" s="338">
        <f>DS65*15%</f>
        <v>6370.143</v>
      </c>
      <c r="DT232" s="281"/>
      <c r="DU232" s="111"/>
      <c r="DV232" s="111"/>
      <c r="DW232" s="111"/>
      <c r="DX232" s="111"/>
      <c r="DY232" s="111"/>
      <c r="DZ232" s="111"/>
      <c r="EA232" s="111"/>
      <c r="EB232" s="111"/>
      <c r="EC232" s="111"/>
      <c r="ED232" s="111"/>
      <c r="EE232" s="111"/>
      <c r="EF232" s="111"/>
      <c r="EG232" s="111"/>
      <c r="EH232" s="111"/>
      <c r="EI232" s="111"/>
      <c r="EJ232" s="111"/>
      <c r="EK232" s="111"/>
      <c r="EL232" s="111"/>
      <c r="EM232" s="111"/>
      <c r="EN232" s="338">
        <f>EN65*15%</f>
        <v>6370.143</v>
      </c>
      <c r="EO232" s="281"/>
      <c r="EP232" s="338">
        <f>EP65*15%</f>
        <v>6370.143</v>
      </c>
      <c r="EQ232" s="281"/>
      <c r="ER232" s="338">
        <f>ER65*15%</f>
        <v>6370.143</v>
      </c>
      <c r="ES232" s="281"/>
      <c r="ET232" s="338">
        <f>ET65*15%</f>
        <v>6370.143</v>
      </c>
      <c r="EU232" s="281"/>
      <c r="EV232" s="338">
        <f>EV65*15%</f>
        <v>6370.143</v>
      </c>
      <c r="EW232" s="281"/>
      <c r="EX232" s="338">
        <f>EX65*15%</f>
        <v>6370.143</v>
      </c>
      <c r="EY232" s="281"/>
      <c r="EZ232" s="338">
        <f>EZ65*15%</f>
        <v>6370.143</v>
      </c>
      <c r="FA232" s="281"/>
      <c r="FB232" s="338">
        <f>FB65*15%</f>
        <v>6370.143</v>
      </c>
      <c r="FC232" s="281"/>
      <c r="FD232" s="338">
        <f>FD65*15%</f>
        <v>6370.143</v>
      </c>
      <c r="FE232" s="281"/>
      <c r="FF232" s="338">
        <f>FF65*15%</f>
        <v>6370.143</v>
      </c>
      <c r="FG232" s="281"/>
      <c r="FH232" s="338">
        <f>FH65*15%</f>
        <v>6370.143</v>
      </c>
      <c r="FI232" s="281"/>
      <c r="FJ232" s="338">
        <f>FJ65*15%</f>
        <v>3657.8645999999999</v>
      </c>
      <c r="FK232" s="281"/>
      <c r="FL232" s="338">
        <f>FL65*15%</f>
        <v>3618.6072874466668</v>
      </c>
      <c r="FM232" s="281"/>
      <c r="FN232" s="338">
        <f>FN65*15%</f>
        <v>2524.2210908200004</v>
      </c>
      <c r="FO232" s="281"/>
      <c r="FP232" s="338">
        <f>FP65*15%</f>
        <v>0</v>
      </c>
      <c r="FQ232" s="281"/>
      <c r="FR232" s="111"/>
      <c r="FS232" s="111"/>
      <c r="FT232" s="111"/>
      <c r="FU232" s="111"/>
      <c r="FV232" s="111"/>
      <c r="FW232" s="111"/>
      <c r="FX232" s="230"/>
      <c r="FY232" s="230"/>
      <c r="FZ232" s="230"/>
      <c r="GA232" s="230"/>
      <c r="GB232" s="230"/>
      <c r="GC232" s="230"/>
      <c r="GD232" s="230"/>
      <c r="GE232" s="230"/>
      <c r="GF232" s="230"/>
      <c r="GG232" s="230"/>
    </row>
    <row r="233" spans="1:189" ht="8.25" customHeight="1" outlineLevel="1" x14ac:dyDescent="0.3">
      <c r="A233" s="1"/>
      <c r="B233" s="18"/>
      <c r="C233" s="18"/>
      <c r="D233" s="18"/>
      <c r="E233" s="18"/>
      <c r="F233" s="18"/>
      <c r="G233" s="3"/>
      <c r="H233" s="3"/>
      <c r="I233" s="19"/>
      <c r="J233" s="20"/>
      <c r="K233" s="19"/>
      <c r="L233" s="20"/>
      <c r="M233" s="19"/>
      <c r="N233" s="20"/>
      <c r="O233" s="19"/>
      <c r="P233" s="20"/>
      <c r="Q233" s="19"/>
      <c r="R233" s="20"/>
      <c r="S233" s="19"/>
      <c r="T233" s="20"/>
      <c r="U233" s="19"/>
      <c r="V233" s="20"/>
      <c r="W233" s="19"/>
      <c r="X233" s="20"/>
      <c r="Y233" s="19"/>
      <c r="Z233" s="20"/>
      <c r="AA233" s="19"/>
      <c r="AB233" s="20"/>
      <c r="AC233" s="19"/>
      <c r="AD233" s="20"/>
      <c r="AE233" s="19"/>
      <c r="AF233" s="20"/>
      <c r="AG233" s="19"/>
      <c r="AH233" s="20"/>
      <c r="AI233" s="19"/>
      <c r="AJ233" s="20"/>
      <c r="AK233" s="19"/>
      <c r="AL233" s="20"/>
      <c r="AM233" s="19"/>
      <c r="AN233" s="20"/>
      <c r="AO233" s="19"/>
      <c r="AP233" s="20"/>
      <c r="AQ233" s="19"/>
      <c r="AR233" s="20"/>
      <c r="AS233" s="19"/>
      <c r="AT233" s="20"/>
      <c r="AU233" s="19"/>
      <c r="AV233" s="20"/>
      <c r="AW233" s="19"/>
      <c r="AX233" s="20"/>
      <c r="AY233" s="19"/>
      <c r="AZ233" s="20"/>
      <c r="BA233" s="19"/>
      <c r="BB233" s="20"/>
      <c r="BC233" s="19"/>
      <c r="BD233" s="20"/>
      <c r="BE233" s="19"/>
      <c r="BF233" s="20"/>
      <c r="BG233" s="19"/>
      <c r="BH233" s="20"/>
      <c r="BI233" s="19"/>
      <c r="BJ233" s="20"/>
      <c r="BK233" s="19"/>
      <c r="BL233" s="20"/>
      <c r="BM233" s="19"/>
      <c r="BN233" s="20"/>
      <c r="BO233" s="19"/>
      <c r="BP233" s="20"/>
      <c r="BQ233" s="19"/>
      <c r="BR233" s="20"/>
      <c r="BS233" s="19"/>
      <c r="BT233" s="20"/>
      <c r="BU233" s="19"/>
      <c r="BV233" s="20"/>
      <c r="BW233" s="19"/>
      <c r="BX233" s="20"/>
      <c r="BY233" s="19"/>
      <c r="BZ233" s="20"/>
      <c r="CA233" s="19"/>
      <c r="CB233" s="20"/>
      <c r="CC233" s="19"/>
      <c r="CD233" s="20"/>
      <c r="CE233" s="19"/>
      <c r="CF233" s="20"/>
      <c r="CG233" s="19"/>
      <c r="CH233" s="20"/>
      <c r="CI233" s="19"/>
      <c r="CJ233" s="20"/>
      <c r="CK233" s="19"/>
      <c r="CL233" s="20"/>
      <c r="CM233" s="19"/>
      <c r="CN233" s="20"/>
      <c r="CO233" s="19"/>
      <c r="CP233" s="20"/>
      <c r="CQ233" s="19"/>
      <c r="CR233" s="20"/>
      <c r="CS233" s="19"/>
      <c r="CT233" s="20"/>
      <c r="CU233" s="19"/>
      <c r="CV233" s="20"/>
      <c r="CW233" s="19"/>
      <c r="CX233" s="20"/>
      <c r="CY233" s="19"/>
      <c r="CZ233" s="20"/>
      <c r="DA233" s="19"/>
      <c r="DB233" s="20"/>
      <c r="DC233" s="19"/>
      <c r="DD233" s="20"/>
      <c r="DE233" s="19"/>
      <c r="DF233" s="20"/>
      <c r="DG233" s="19"/>
      <c r="DH233" s="20"/>
      <c r="DI233" s="19"/>
      <c r="DJ233" s="20"/>
      <c r="DK233" s="19"/>
      <c r="DL233" s="20"/>
      <c r="DM233" s="19"/>
      <c r="DN233" s="20"/>
      <c r="DO233" s="19"/>
      <c r="DP233" s="20"/>
      <c r="DQ233" s="19"/>
      <c r="DR233" s="20"/>
      <c r="DS233" s="19"/>
      <c r="DT233" s="20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19"/>
      <c r="EO233" s="20"/>
      <c r="EP233" s="19"/>
      <c r="EQ233" s="20"/>
      <c r="ER233" s="19"/>
      <c r="ES233" s="20"/>
      <c r="ET233" s="19"/>
      <c r="EU233" s="20"/>
      <c r="EV233" s="19"/>
      <c r="EW233" s="20"/>
      <c r="EX233" s="19"/>
      <c r="EY233" s="20"/>
      <c r="EZ233" s="19"/>
      <c r="FA233" s="20"/>
      <c r="FB233" s="19"/>
      <c r="FC233" s="20"/>
      <c r="FD233" s="19"/>
      <c r="FE233" s="20"/>
      <c r="FF233" s="19"/>
      <c r="FG233" s="20"/>
      <c r="FH233" s="19"/>
      <c r="FI233" s="20"/>
      <c r="FJ233" s="19"/>
      <c r="FK233" s="20"/>
      <c r="FL233" s="19"/>
      <c r="FM233" s="20"/>
      <c r="FN233" s="19"/>
      <c r="FO233" s="20"/>
      <c r="FP233" s="19"/>
      <c r="FQ233" s="20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</row>
    <row r="234" spans="1:189" ht="15" customHeight="1" outlineLevel="1" x14ac:dyDescent="0.3">
      <c r="A234" s="63"/>
      <c r="B234" s="438" t="s">
        <v>184</v>
      </c>
      <c r="C234" s="313" t="s">
        <v>24</v>
      </c>
      <c r="D234" s="313" t="s">
        <v>25</v>
      </c>
      <c r="E234" s="313" t="s">
        <v>185</v>
      </c>
      <c r="F234" s="313" t="s">
        <v>53</v>
      </c>
      <c r="G234" s="5" t="s">
        <v>28</v>
      </c>
      <c r="H234" s="5"/>
      <c r="I234" s="338">
        <v>4.63</v>
      </c>
      <c r="J234" s="281"/>
      <c r="K234" s="338">
        <v>4.63</v>
      </c>
      <c r="L234" s="281"/>
      <c r="M234" s="338">
        <v>4.63</v>
      </c>
      <c r="N234" s="281"/>
      <c r="O234" s="338">
        <v>4.63</v>
      </c>
      <c r="P234" s="281"/>
      <c r="Q234" s="338">
        <v>4.63</v>
      </c>
      <c r="R234" s="281"/>
      <c r="S234" s="338">
        <v>4.63</v>
      </c>
      <c r="T234" s="281"/>
      <c r="U234" s="338">
        <v>4.63</v>
      </c>
      <c r="V234" s="281"/>
      <c r="W234" s="338">
        <v>4.63</v>
      </c>
      <c r="X234" s="281"/>
      <c r="Y234" s="338">
        <v>4.63</v>
      </c>
      <c r="Z234" s="281"/>
      <c r="AA234" s="338">
        <v>4.63</v>
      </c>
      <c r="AB234" s="281"/>
      <c r="AC234" s="338">
        <v>4.63</v>
      </c>
      <c r="AD234" s="281"/>
      <c r="AE234" s="338">
        <v>4.63</v>
      </c>
      <c r="AF234" s="281"/>
      <c r="AG234" s="338">
        <v>4.63</v>
      </c>
      <c r="AH234" s="281"/>
      <c r="AI234" s="338">
        <v>4.84</v>
      </c>
      <c r="AJ234" s="281"/>
      <c r="AK234" s="338">
        <v>4.84</v>
      </c>
      <c r="AL234" s="281"/>
      <c r="AM234" s="338">
        <v>4.84</v>
      </c>
      <c r="AN234" s="281"/>
      <c r="AO234" s="338">
        <v>4.84</v>
      </c>
      <c r="AP234" s="281"/>
      <c r="AQ234" s="338">
        <v>4.84</v>
      </c>
      <c r="AR234" s="281"/>
      <c r="AS234" s="338">
        <v>4.84</v>
      </c>
      <c r="AT234" s="281"/>
      <c r="AU234" s="338">
        <v>4.84</v>
      </c>
      <c r="AV234" s="281"/>
      <c r="AW234" s="338">
        <v>4.84</v>
      </c>
      <c r="AX234" s="281"/>
      <c r="AY234" s="338">
        <v>4.84</v>
      </c>
      <c r="AZ234" s="281"/>
      <c r="BA234" s="338">
        <v>4.84</v>
      </c>
      <c r="BB234" s="281"/>
      <c r="BC234" s="338">
        <v>4.84</v>
      </c>
      <c r="BD234" s="281"/>
      <c r="BE234" s="338">
        <v>4.84</v>
      </c>
      <c r="BF234" s="281"/>
      <c r="BG234" s="338">
        <v>4.84</v>
      </c>
      <c r="BH234" s="281"/>
      <c r="BI234" s="338">
        <v>4.84</v>
      </c>
      <c r="BJ234" s="281"/>
      <c r="BK234" s="338">
        <v>4.84</v>
      </c>
      <c r="BL234" s="281"/>
      <c r="BM234" s="338">
        <v>4.84</v>
      </c>
      <c r="BN234" s="281"/>
      <c r="BO234" s="338">
        <v>4.84</v>
      </c>
      <c r="BP234" s="281"/>
      <c r="BQ234" s="338">
        <v>4.84</v>
      </c>
      <c r="BR234" s="281"/>
      <c r="BS234" s="338">
        <v>4.84</v>
      </c>
      <c r="BT234" s="281"/>
      <c r="BU234" s="338">
        <v>4.84</v>
      </c>
      <c r="BV234" s="281"/>
      <c r="BW234" s="338">
        <v>4.84</v>
      </c>
      <c r="BX234" s="281"/>
      <c r="BY234" s="338">
        <v>4.84</v>
      </c>
      <c r="BZ234" s="281"/>
      <c r="CA234" s="338">
        <v>4.84</v>
      </c>
      <c r="CB234" s="281"/>
      <c r="CC234" s="338">
        <v>4.84</v>
      </c>
      <c r="CD234" s="281"/>
      <c r="CE234" s="338">
        <v>4.84</v>
      </c>
      <c r="CF234" s="281"/>
      <c r="CG234" s="338">
        <v>4.84</v>
      </c>
      <c r="CH234" s="281"/>
      <c r="CI234" s="338">
        <v>4.84</v>
      </c>
      <c r="CJ234" s="281"/>
      <c r="CK234" s="338">
        <v>4.84</v>
      </c>
      <c r="CL234" s="281"/>
      <c r="CM234" s="338">
        <v>4.84</v>
      </c>
      <c r="CN234" s="281"/>
      <c r="CO234" s="338">
        <v>4.84</v>
      </c>
      <c r="CP234" s="281"/>
      <c r="CQ234" s="338">
        <v>4.84</v>
      </c>
      <c r="CR234" s="281"/>
      <c r="CS234" s="338">
        <v>4.84</v>
      </c>
      <c r="CT234" s="281"/>
      <c r="CU234" s="338">
        <v>4.84</v>
      </c>
      <c r="CV234" s="281"/>
      <c r="CW234" s="338">
        <v>4.84</v>
      </c>
      <c r="CX234" s="281"/>
      <c r="CY234" s="338">
        <v>4.84</v>
      </c>
      <c r="CZ234" s="281"/>
      <c r="DA234" s="338">
        <v>4.84</v>
      </c>
      <c r="DB234" s="281"/>
      <c r="DC234" s="338">
        <v>4.84</v>
      </c>
      <c r="DD234" s="281"/>
      <c r="DE234" s="338">
        <v>4.84</v>
      </c>
      <c r="DF234" s="281"/>
      <c r="DG234" s="338">
        <v>4.84</v>
      </c>
      <c r="DH234" s="281"/>
      <c r="DI234" s="338">
        <v>4.84</v>
      </c>
      <c r="DJ234" s="281"/>
      <c r="DK234" s="338">
        <v>4.84</v>
      </c>
      <c r="DL234" s="281"/>
      <c r="DM234" s="338">
        <v>4.84</v>
      </c>
      <c r="DN234" s="281"/>
      <c r="DO234" s="338">
        <v>4.84</v>
      </c>
      <c r="DP234" s="281"/>
      <c r="DQ234" s="338">
        <v>4.84</v>
      </c>
      <c r="DR234" s="281"/>
      <c r="DS234" s="338">
        <v>4.84</v>
      </c>
      <c r="DT234" s="281"/>
      <c r="DU234" s="111"/>
      <c r="DV234" s="111"/>
      <c r="DW234" s="111"/>
      <c r="DX234" s="111"/>
      <c r="DY234" s="111"/>
      <c r="DZ234" s="111"/>
      <c r="EA234" s="111"/>
      <c r="EB234" s="111"/>
      <c r="EC234" s="111"/>
      <c r="ED234" s="111"/>
      <c r="EE234" s="111"/>
      <c r="EF234" s="111"/>
      <c r="EG234" s="111"/>
      <c r="EH234" s="111"/>
      <c r="EI234" s="111"/>
      <c r="EJ234" s="111"/>
      <c r="EK234" s="111"/>
      <c r="EL234" s="111"/>
      <c r="EM234" s="111"/>
      <c r="EN234" s="338">
        <v>4.84</v>
      </c>
      <c r="EO234" s="281"/>
      <c r="EP234" s="338">
        <v>4.84</v>
      </c>
      <c r="EQ234" s="281"/>
      <c r="ER234" s="338">
        <v>4.84</v>
      </c>
      <c r="ES234" s="281"/>
      <c r="ET234" s="338">
        <v>4.84</v>
      </c>
      <c r="EU234" s="281"/>
      <c r="EV234" s="338">
        <v>4.84</v>
      </c>
      <c r="EW234" s="281"/>
      <c r="EX234" s="338">
        <v>4.84</v>
      </c>
      <c r="EY234" s="281"/>
      <c r="EZ234" s="338">
        <v>4.84</v>
      </c>
      <c r="FA234" s="281"/>
      <c r="FB234" s="338">
        <v>4.84</v>
      </c>
      <c r="FC234" s="281"/>
      <c r="FD234" s="338">
        <v>4.84</v>
      </c>
      <c r="FE234" s="281"/>
      <c r="FF234" s="338">
        <v>4.84</v>
      </c>
      <c r="FG234" s="281"/>
      <c r="FH234" s="338">
        <v>4.84</v>
      </c>
      <c r="FI234" s="281"/>
      <c r="FJ234" s="338">
        <v>4.84</v>
      </c>
      <c r="FK234" s="281"/>
      <c r="FL234" s="338">
        <v>4.84</v>
      </c>
      <c r="FM234" s="281"/>
      <c r="FN234" s="338">
        <v>4.84</v>
      </c>
      <c r="FO234" s="281"/>
      <c r="FP234" s="338">
        <v>4.84</v>
      </c>
      <c r="FQ234" s="281"/>
      <c r="FR234" s="111"/>
      <c r="FS234" s="111"/>
      <c r="FT234" s="111"/>
      <c r="FU234" s="111"/>
      <c r="FV234" s="111"/>
      <c r="FW234" s="111"/>
      <c r="FX234" s="230"/>
      <c r="FY234" s="230"/>
      <c r="FZ234" s="230"/>
      <c r="GA234" s="230"/>
      <c r="GB234" s="230"/>
      <c r="GC234" s="230"/>
      <c r="GD234" s="230"/>
      <c r="GE234" s="230"/>
      <c r="GF234" s="230"/>
      <c r="GG234" s="230"/>
    </row>
    <row r="235" spans="1:189" ht="4.5" customHeight="1" outlineLevel="1" x14ac:dyDescent="0.3">
      <c r="A235" s="1"/>
      <c r="B235" s="286"/>
      <c r="C235" s="301"/>
      <c r="D235" s="301"/>
      <c r="E235" s="301"/>
      <c r="F235" s="301"/>
      <c r="G235" s="5"/>
      <c r="H235" s="5"/>
      <c r="I235" s="328"/>
      <c r="J235" s="281"/>
      <c r="K235" s="328"/>
      <c r="L235" s="281"/>
      <c r="M235" s="328"/>
      <c r="N235" s="281"/>
      <c r="O235" s="328"/>
      <c r="P235" s="281"/>
      <c r="Q235" s="351"/>
      <c r="R235" s="281"/>
      <c r="S235" s="351"/>
      <c r="T235" s="281"/>
      <c r="U235" s="328"/>
      <c r="V235" s="281"/>
      <c r="W235" s="328"/>
      <c r="X235" s="281"/>
      <c r="Y235" s="328"/>
      <c r="Z235" s="281"/>
      <c r="AA235" s="351"/>
      <c r="AB235" s="281"/>
      <c r="AC235" s="328"/>
      <c r="AD235" s="281"/>
      <c r="AE235" s="351"/>
      <c r="AF235" s="281"/>
      <c r="AG235" s="328"/>
      <c r="AH235" s="281"/>
      <c r="AI235" s="328"/>
      <c r="AJ235" s="281"/>
      <c r="AK235" s="351"/>
      <c r="AL235" s="281"/>
      <c r="AM235" s="351"/>
      <c r="AN235" s="281"/>
      <c r="AO235" s="351"/>
      <c r="AP235" s="281"/>
      <c r="AQ235" s="328"/>
      <c r="AR235" s="281"/>
      <c r="AS235" s="328"/>
      <c r="AT235" s="281"/>
      <c r="AU235" s="351"/>
      <c r="AV235" s="281"/>
      <c r="AW235" s="351"/>
      <c r="AX235" s="281"/>
      <c r="AY235" s="351"/>
      <c r="AZ235" s="281"/>
      <c r="BA235" s="351"/>
      <c r="BB235" s="281"/>
      <c r="BC235" s="351"/>
      <c r="BD235" s="281"/>
      <c r="BE235" s="351"/>
      <c r="BF235" s="281"/>
      <c r="BG235" s="351"/>
      <c r="BH235" s="281"/>
      <c r="BI235" s="351"/>
      <c r="BJ235" s="281"/>
      <c r="BK235" s="351"/>
      <c r="BL235" s="281"/>
      <c r="BM235" s="351"/>
      <c r="BN235" s="281"/>
      <c r="BO235" s="351"/>
      <c r="BP235" s="281"/>
      <c r="BQ235" s="351"/>
      <c r="BR235" s="281"/>
      <c r="BS235" s="351"/>
      <c r="BT235" s="281"/>
      <c r="BU235" s="351"/>
      <c r="BV235" s="281"/>
      <c r="BW235" s="351"/>
      <c r="BX235" s="281"/>
      <c r="BY235" s="351"/>
      <c r="BZ235" s="281"/>
      <c r="CA235" s="351"/>
      <c r="CB235" s="281"/>
      <c r="CC235" s="351"/>
      <c r="CD235" s="281"/>
      <c r="CE235" s="351"/>
      <c r="CF235" s="281"/>
      <c r="CG235" s="351"/>
      <c r="CH235" s="281"/>
      <c r="CI235" s="351"/>
      <c r="CJ235" s="281"/>
      <c r="CK235" s="351"/>
      <c r="CL235" s="281"/>
      <c r="CM235" s="351"/>
      <c r="CN235" s="281"/>
      <c r="CO235" s="351"/>
      <c r="CP235" s="281"/>
      <c r="CQ235" s="351"/>
      <c r="CR235" s="281"/>
      <c r="CS235" s="351"/>
      <c r="CT235" s="281"/>
      <c r="CU235" s="351"/>
      <c r="CV235" s="281"/>
      <c r="CW235" s="351"/>
      <c r="CX235" s="281"/>
      <c r="CY235" s="351"/>
      <c r="CZ235" s="281"/>
      <c r="DA235" s="351"/>
      <c r="DB235" s="281"/>
      <c r="DC235" s="351"/>
      <c r="DD235" s="281"/>
      <c r="DE235" s="351"/>
      <c r="DF235" s="281"/>
      <c r="DG235" s="351"/>
      <c r="DH235" s="281"/>
      <c r="DI235" s="351"/>
      <c r="DJ235" s="281"/>
      <c r="DK235" s="351"/>
      <c r="DL235" s="281"/>
      <c r="DM235" s="351"/>
      <c r="DN235" s="281"/>
      <c r="DO235" s="351"/>
      <c r="DP235" s="281"/>
      <c r="DQ235" s="351"/>
      <c r="DR235" s="281"/>
      <c r="DS235" s="351"/>
      <c r="DT235" s="281"/>
      <c r="DU235" s="111"/>
      <c r="DV235" s="111"/>
      <c r="DW235" s="111"/>
      <c r="DX235" s="111"/>
      <c r="DY235" s="111"/>
      <c r="DZ235" s="111"/>
      <c r="EA235" s="111"/>
      <c r="EB235" s="111"/>
      <c r="EC235" s="111"/>
      <c r="ED235" s="111"/>
      <c r="EE235" s="111"/>
      <c r="EF235" s="111"/>
      <c r="EG235" s="111"/>
      <c r="EH235" s="111"/>
      <c r="EI235" s="111"/>
      <c r="EJ235" s="111"/>
      <c r="EK235" s="111"/>
      <c r="EL235" s="111"/>
      <c r="EM235" s="111"/>
      <c r="EN235" s="351"/>
      <c r="EO235" s="281"/>
      <c r="EP235" s="351"/>
      <c r="EQ235" s="281"/>
      <c r="ER235" s="351"/>
      <c r="ES235" s="281"/>
      <c r="ET235" s="351"/>
      <c r="EU235" s="281"/>
      <c r="EV235" s="351"/>
      <c r="EW235" s="281"/>
      <c r="EX235" s="351"/>
      <c r="EY235" s="281"/>
      <c r="EZ235" s="351"/>
      <c r="FA235" s="281"/>
      <c r="FB235" s="351"/>
      <c r="FC235" s="281"/>
      <c r="FD235" s="351"/>
      <c r="FE235" s="281"/>
      <c r="FF235" s="351"/>
      <c r="FG235" s="281"/>
      <c r="FH235" s="351"/>
      <c r="FI235" s="281"/>
      <c r="FJ235" s="351"/>
      <c r="FK235" s="281"/>
      <c r="FL235" s="351"/>
      <c r="FM235" s="281"/>
      <c r="FN235" s="351"/>
      <c r="FO235" s="281"/>
      <c r="FP235" s="351"/>
      <c r="FQ235" s="281"/>
      <c r="FR235" s="111"/>
      <c r="FS235" s="111"/>
      <c r="FT235" s="111"/>
      <c r="FU235" s="111"/>
      <c r="FV235" s="111"/>
      <c r="FW235" s="111"/>
      <c r="FX235" s="230"/>
      <c r="FY235" s="230"/>
      <c r="FZ235" s="230"/>
      <c r="GA235" s="230"/>
      <c r="GB235" s="230"/>
      <c r="GC235" s="230"/>
      <c r="GD235" s="230"/>
      <c r="GE235" s="230"/>
      <c r="GF235" s="230"/>
      <c r="GG235" s="230"/>
    </row>
    <row r="236" spans="1:189" ht="15" customHeight="1" outlineLevel="1" x14ac:dyDescent="0.3">
      <c r="A236" s="1"/>
      <c r="B236" s="286"/>
      <c r="C236" s="301"/>
      <c r="D236" s="301"/>
      <c r="E236" s="301"/>
      <c r="F236" s="301"/>
      <c r="G236" s="32" t="s">
        <v>30</v>
      </c>
      <c r="H236" s="5"/>
      <c r="I236" s="338">
        <f>I238/I237</f>
        <v>4.5230371759232568</v>
      </c>
      <c r="J236" s="281"/>
      <c r="K236" s="338">
        <f>K238/K237</f>
        <v>3.3963837487646864</v>
      </c>
      <c r="L236" s="281"/>
      <c r="M236" s="338">
        <f>M238/M237</f>
        <v>4.3429910789194022</v>
      </c>
      <c r="N236" s="281"/>
      <c r="O236" s="338">
        <f>O238/O237</f>
        <v>4.4375395709243328</v>
      </c>
      <c r="P236" s="281"/>
      <c r="Q236" s="338">
        <f>Q238/Q237</f>
        <v>5.1449334319526629</v>
      </c>
      <c r="R236" s="281"/>
      <c r="S236" s="338">
        <f>S238/S237</f>
        <v>5.1821949339207052</v>
      </c>
      <c r="T236" s="281"/>
      <c r="U236" s="338">
        <f>U238/U237</f>
        <v>4.8604412025069932</v>
      </c>
      <c r="V236" s="281"/>
      <c r="W236" s="338">
        <f>W238/W237</f>
        <v>4.0676415887065147</v>
      </c>
      <c r="X236" s="281"/>
      <c r="Y236" s="338">
        <f>Y238/Y237</f>
        <v>4.4961208431451389</v>
      </c>
      <c r="Z236" s="281"/>
      <c r="AA236" s="338">
        <f>AA238/AA237</f>
        <v>4.9848826276064981</v>
      </c>
      <c r="AB236" s="281"/>
      <c r="AC236" s="338">
        <f>AC238/AC237</f>
        <v>3.869230441694107</v>
      </c>
      <c r="AD236" s="281"/>
      <c r="AE236" s="338">
        <f>AE238/AE237</f>
        <v>5.2096451340098886</v>
      </c>
      <c r="AF236" s="281"/>
      <c r="AG236" s="338">
        <f>AG238/AG237</f>
        <v>5.2080754361784383</v>
      </c>
      <c r="AH236" s="281"/>
      <c r="AI236" s="355">
        <f>AI238/AI237</f>
        <v>4.5665824650036839</v>
      </c>
      <c r="AJ236" s="281"/>
      <c r="AK236" s="355">
        <f>AK238/AK237</f>
        <v>5.5312574382987023</v>
      </c>
      <c r="AL236" s="281"/>
      <c r="AM236" s="355">
        <f>AM238/AM237</f>
        <v>5.1212198782623188</v>
      </c>
      <c r="AN236" s="281"/>
      <c r="AO236" s="355">
        <f>AO238/AO237</f>
        <v>5.0375465594528395</v>
      </c>
      <c r="AP236" s="281"/>
      <c r="AQ236" s="355">
        <f>AQ238/AQ237</f>
        <v>4.6184740851521244</v>
      </c>
      <c r="AR236" s="281"/>
      <c r="AS236" s="355">
        <f>AS238/AS237</f>
        <v>4.5635182227384927</v>
      </c>
      <c r="AT236" s="281"/>
      <c r="AU236" s="355">
        <f>AU238/AU237</f>
        <v>5.7852225073846304</v>
      </c>
      <c r="AV236" s="281"/>
      <c r="AW236" s="355">
        <f>AW238/AW237</f>
        <v>7.276937405993289</v>
      </c>
      <c r="AX236" s="281"/>
      <c r="AY236" s="355">
        <f>AY238/AY237</f>
        <v>6.32306233213966</v>
      </c>
      <c r="AZ236" s="281"/>
      <c r="BA236" s="355">
        <f>BA238/BA237</f>
        <v>8.4689206371384653</v>
      </c>
      <c r="BB236" s="281"/>
      <c r="BC236" s="355">
        <f>BC238/BC237</f>
        <v>10.468134941185173</v>
      </c>
      <c r="BD236" s="281"/>
      <c r="BE236" s="355">
        <f>BE238/BE237</f>
        <v>8.0753779816513749</v>
      </c>
      <c r="BF236" s="281"/>
      <c r="BG236" s="355">
        <f>BG238/BG237</f>
        <v>8.9885940416635552</v>
      </c>
      <c r="BH236" s="281"/>
      <c r="BI236" s="355">
        <f>BI238/BI237</f>
        <v>11.117854892512973</v>
      </c>
      <c r="BJ236" s="281"/>
      <c r="BK236" s="355">
        <f>BK238/BK237</f>
        <v>10.933779888634131</v>
      </c>
      <c r="BL236" s="281"/>
      <c r="BM236" s="355">
        <f>BM238/BM237</f>
        <v>11.033021371940709</v>
      </c>
      <c r="BN236" s="281"/>
      <c r="BO236" s="355">
        <f>BO238/BO237</f>
        <v>11.981664890783165</v>
      </c>
      <c r="BP236" s="281"/>
      <c r="BQ236" s="355">
        <f>BQ238/BQ237</f>
        <v>11.631885560006967</v>
      </c>
      <c r="BR236" s="281"/>
      <c r="BS236" s="355">
        <f>BS238/BS237</f>
        <v>16.793107993711452</v>
      </c>
      <c r="BT236" s="281"/>
      <c r="BU236" s="355">
        <f>BU238/BU237</f>
        <v>12.338913306639352</v>
      </c>
      <c r="BV236" s="281"/>
      <c r="BW236" s="355">
        <f>BW238/BW237</f>
        <v>12.306308718613916</v>
      </c>
      <c r="BX236" s="281"/>
      <c r="BY236" s="355">
        <f>BY238/BY237</f>
        <v>14.305049978732454</v>
      </c>
      <c r="BZ236" s="281"/>
      <c r="CA236" s="355">
        <f>CA238/CA237</f>
        <v>13.436917616289932</v>
      </c>
      <c r="CB236" s="281"/>
      <c r="CC236" s="355">
        <f>CC238/CC237</f>
        <v>7.8442999352064557</v>
      </c>
      <c r="CD236" s="281"/>
      <c r="CE236" s="355">
        <f>CE238/CE237</f>
        <v>12.872023081475637</v>
      </c>
      <c r="CF236" s="281"/>
      <c r="CG236" s="355">
        <f>CG238/CG237</f>
        <v>14.358283125955031</v>
      </c>
      <c r="CH236" s="281"/>
      <c r="CI236" s="355">
        <f>CI238/CI237</f>
        <v>14.092571547420965</v>
      </c>
      <c r="CJ236" s="281"/>
      <c r="CK236" s="355">
        <f>CK238/CK237</f>
        <v>15.477256653467171</v>
      </c>
      <c r="CL236" s="281"/>
      <c r="CM236" s="355">
        <f>CM238/CM237</f>
        <v>13.547398914188479</v>
      </c>
      <c r="CN236" s="281"/>
      <c r="CO236" s="355">
        <f>CO238/CO237</f>
        <v>16.840573120546022</v>
      </c>
      <c r="CP236" s="281"/>
      <c r="CQ236" s="355">
        <f>CQ238/CQ237</f>
        <v>14.510051840331778</v>
      </c>
      <c r="CR236" s="281"/>
      <c r="CS236" s="355">
        <f>CS238/CS237</f>
        <v>11.960840935005701</v>
      </c>
      <c r="CT236" s="281"/>
      <c r="CU236" s="355">
        <f>CU238/CU237</f>
        <v>12.768830185851318</v>
      </c>
      <c r="CV236" s="281"/>
      <c r="CW236" s="355">
        <f>CW238/CW237</f>
        <v>12.281776971894832</v>
      </c>
      <c r="CX236" s="281"/>
      <c r="CY236" s="355">
        <f>CY238/CY237</f>
        <v>10.751688149414704</v>
      </c>
      <c r="CZ236" s="281"/>
      <c r="DA236" s="355">
        <f>DA238/DA237</f>
        <v>9.5241349556148744</v>
      </c>
      <c r="DB236" s="281"/>
      <c r="DC236" s="355">
        <f>DC238/DC237</f>
        <v>13.593696399345335</v>
      </c>
      <c r="DD236" s="281"/>
      <c r="DE236" s="355">
        <f>DE238/DE237</f>
        <v>11.965248312988095</v>
      </c>
      <c r="DF236" s="281"/>
      <c r="DG236" s="355">
        <f>DG238/DG237</f>
        <v>10.862033232433825</v>
      </c>
      <c r="DH236" s="281"/>
      <c r="DI236" s="355">
        <f>DI238/DI237</f>
        <v>14.487898516167133</v>
      </c>
      <c r="DJ236" s="281"/>
      <c r="DK236" s="355">
        <f>DK238/DK237</f>
        <v>12.338471543130993</v>
      </c>
      <c r="DL236" s="281"/>
      <c r="DM236" s="355">
        <f>DM238/DM237</f>
        <v>13.246676597501438</v>
      </c>
      <c r="DN236" s="281"/>
      <c r="DO236" s="355">
        <f>DO238/DO237</f>
        <v>13.207558488083054</v>
      </c>
      <c r="DP236" s="281"/>
      <c r="DQ236" s="355">
        <f>DQ238/DQ237</f>
        <v>11.632148560757294</v>
      </c>
      <c r="DR236" s="281"/>
      <c r="DS236" s="355">
        <f>DS238/DS237</f>
        <v>16.219415910927541</v>
      </c>
      <c r="DT236" s="281"/>
      <c r="DU236" s="111"/>
      <c r="DV236" s="111"/>
      <c r="DW236" s="111"/>
      <c r="DX236" s="111"/>
      <c r="DY236" s="111"/>
      <c r="DZ236" s="111"/>
      <c r="EA236" s="111"/>
      <c r="EB236" s="111"/>
      <c r="EC236" s="111"/>
      <c r="ED236" s="111"/>
      <c r="EE236" s="111"/>
      <c r="EF236" s="111"/>
      <c r="EG236" s="111"/>
      <c r="EH236" s="111"/>
      <c r="EI236" s="111"/>
      <c r="EJ236" s="111"/>
      <c r="EK236" s="111"/>
      <c r="EL236" s="111"/>
      <c r="EM236" s="111"/>
      <c r="EN236" s="355">
        <f>EN238/EN237</f>
        <v>17.37215185612618</v>
      </c>
      <c r="EO236" s="281"/>
      <c r="EP236" s="355">
        <f>EP238/EP237</f>
        <v>17.476357875386999</v>
      </c>
      <c r="EQ236" s="281"/>
      <c r="ER236" s="355">
        <f>ER238/ER237</f>
        <v>17.182120707695237</v>
      </c>
      <c r="ES236" s="281"/>
      <c r="ET236" s="355">
        <f>ET238/ET237</f>
        <v>14.080410803627267</v>
      </c>
      <c r="EU236" s="281"/>
      <c r="EV236" s="355">
        <f>EV238/EV237</f>
        <v>17.255525584515141</v>
      </c>
      <c r="EW236" s="281"/>
      <c r="EX236" s="355">
        <f>EX238/EX237</f>
        <v>18.853582722513089</v>
      </c>
      <c r="EY236" s="281"/>
      <c r="EZ236" s="355">
        <f>EZ238/EZ237</f>
        <v>13.999318482233109</v>
      </c>
      <c r="FA236" s="281"/>
      <c r="FB236" s="355">
        <f>FB238/FB237</f>
        <v>14.324430010392518</v>
      </c>
      <c r="FC236" s="281"/>
      <c r="FD236" s="355">
        <f>FD238/FD237</f>
        <v>19.098443486590039</v>
      </c>
      <c r="FE236" s="281"/>
      <c r="FF236" s="355">
        <f>FF238/FF237</f>
        <v>16.911152308424558</v>
      </c>
      <c r="FG236" s="281"/>
      <c r="FH236" s="355">
        <f>FH238/FH237</f>
        <v>19.171387929172965</v>
      </c>
      <c r="FI236" s="281"/>
      <c r="FJ236" s="355">
        <f>FJ238/FJ237</f>
        <v>11.752082619594736</v>
      </c>
      <c r="FK236" s="281"/>
      <c r="FL236" s="355">
        <f>FL238/FL237</f>
        <v>11.372886168018463</v>
      </c>
      <c r="FM236" s="281"/>
      <c r="FN236" s="355">
        <f>FN238/FN237</f>
        <v>9.4465962916397057</v>
      </c>
      <c r="FO236" s="281"/>
      <c r="FP236" s="355">
        <f>FP238/FP237</f>
        <v>2.8700881120901349</v>
      </c>
      <c r="FQ236" s="281"/>
      <c r="FR236" s="111"/>
      <c r="FS236" s="111"/>
      <c r="FT236" s="111"/>
      <c r="FU236" s="111"/>
      <c r="FV236" s="111"/>
      <c r="FW236" s="111"/>
      <c r="FX236" s="230"/>
      <c r="FY236" s="230"/>
      <c r="FZ236" s="230"/>
      <c r="GA236" s="230"/>
      <c r="GB236" s="230"/>
      <c r="GC236" s="230"/>
      <c r="GD236" s="230"/>
      <c r="GE236" s="230"/>
      <c r="GF236" s="230"/>
      <c r="GG236" s="230"/>
    </row>
    <row r="237" spans="1:189" ht="15" customHeight="1" outlineLevel="1" x14ac:dyDescent="0.3">
      <c r="A237" s="1"/>
      <c r="B237" s="286"/>
      <c r="C237" s="301"/>
      <c r="D237" s="301"/>
      <c r="E237" s="301"/>
      <c r="F237" s="301"/>
      <c r="G237" s="5" t="s">
        <v>186</v>
      </c>
      <c r="H237" s="5"/>
      <c r="I237" s="284">
        <f>I316</f>
        <v>398941</v>
      </c>
      <c r="J237" s="281"/>
      <c r="K237" s="284">
        <f>K316</f>
        <v>45535</v>
      </c>
      <c r="L237" s="281"/>
      <c r="M237" s="284">
        <f>M316</f>
        <v>35758</v>
      </c>
      <c r="N237" s="281"/>
      <c r="O237" s="284">
        <f>O316</f>
        <v>36264</v>
      </c>
      <c r="P237" s="281"/>
      <c r="Q237" s="284">
        <f>Q316</f>
        <v>28392</v>
      </c>
      <c r="R237" s="281"/>
      <c r="S237" s="284">
        <f>S316</f>
        <v>27240</v>
      </c>
      <c r="T237" s="281"/>
      <c r="U237" s="284">
        <f>U316</f>
        <v>28241</v>
      </c>
      <c r="V237" s="281"/>
      <c r="W237" s="284">
        <f>W316</f>
        <v>35702</v>
      </c>
      <c r="X237" s="281"/>
      <c r="Y237" s="284">
        <f>Y316</f>
        <v>34822</v>
      </c>
      <c r="Z237" s="281"/>
      <c r="AA237" s="284">
        <f>AA316</f>
        <v>31268</v>
      </c>
      <c r="AB237" s="281"/>
      <c r="AC237" s="284">
        <f>AC316</f>
        <v>35228</v>
      </c>
      <c r="AD237" s="281"/>
      <c r="AE237" s="284">
        <f>AE316</f>
        <v>30744</v>
      </c>
      <c r="AF237" s="281"/>
      <c r="AG237" s="284">
        <f>AG316</f>
        <v>29747</v>
      </c>
      <c r="AH237" s="281"/>
      <c r="AI237" s="284">
        <f>AI316</f>
        <v>28503</v>
      </c>
      <c r="AJ237" s="281"/>
      <c r="AK237" s="284">
        <f>AK316</f>
        <v>20502</v>
      </c>
      <c r="AL237" s="281"/>
      <c r="AM237" s="284">
        <f>AM316</f>
        <v>23986</v>
      </c>
      <c r="AN237" s="281"/>
      <c r="AO237" s="284">
        <f>AO316</f>
        <v>21639</v>
      </c>
      <c r="AP237" s="281"/>
      <c r="AQ237" s="284">
        <f>AQ316</f>
        <v>21397</v>
      </c>
      <c r="AR237" s="281"/>
      <c r="AS237" s="284">
        <f>AS316</f>
        <v>20661</v>
      </c>
      <c r="AT237" s="281"/>
      <c r="AU237" s="284">
        <f>AU316</f>
        <v>20651</v>
      </c>
      <c r="AV237" s="281"/>
      <c r="AW237" s="284">
        <f>AW316</f>
        <v>17286</v>
      </c>
      <c r="AX237" s="281"/>
      <c r="AY237" s="284">
        <f>AY316</f>
        <v>17872</v>
      </c>
      <c r="AZ237" s="281"/>
      <c r="BA237" s="284">
        <f>BA316</f>
        <v>14314</v>
      </c>
      <c r="BB237" s="281"/>
      <c r="BC237" s="284">
        <f>BC316</f>
        <v>13517</v>
      </c>
      <c r="BD237" s="281"/>
      <c r="BE237" s="284">
        <f>BE316</f>
        <v>16350</v>
      </c>
      <c r="BF237" s="281"/>
      <c r="BG237" s="284">
        <f>BG316</f>
        <v>13393</v>
      </c>
      <c r="BH237" s="281"/>
      <c r="BI237" s="284">
        <f>BI316</f>
        <v>10792</v>
      </c>
      <c r="BJ237" s="281"/>
      <c r="BK237" s="284">
        <f>BK316</f>
        <v>12212</v>
      </c>
      <c r="BL237" s="281"/>
      <c r="BM237" s="284">
        <f>BM316</f>
        <v>11604</v>
      </c>
      <c r="BN237" s="281"/>
      <c r="BO237" s="284">
        <f>BO316</f>
        <v>11262</v>
      </c>
      <c r="BP237" s="281"/>
      <c r="BQ237" s="284">
        <f>BQ316</f>
        <v>11482</v>
      </c>
      <c r="BR237" s="281"/>
      <c r="BS237" s="284">
        <f>BS316</f>
        <v>8269</v>
      </c>
      <c r="BT237" s="281"/>
      <c r="BU237" s="284">
        <f>BU316</f>
        <v>10739</v>
      </c>
      <c r="BV237" s="281"/>
      <c r="BW237" s="284">
        <f>BW316</f>
        <v>10793</v>
      </c>
      <c r="BX237" s="281"/>
      <c r="BY237" s="284">
        <f>BY316</f>
        <v>9404</v>
      </c>
      <c r="BZ237" s="281"/>
      <c r="CA237" s="284">
        <f>CA316</f>
        <v>10706</v>
      </c>
      <c r="CB237" s="281"/>
      <c r="CC237" s="284">
        <f>CC316</f>
        <v>16977</v>
      </c>
      <c r="CD237" s="281"/>
      <c r="CE237" s="284">
        <f>CE316</f>
        <v>10138</v>
      </c>
      <c r="CF237" s="281"/>
      <c r="CG237" s="284">
        <f>CG316</f>
        <v>9162</v>
      </c>
      <c r="CH237" s="281"/>
      <c r="CI237" s="284">
        <f>CI316</f>
        <v>12020</v>
      </c>
      <c r="CJ237" s="281"/>
      <c r="CK237" s="284">
        <f>CK316</f>
        <v>10859</v>
      </c>
      <c r="CL237" s="281"/>
      <c r="CM237" s="284">
        <f>CM316</f>
        <v>12341</v>
      </c>
      <c r="CN237" s="281"/>
      <c r="CO237" s="284">
        <f>CO316</f>
        <v>9963</v>
      </c>
      <c r="CP237" s="281"/>
      <c r="CQ237" s="284">
        <f>CQ316</f>
        <v>11574</v>
      </c>
      <c r="CR237" s="281"/>
      <c r="CS237" s="284">
        <f>CS316</f>
        <v>14032</v>
      </c>
      <c r="CT237" s="281"/>
      <c r="CU237" s="284">
        <f>CU316</f>
        <v>13344</v>
      </c>
      <c r="CV237" s="281"/>
      <c r="CW237" s="284">
        <f>CW316</f>
        <v>13236</v>
      </c>
      <c r="CX237" s="281"/>
      <c r="CY237" s="284">
        <f>CY316</f>
        <v>15206</v>
      </c>
      <c r="CZ237" s="281"/>
      <c r="DA237" s="284">
        <f>DA316</f>
        <v>16109</v>
      </c>
      <c r="DB237" s="281"/>
      <c r="DC237" s="284">
        <f>DC316</f>
        <v>13442</v>
      </c>
      <c r="DD237" s="281"/>
      <c r="DE237" s="284">
        <f>DE316</f>
        <v>13189</v>
      </c>
      <c r="DF237" s="281"/>
      <c r="DG237" s="284">
        <f>DG316</f>
        <v>15527</v>
      </c>
      <c r="DH237" s="281"/>
      <c r="DI237" s="284">
        <f>DI316</f>
        <v>13546</v>
      </c>
      <c r="DJ237" s="281"/>
      <c r="DK237" s="284">
        <f>DK316</f>
        <v>15650</v>
      </c>
      <c r="DL237" s="281"/>
      <c r="DM237" s="284">
        <f>DM316</f>
        <v>13928</v>
      </c>
      <c r="DN237" s="281"/>
      <c r="DO237" s="284">
        <f>DO316</f>
        <v>13678</v>
      </c>
      <c r="DP237" s="281"/>
      <c r="DQ237" s="284">
        <f>DQ316</f>
        <v>15529</v>
      </c>
      <c r="DR237" s="281"/>
      <c r="DS237" s="284">
        <f>DS316</f>
        <v>11137</v>
      </c>
      <c r="DT237" s="281"/>
      <c r="DU237" s="111"/>
      <c r="DV237" s="111"/>
      <c r="DW237" s="111"/>
      <c r="DX237" s="111"/>
      <c r="DY237" s="111"/>
      <c r="DZ237" s="111"/>
      <c r="EA237" s="111"/>
      <c r="EB237" s="111"/>
      <c r="EC237" s="111"/>
      <c r="ED237" s="111"/>
      <c r="EE237" s="111"/>
      <c r="EF237" s="111"/>
      <c r="EG237" s="111"/>
      <c r="EH237" s="111"/>
      <c r="EI237" s="111"/>
      <c r="EJ237" s="111"/>
      <c r="EK237" s="111"/>
      <c r="EL237" s="111"/>
      <c r="EM237" s="111"/>
      <c r="EN237" s="284">
        <f>EN316</f>
        <v>10398</v>
      </c>
      <c r="EO237" s="281"/>
      <c r="EP237" s="284">
        <f>EP316</f>
        <v>10336</v>
      </c>
      <c r="EQ237" s="281"/>
      <c r="ER237" s="284">
        <f>ER316</f>
        <v>10513</v>
      </c>
      <c r="ES237" s="281"/>
      <c r="ET237" s="284">
        <f>ET316</f>
        <v>12792</v>
      </c>
      <c r="EU237" s="281"/>
      <c r="EV237" s="284">
        <f>EV316</f>
        <v>10436</v>
      </c>
      <c r="EW237" s="281"/>
      <c r="EX237" s="284">
        <f>EX316</f>
        <v>9550</v>
      </c>
      <c r="EY237" s="281"/>
      <c r="EZ237" s="284">
        <f>EZ316</f>
        <v>12861</v>
      </c>
      <c r="FA237" s="281"/>
      <c r="FB237" s="284">
        <f>FB316</f>
        <v>12509</v>
      </c>
      <c r="FC237" s="281"/>
      <c r="FD237" s="284">
        <f>FD316</f>
        <v>9396</v>
      </c>
      <c r="FE237" s="281"/>
      <c r="FF237" s="284">
        <f>FF316</f>
        <v>10505</v>
      </c>
      <c r="FG237" s="281"/>
      <c r="FH237" s="284">
        <f>FH316</f>
        <v>9262</v>
      </c>
      <c r="FI237" s="281"/>
      <c r="FJ237" s="284">
        <f>FJ316</f>
        <v>9574</v>
      </c>
      <c r="FK237" s="281"/>
      <c r="FL237" s="284">
        <f>FL316</f>
        <v>9847</v>
      </c>
      <c r="FM237" s="281"/>
      <c r="FN237" s="284">
        <f>FN316</f>
        <v>8963</v>
      </c>
      <c r="FO237" s="281"/>
      <c r="FP237" s="284">
        <f>FP316</f>
        <v>6923</v>
      </c>
      <c r="FQ237" s="281"/>
      <c r="FR237" s="111"/>
      <c r="FS237" s="111"/>
      <c r="FT237" s="111"/>
      <c r="FU237" s="111"/>
      <c r="FV237" s="111"/>
      <c r="FW237" s="111"/>
      <c r="FX237" s="230"/>
      <c r="FY237" s="230"/>
      <c r="FZ237" s="230"/>
      <c r="GA237" s="230"/>
      <c r="GB237" s="230"/>
      <c r="GC237" s="230"/>
      <c r="GD237" s="230"/>
      <c r="GE237" s="230"/>
      <c r="GF237" s="230"/>
      <c r="GG237" s="230"/>
    </row>
    <row r="238" spans="1:189" ht="15" customHeight="1" outlineLevel="1" x14ac:dyDescent="0.3">
      <c r="A238" s="1"/>
      <c r="B238" s="286"/>
      <c r="C238" s="301"/>
      <c r="D238" s="301"/>
      <c r="E238" s="301"/>
      <c r="F238" s="301"/>
      <c r="G238" s="5" t="s">
        <v>187</v>
      </c>
      <c r="H238" s="5"/>
      <c r="I238" s="338">
        <f>SUM(I239:J244)</f>
        <v>1804424.9739999999</v>
      </c>
      <c r="J238" s="281"/>
      <c r="K238" s="338">
        <f>SUM(K239:L244)</f>
        <v>154654.334</v>
      </c>
      <c r="L238" s="281"/>
      <c r="M238" s="338">
        <f>SUM(M239:N244)</f>
        <v>155296.67499999999</v>
      </c>
      <c r="N238" s="281"/>
      <c r="O238" s="338">
        <f>SUM(O239:P244)</f>
        <v>160922.935</v>
      </c>
      <c r="P238" s="281"/>
      <c r="Q238" s="338">
        <f>SUM(Q239:R244)</f>
        <v>146074.95000000001</v>
      </c>
      <c r="R238" s="281"/>
      <c r="S238" s="338">
        <f>SUM(S239:T244)</f>
        <v>141162.99000000002</v>
      </c>
      <c r="T238" s="281"/>
      <c r="U238" s="338">
        <f>SUM(U239:V244)</f>
        <v>137263.72</v>
      </c>
      <c r="V238" s="281"/>
      <c r="W238" s="338">
        <f>SUM(W239:X244)</f>
        <v>145222.94</v>
      </c>
      <c r="X238" s="281"/>
      <c r="Y238" s="338">
        <f>SUM(Y239:Z244)</f>
        <v>156563.92000000001</v>
      </c>
      <c r="Z238" s="281"/>
      <c r="AA238" s="338">
        <f>SUM(AA239:AB244)</f>
        <v>155867.31</v>
      </c>
      <c r="AB238" s="281"/>
      <c r="AC238" s="338">
        <f>SUM(AC239:AD244)</f>
        <v>136305.25</v>
      </c>
      <c r="AD238" s="281"/>
      <c r="AE238" s="338">
        <f>SUM(AE239:AF244)</f>
        <v>160165.33000000002</v>
      </c>
      <c r="AF238" s="281"/>
      <c r="AG238" s="338">
        <f>SUM(AG239:AH244)</f>
        <v>154924.62</v>
      </c>
      <c r="AH238" s="281"/>
      <c r="AI238" s="338">
        <f>SUM(AI239:AJ244)</f>
        <v>130161.3</v>
      </c>
      <c r="AJ238" s="281"/>
      <c r="AK238" s="338">
        <f>SUM(AK239:AL244)</f>
        <v>113401.84</v>
      </c>
      <c r="AL238" s="281"/>
      <c r="AM238" s="338">
        <f>SUM(AM239:AN244)</f>
        <v>122837.57999999999</v>
      </c>
      <c r="AN238" s="281"/>
      <c r="AO238" s="338">
        <f>SUM(AO239:AP244)</f>
        <v>109007.47</v>
      </c>
      <c r="AP238" s="281"/>
      <c r="AQ238" s="338">
        <f>SUM(AQ239:AR244)</f>
        <v>98821.49</v>
      </c>
      <c r="AR238" s="281"/>
      <c r="AS238" s="338">
        <f>SUM(AS239:AT244)</f>
        <v>94286.85</v>
      </c>
      <c r="AT238" s="281"/>
      <c r="AU238" s="338">
        <f>SUM(AU239:AV244)</f>
        <v>119470.63</v>
      </c>
      <c r="AV238" s="281"/>
      <c r="AW238" s="338">
        <f>SUM(AW239:AX244)</f>
        <v>125789.14</v>
      </c>
      <c r="AX238" s="281"/>
      <c r="AY238" s="338">
        <f>SUM(AY239:AZ244)</f>
        <v>113005.77</v>
      </c>
      <c r="AZ238" s="281"/>
      <c r="BA238" s="338">
        <f>SUM(BA239:BB244)</f>
        <v>121224.13</v>
      </c>
      <c r="BB238" s="281"/>
      <c r="BC238" s="338">
        <f>SUM(BC239:BD244)</f>
        <v>141497.78</v>
      </c>
      <c r="BD238" s="281"/>
      <c r="BE238" s="338">
        <f>SUM(BE239:BF244)</f>
        <v>132032.43</v>
      </c>
      <c r="BF238" s="281"/>
      <c r="BG238" s="338">
        <f>SUM(BG239:BH244)</f>
        <v>120384.24</v>
      </c>
      <c r="BH238" s="281"/>
      <c r="BI238" s="338">
        <f>SUM(BI239:BJ244)</f>
        <v>119983.89</v>
      </c>
      <c r="BJ238" s="281"/>
      <c r="BK238" s="338">
        <f>SUM(BK239:BL244)</f>
        <v>133523.32</v>
      </c>
      <c r="BL238" s="281"/>
      <c r="BM238" s="338">
        <f>SUM(BM239:BN244)</f>
        <v>128027.18</v>
      </c>
      <c r="BN238" s="281"/>
      <c r="BO238" s="338">
        <f>SUM(BO239:BP244)</f>
        <v>134937.51</v>
      </c>
      <c r="BP238" s="281"/>
      <c r="BQ238" s="338">
        <f>SUM(BQ239:BR244)</f>
        <v>133557.31</v>
      </c>
      <c r="BR238" s="281"/>
      <c r="BS238" s="338">
        <f>SUM(BS239:BT244)</f>
        <v>138862.21</v>
      </c>
      <c r="BT238" s="281"/>
      <c r="BU238" s="338">
        <f>SUM(BU239:BV244)</f>
        <v>132507.59</v>
      </c>
      <c r="BV238" s="281"/>
      <c r="BW238" s="338">
        <f>SUM(BW239:BX244)</f>
        <v>132821.99</v>
      </c>
      <c r="BX238" s="281"/>
      <c r="BY238" s="338">
        <f>SUM(BY239:BZ244)</f>
        <v>134524.69</v>
      </c>
      <c r="BZ238" s="281"/>
      <c r="CA238" s="338">
        <f>SUM(CA239:CB244)</f>
        <v>143855.64000000001</v>
      </c>
      <c r="CB238" s="281"/>
      <c r="CC238" s="338">
        <f>SUM(CC239:CD244)</f>
        <v>133172.68</v>
      </c>
      <c r="CD238" s="281"/>
      <c r="CE238" s="338">
        <f>SUM(CE239:CF244)</f>
        <v>130496.57</v>
      </c>
      <c r="CF238" s="281"/>
      <c r="CG238" s="338">
        <f>SUM(CG239:CH244)</f>
        <v>131550.59</v>
      </c>
      <c r="CH238" s="281"/>
      <c r="CI238" s="338">
        <f>SUM(CI239:CJ244)</f>
        <v>169392.71</v>
      </c>
      <c r="CJ238" s="281"/>
      <c r="CK238" s="338">
        <f>SUM(CK239:CL244)</f>
        <v>168067.53</v>
      </c>
      <c r="CL238" s="281"/>
      <c r="CM238" s="338">
        <f>SUM(CM239:CN244)</f>
        <v>167188.45000000001</v>
      </c>
      <c r="CN238" s="281"/>
      <c r="CO238" s="338">
        <f>SUM(CO239:CP244)</f>
        <v>167782.63</v>
      </c>
      <c r="CP238" s="281"/>
      <c r="CQ238" s="338">
        <f>SUM(CQ239:CR244)</f>
        <v>167939.34</v>
      </c>
      <c r="CR238" s="281"/>
      <c r="CS238" s="338">
        <f>SUM(CS239:CT244)</f>
        <v>167834.52</v>
      </c>
      <c r="CT238" s="281"/>
      <c r="CU238" s="338">
        <f>SUM(CU239:CV244)</f>
        <v>170387.27</v>
      </c>
      <c r="CV238" s="281"/>
      <c r="CW238" s="338">
        <f>SUM(CW239:CX244)</f>
        <v>162561.60000000001</v>
      </c>
      <c r="CX238" s="281"/>
      <c r="CY238" s="338">
        <f>SUM(CY239:CZ244)</f>
        <v>163490.16999999998</v>
      </c>
      <c r="CZ238" s="281"/>
      <c r="DA238" s="338">
        <f>SUM(DA239:DB244)</f>
        <v>153424.29</v>
      </c>
      <c r="DB238" s="281"/>
      <c r="DC238" s="338">
        <f>SUM(DC239:DD244)</f>
        <v>182726.467</v>
      </c>
      <c r="DD238" s="281"/>
      <c r="DE238" s="338">
        <f>SUM(DE239:DF244)</f>
        <v>157809.65999999997</v>
      </c>
      <c r="DF238" s="281"/>
      <c r="DG238" s="338">
        <f>SUM(DG239:DH244)</f>
        <v>168654.79</v>
      </c>
      <c r="DH238" s="281"/>
      <c r="DI238" s="338">
        <f>SUM(DI239:DJ244)</f>
        <v>196253.07329999999</v>
      </c>
      <c r="DJ238" s="281"/>
      <c r="DK238" s="338">
        <f>SUM(DK239:DL244)</f>
        <v>193097.07965000003</v>
      </c>
      <c r="DL238" s="281"/>
      <c r="DM238" s="338">
        <f>SUM(DM239:DN244)</f>
        <v>184499.71165000001</v>
      </c>
      <c r="DN238" s="281"/>
      <c r="DO238" s="338">
        <f>SUM(DO239:DP244)</f>
        <v>180652.98500000002</v>
      </c>
      <c r="DP238" s="281"/>
      <c r="DQ238" s="338">
        <f>SUM(DQ239:DR244)</f>
        <v>180635.63500000001</v>
      </c>
      <c r="DR238" s="281"/>
      <c r="DS238" s="338">
        <f>SUM(DS239:DT244)</f>
        <v>180635.63500000001</v>
      </c>
      <c r="DT238" s="281"/>
      <c r="DU238" s="111"/>
      <c r="DV238" s="111"/>
      <c r="DW238" s="111"/>
      <c r="DX238" s="111"/>
      <c r="DY238" s="111"/>
      <c r="DZ238" s="111"/>
      <c r="EA238" s="111"/>
      <c r="EB238" s="111"/>
      <c r="EC238" s="111"/>
      <c r="ED238" s="111"/>
      <c r="EE238" s="111"/>
      <c r="EF238" s="111"/>
      <c r="EG238" s="111"/>
      <c r="EH238" s="111"/>
      <c r="EI238" s="111"/>
      <c r="EJ238" s="111"/>
      <c r="EK238" s="111"/>
      <c r="EL238" s="111"/>
      <c r="EM238" s="111"/>
      <c r="EN238" s="338">
        <f>SUM(EN239:EO244)</f>
        <v>180635.63500000001</v>
      </c>
      <c r="EO238" s="281"/>
      <c r="EP238" s="338">
        <f>SUM(EP239:EQ244)</f>
        <v>180635.63500000001</v>
      </c>
      <c r="EQ238" s="281"/>
      <c r="ER238" s="338">
        <f>SUM(ER239:ES244)</f>
        <v>180635.63500000001</v>
      </c>
      <c r="ES238" s="281"/>
      <c r="ET238" s="338">
        <f>SUM(ET239:EU244)</f>
        <v>180116.61499999999</v>
      </c>
      <c r="EU238" s="281"/>
      <c r="EV238" s="338">
        <f>SUM(EV239:EW244)</f>
        <v>180078.66500000001</v>
      </c>
      <c r="EW238" s="281"/>
      <c r="EX238" s="338">
        <f>SUM(EX239:EY244)</f>
        <v>180051.715</v>
      </c>
      <c r="EY238" s="281"/>
      <c r="EZ238" s="338">
        <f>SUM(EZ239:FA244)</f>
        <v>180045.23500000002</v>
      </c>
      <c r="FA238" s="281"/>
      <c r="FB238" s="338">
        <f>SUM(FB239:FC244)</f>
        <v>179184.29500000001</v>
      </c>
      <c r="FC238" s="281"/>
      <c r="FD238" s="338">
        <f>SUM(FD239:FE244)</f>
        <v>179448.97500000001</v>
      </c>
      <c r="FE238" s="281"/>
      <c r="FF238" s="338">
        <f>SUM(FF239:FG244)</f>
        <v>177651.655</v>
      </c>
      <c r="FG238" s="281"/>
      <c r="FH238" s="338">
        <f>SUM(FH239:FI244)</f>
        <v>177565.39499999999</v>
      </c>
      <c r="FI238" s="281"/>
      <c r="FJ238" s="338">
        <f>SUM(FJ239:FK244)</f>
        <v>112514.439</v>
      </c>
      <c r="FK238" s="281"/>
      <c r="FL238" s="338">
        <f>SUM(FL239:FM244)</f>
        <v>111988.8100964778</v>
      </c>
      <c r="FM238" s="281"/>
      <c r="FN238" s="338">
        <f>SUM(FN239:FO244)</f>
        <v>84669.842561966681</v>
      </c>
      <c r="FO238" s="281"/>
      <c r="FP238" s="338">
        <f>SUM(FP239:FQ244)</f>
        <v>19869.620000000003</v>
      </c>
      <c r="FQ238" s="281"/>
      <c r="FR238" s="111"/>
      <c r="FS238" s="111"/>
      <c r="FT238" s="111"/>
      <c r="FU238" s="111"/>
      <c r="FV238" s="111"/>
      <c r="FW238" s="111"/>
      <c r="FX238" s="230"/>
      <c r="FY238" s="230"/>
      <c r="FZ238" s="230"/>
      <c r="GA238" s="230"/>
      <c r="GB238" s="230"/>
      <c r="GC238" s="230"/>
      <c r="GD238" s="230"/>
      <c r="GE238" s="230"/>
      <c r="GF238" s="230"/>
      <c r="GG238" s="230"/>
    </row>
    <row r="239" spans="1:189" ht="15" customHeight="1" outlineLevel="2" x14ac:dyDescent="0.3">
      <c r="A239" s="1"/>
      <c r="B239" s="286"/>
      <c r="C239" s="301"/>
      <c r="D239" s="301"/>
      <c r="E239" s="301"/>
      <c r="F239" s="301"/>
      <c r="G239" s="118" t="s">
        <v>188</v>
      </c>
      <c r="H239" s="5"/>
      <c r="I239" s="338">
        <f t="shared" ref="I239:I243" si="524">SUM(K239:AH239)</f>
        <v>124813.72</v>
      </c>
      <c r="J239" s="281"/>
      <c r="K239" s="338">
        <f>14434-K226</f>
        <v>9934</v>
      </c>
      <c r="L239" s="281"/>
      <c r="M239" s="338">
        <f>14434-M226</f>
        <v>9934</v>
      </c>
      <c r="N239" s="281"/>
      <c r="O239" s="338">
        <f>14434-O226</f>
        <v>9934</v>
      </c>
      <c r="P239" s="281"/>
      <c r="Q239" s="338">
        <f>14434-Q226</f>
        <v>9934</v>
      </c>
      <c r="R239" s="281"/>
      <c r="S239" s="338">
        <f>14434-S226</f>
        <v>9934</v>
      </c>
      <c r="T239" s="281"/>
      <c r="U239" s="338">
        <f>14434-U226</f>
        <v>9934</v>
      </c>
      <c r="V239" s="281"/>
      <c r="W239" s="338">
        <f>14434-W226</f>
        <v>9934</v>
      </c>
      <c r="X239" s="281"/>
      <c r="Y239" s="338">
        <f>14434-Y226</f>
        <v>9934</v>
      </c>
      <c r="Z239" s="281"/>
      <c r="AA239" s="338">
        <f>14434-AA226</f>
        <v>9934</v>
      </c>
      <c r="AB239" s="281"/>
      <c r="AC239" s="338">
        <f>14434-AC226</f>
        <v>9934</v>
      </c>
      <c r="AD239" s="281"/>
      <c r="AE239" s="338">
        <f>14434-AE226</f>
        <v>9934</v>
      </c>
      <c r="AF239" s="281"/>
      <c r="AG239" s="338">
        <v>15539.72</v>
      </c>
      <c r="AH239" s="281"/>
      <c r="AI239" s="338">
        <f>AI85</f>
        <v>15539.52</v>
      </c>
      <c r="AJ239" s="281"/>
      <c r="AK239" s="338">
        <f>AK85</f>
        <v>15539.52</v>
      </c>
      <c r="AL239" s="281"/>
      <c r="AM239" s="338">
        <f>AM85</f>
        <v>15539.52</v>
      </c>
      <c r="AN239" s="281"/>
      <c r="AO239" s="338">
        <f>AO85</f>
        <v>15539.52</v>
      </c>
      <c r="AP239" s="281"/>
      <c r="AQ239" s="338">
        <f>AQ85</f>
        <v>15539.52</v>
      </c>
      <c r="AR239" s="281"/>
      <c r="AS239" s="338">
        <f>AS85</f>
        <v>15539.52</v>
      </c>
      <c r="AT239" s="281"/>
      <c r="AU239" s="338">
        <f>AU85</f>
        <v>15539.52</v>
      </c>
      <c r="AV239" s="281"/>
      <c r="AW239" s="338">
        <f>AW85</f>
        <v>16551.2</v>
      </c>
      <c r="AX239" s="281"/>
      <c r="AY239" s="338">
        <f>AY85</f>
        <v>16551.2</v>
      </c>
      <c r="AZ239" s="281"/>
      <c r="BA239" s="338">
        <f>BA85</f>
        <v>16551.2</v>
      </c>
      <c r="BB239" s="281"/>
      <c r="BC239" s="338">
        <f>BC85</f>
        <v>16551.2</v>
      </c>
      <c r="BD239" s="281"/>
      <c r="BE239" s="338">
        <f>BE85</f>
        <v>16551.2</v>
      </c>
      <c r="BF239" s="281"/>
      <c r="BG239" s="338">
        <f>BG85</f>
        <v>15901.2</v>
      </c>
      <c r="BH239" s="281"/>
      <c r="BI239" s="338">
        <f>BI85</f>
        <v>15251.2</v>
      </c>
      <c r="BJ239" s="281"/>
      <c r="BK239" s="338">
        <f>BK85</f>
        <v>15251.2</v>
      </c>
      <c r="BL239" s="281"/>
      <c r="BM239" s="338">
        <f>BM85</f>
        <v>15251.2</v>
      </c>
      <c r="BN239" s="281"/>
      <c r="BO239" s="338">
        <f>BO85</f>
        <v>17556.32</v>
      </c>
      <c r="BP239" s="281"/>
      <c r="BQ239" s="338">
        <f>BQ85</f>
        <v>17556.32</v>
      </c>
      <c r="BR239" s="281"/>
      <c r="BS239" s="338">
        <f>BS85</f>
        <v>17556.32</v>
      </c>
      <c r="BT239" s="281"/>
      <c r="BU239" s="338">
        <f>BU85</f>
        <v>17556.32</v>
      </c>
      <c r="BV239" s="281"/>
      <c r="BW239" s="338">
        <f>BW85</f>
        <v>17556.32</v>
      </c>
      <c r="BX239" s="281"/>
      <c r="BY239" s="338">
        <f>BY85</f>
        <v>17556.32</v>
      </c>
      <c r="BZ239" s="281"/>
      <c r="CA239" s="338">
        <f>CA85</f>
        <v>17556.32</v>
      </c>
      <c r="CB239" s="281"/>
      <c r="CC239" s="338">
        <f>CC85</f>
        <v>17556.32</v>
      </c>
      <c r="CD239" s="281"/>
      <c r="CE239" s="338">
        <f>CE85</f>
        <v>17556.32</v>
      </c>
      <c r="CF239" s="281"/>
      <c r="CG239" s="338">
        <f>CG85</f>
        <v>17556.32</v>
      </c>
      <c r="CH239" s="281"/>
      <c r="CI239" s="338">
        <f>CI85</f>
        <v>17988.03</v>
      </c>
      <c r="CJ239" s="281"/>
      <c r="CK239" s="338">
        <f>CK85</f>
        <v>17988.03</v>
      </c>
      <c r="CL239" s="281"/>
      <c r="CM239" s="338">
        <f>CM85</f>
        <v>17988.03</v>
      </c>
      <c r="CN239" s="281"/>
      <c r="CO239" s="338">
        <f>CO85</f>
        <v>19984.52</v>
      </c>
      <c r="CP239" s="281"/>
      <c r="CQ239" s="338">
        <f>CQ85</f>
        <v>19984.52</v>
      </c>
      <c r="CR239" s="281"/>
      <c r="CS239" s="338">
        <f>CS85</f>
        <v>19984.52</v>
      </c>
      <c r="CT239" s="281"/>
      <c r="CU239" s="338">
        <f>CU85</f>
        <v>19984.52</v>
      </c>
      <c r="CV239" s="281"/>
      <c r="CW239" s="338">
        <f>CW85</f>
        <v>19984.52</v>
      </c>
      <c r="CX239" s="281"/>
      <c r="CY239" s="338">
        <f>CY85</f>
        <v>19984.52</v>
      </c>
      <c r="CZ239" s="281"/>
      <c r="DA239" s="338">
        <f>DA85</f>
        <v>19984.52</v>
      </c>
      <c r="DB239" s="281"/>
      <c r="DC239" s="338">
        <f>DC85</f>
        <v>19984.52</v>
      </c>
      <c r="DD239" s="281"/>
      <c r="DE239" s="338">
        <f>DE85</f>
        <v>19984.52</v>
      </c>
      <c r="DF239" s="281"/>
      <c r="DG239" s="338">
        <f>DG85</f>
        <v>19984.52</v>
      </c>
      <c r="DH239" s="281"/>
      <c r="DI239" s="338">
        <f>DI85</f>
        <v>19984.52</v>
      </c>
      <c r="DJ239" s="281"/>
      <c r="DK239" s="338">
        <f>DK85</f>
        <v>19984.52</v>
      </c>
      <c r="DL239" s="281"/>
      <c r="DM239" s="338">
        <f>DM85</f>
        <v>19984.52</v>
      </c>
      <c r="DN239" s="281"/>
      <c r="DO239" s="338">
        <f>DO85</f>
        <v>19984.52</v>
      </c>
      <c r="DP239" s="281"/>
      <c r="DQ239" s="338">
        <f>DQ85</f>
        <v>19984.52</v>
      </c>
      <c r="DR239" s="281"/>
      <c r="DS239" s="338">
        <f>DS85</f>
        <v>19984.52</v>
      </c>
      <c r="DT239" s="281"/>
      <c r="DU239" s="111"/>
      <c r="DV239" s="111"/>
      <c r="DW239" s="111"/>
      <c r="DX239" s="111"/>
      <c r="DY239" s="111" t="s">
        <v>29</v>
      </c>
      <c r="DZ239" s="111" t="s">
        <v>29</v>
      </c>
      <c r="EA239" s="111" t="s">
        <v>29</v>
      </c>
      <c r="EB239" s="111" t="s">
        <v>29</v>
      </c>
      <c r="EC239" s="111" t="s">
        <v>29</v>
      </c>
      <c r="ED239" s="111" t="s">
        <v>29</v>
      </c>
      <c r="EE239" s="111" t="s">
        <v>29</v>
      </c>
      <c r="EF239" s="111" t="s">
        <v>29</v>
      </c>
      <c r="EG239" s="111" t="s">
        <v>29</v>
      </c>
      <c r="EH239" s="111"/>
      <c r="EI239" s="111"/>
      <c r="EJ239" s="111"/>
      <c r="EK239" s="111"/>
      <c r="EL239" s="111"/>
      <c r="EM239" s="111"/>
      <c r="EN239" s="338">
        <f>EN85</f>
        <v>19984.52</v>
      </c>
      <c r="EO239" s="281"/>
      <c r="EP239" s="338">
        <f>EP85</f>
        <v>19984.52</v>
      </c>
      <c r="EQ239" s="281"/>
      <c r="ER239" s="338">
        <f>ER85</f>
        <v>19984.52</v>
      </c>
      <c r="ES239" s="281"/>
      <c r="ET239" s="338">
        <f>ET85</f>
        <v>19984.52</v>
      </c>
      <c r="EU239" s="281"/>
      <c r="EV239" s="338">
        <f>EV85</f>
        <v>19984.52</v>
      </c>
      <c r="EW239" s="281"/>
      <c r="EX239" s="338">
        <f>EX85</f>
        <v>19984.52</v>
      </c>
      <c r="EY239" s="281"/>
      <c r="EZ239" s="338">
        <f>EZ85</f>
        <v>19984.52</v>
      </c>
      <c r="FA239" s="281"/>
      <c r="FB239" s="338">
        <f>FB85</f>
        <v>19984.52</v>
      </c>
      <c r="FC239" s="281"/>
      <c r="FD239" s="338">
        <f>FD85</f>
        <v>19984.52</v>
      </c>
      <c r="FE239" s="281"/>
      <c r="FF239" s="338">
        <f>FF85</f>
        <v>18425.3</v>
      </c>
      <c r="FG239" s="281"/>
      <c r="FH239" s="338">
        <f>FH85</f>
        <v>18425.3</v>
      </c>
      <c r="FI239" s="281"/>
      <c r="FJ239" s="338">
        <f>FJ85</f>
        <v>18425.3</v>
      </c>
      <c r="FK239" s="281"/>
      <c r="FL239" s="338">
        <f>FL85</f>
        <v>18425.3</v>
      </c>
      <c r="FM239" s="281"/>
      <c r="FN239" s="338">
        <f>FN85</f>
        <v>17781.310000000001</v>
      </c>
      <c r="FO239" s="281"/>
      <c r="FP239" s="338">
        <f>FP85</f>
        <v>13595.62</v>
      </c>
      <c r="FQ239" s="281"/>
      <c r="FR239" s="111"/>
      <c r="FS239" s="111"/>
      <c r="FT239" s="111"/>
      <c r="FU239" s="111"/>
      <c r="FV239" s="111"/>
      <c r="FW239" s="111"/>
      <c r="FX239" s="230"/>
      <c r="FY239" s="230"/>
      <c r="FZ239" s="230"/>
      <c r="GA239" s="230"/>
      <c r="GB239" s="230"/>
      <c r="GC239" s="230"/>
      <c r="GD239" s="230"/>
      <c r="GE239" s="230"/>
      <c r="GF239" s="230"/>
      <c r="GG239" s="230"/>
    </row>
    <row r="240" spans="1:189" ht="15" customHeight="1" outlineLevel="2" x14ac:dyDescent="0.3">
      <c r="A240" s="1"/>
      <c r="B240" s="286"/>
      <c r="C240" s="301"/>
      <c r="D240" s="301"/>
      <c r="E240" s="301"/>
      <c r="F240" s="301"/>
      <c r="G240" s="118" t="s">
        <v>189</v>
      </c>
      <c r="H240" s="5"/>
      <c r="I240" s="338">
        <f t="shared" si="524"/>
        <v>17978.969999999998</v>
      </c>
      <c r="J240" s="281"/>
      <c r="K240" s="338">
        <v>5764.31</v>
      </c>
      <c r="L240" s="281"/>
      <c r="M240" s="338">
        <v>4366.08</v>
      </c>
      <c r="N240" s="281"/>
      <c r="O240" s="338">
        <v>3652.22</v>
      </c>
      <c r="P240" s="281"/>
      <c r="Q240" s="439">
        <v>82.75</v>
      </c>
      <c r="R240" s="281"/>
      <c r="S240" s="439">
        <v>1327.29</v>
      </c>
      <c r="T240" s="281"/>
      <c r="U240" s="439">
        <v>555.66999999999996</v>
      </c>
      <c r="V240" s="281"/>
      <c r="W240" s="439">
        <v>985.89</v>
      </c>
      <c r="X240" s="281"/>
      <c r="Y240" s="338">
        <f>Y86</f>
        <v>443.17</v>
      </c>
      <c r="Z240" s="281"/>
      <c r="AA240" s="338">
        <f>AA86</f>
        <v>250.41</v>
      </c>
      <c r="AB240" s="281"/>
      <c r="AC240" s="338">
        <f>AC86</f>
        <v>260</v>
      </c>
      <c r="AD240" s="281"/>
      <c r="AE240" s="338">
        <f>AE86</f>
        <v>182.23</v>
      </c>
      <c r="AF240" s="281"/>
      <c r="AG240" s="338">
        <f>AG86</f>
        <v>108.95</v>
      </c>
      <c r="AH240" s="281"/>
      <c r="AI240" s="338">
        <f>AI86</f>
        <v>83.03</v>
      </c>
      <c r="AJ240" s="281"/>
      <c r="AK240" s="338">
        <f>AK86</f>
        <v>87.92</v>
      </c>
      <c r="AL240" s="281"/>
      <c r="AM240" s="338">
        <f>AM86</f>
        <v>1887.91</v>
      </c>
      <c r="AN240" s="281"/>
      <c r="AO240" s="338">
        <f>AO86</f>
        <v>2073</v>
      </c>
      <c r="AP240" s="281"/>
      <c r="AQ240" s="338">
        <f>AQ86</f>
        <v>1572.12</v>
      </c>
      <c r="AR240" s="281"/>
      <c r="AS240" s="338">
        <f>AS86</f>
        <v>1057.1400000000001</v>
      </c>
      <c r="AT240" s="281"/>
      <c r="AU240" s="338">
        <f>AU86</f>
        <v>892.17</v>
      </c>
      <c r="AV240" s="281"/>
      <c r="AW240" s="338">
        <f>AW86</f>
        <v>801.65</v>
      </c>
      <c r="AX240" s="281"/>
      <c r="AY240" s="338">
        <f>AY86</f>
        <v>1406.53</v>
      </c>
      <c r="AZ240" s="281"/>
      <c r="BA240" s="338">
        <f>BA86</f>
        <v>1804.39</v>
      </c>
      <c r="BB240" s="281"/>
      <c r="BC240" s="338">
        <f>BC86</f>
        <v>2078.54</v>
      </c>
      <c r="BD240" s="281"/>
      <c r="BE240" s="338">
        <f>BE86</f>
        <v>4410.9399999999996</v>
      </c>
      <c r="BF240" s="281"/>
      <c r="BG240" s="338">
        <f>BG86</f>
        <v>3150</v>
      </c>
      <c r="BH240" s="281"/>
      <c r="BI240" s="338">
        <f>BI86</f>
        <v>2408.9</v>
      </c>
      <c r="BJ240" s="281"/>
      <c r="BK240" s="338">
        <f>BK86</f>
        <v>3593.33</v>
      </c>
      <c r="BL240" s="281"/>
      <c r="BM240" s="338">
        <f>BM86</f>
        <v>2627.19</v>
      </c>
      <c r="BN240" s="281"/>
      <c r="BO240" s="338">
        <f>BO86</f>
        <v>5797.65</v>
      </c>
      <c r="BP240" s="281"/>
      <c r="BQ240" s="338">
        <f>BQ86</f>
        <v>2672.95</v>
      </c>
      <c r="BR240" s="281"/>
      <c r="BS240" s="338">
        <f>BS86</f>
        <v>1866.6</v>
      </c>
      <c r="BT240" s="281"/>
      <c r="BU240" s="338">
        <f>BU86</f>
        <v>2418.73</v>
      </c>
      <c r="BV240" s="281"/>
      <c r="BW240" s="338">
        <f>BW86</f>
        <v>2703.42</v>
      </c>
      <c r="BX240" s="281"/>
      <c r="BY240" s="338">
        <f>BY86</f>
        <v>2407.37</v>
      </c>
      <c r="BZ240" s="281"/>
      <c r="CA240" s="338">
        <f>CA86</f>
        <v>2917.57</v>
      </c>
      <c r="CB240" s="281"/>
      <c r="CC240" s="338">
        <f>CC86</f>
        <v>2404.61</v>
      </c>
      <c r="CD240" s="281"/>
      <c r="CE240" s="338">
        <f>CE86</f>
        <v>1275</v>
      </c>
      <c r="CF240" s="281"/>
      <c r="CG240" s="338">
        <f>CG86</f>
        <v>795.27</v>
      </c>
      <c r="CH240" s="281"/>
      <c r="CI240" s="338">
        <f>CI86</f>
        <v>855.43</v>
      </c>
      <c r="CJ240" s="281"/>
      <c r="CK240" s="338">
        <f>CK86</f>
        <v>1295.75</v>
      </c>
      <c r="CL240" s="281"/>
      <c r="CM240" s="338">
        <f>CM86</f>
        <v>1482.42</v>
      </c>
      <c r="CN240" s="281"/>
      <c r="CO240" s="338">
        <f>CO86</f>
        <v>1135.07</v>
      </c>
      <c r="CP240" s="281"/>
      <c r="CQ240" s="338">
        <f>CQ86</f>
        <v>1201.78</v>
      </c>
      <c r="CR240" s="281"/>
      <c r="CS240" s="338">
        <f>CS86</f>
        <v>874</v>
      </c>
      <c r="CT240" s="281"/>
      <c r="CU240" s="338">
        <f>CU86</f>
        <v>874</v>
      </c>
      <c r="CV240" s="281"/>
      <c r="CW240" s="338">
        <f>CW86</f>
        <v>430.33</v>
      </c>
      <c r="CX240" s="281"/>
      <c r="CY240" s="338">
        <f>CY86</f>
        <v>483.11</v>
      </c>
      <c r="CZ240" s="281"/>
      <c r="DA240" s="338">
        <f>DA86</f>
        <v>467.27</v>
      </c>
      <c r="DB240" s="281"/>
      <c r="DC240" s="338">
        <f>DC86</f>
        <v>708.11</v>
      </c>
      <c r="DD240" s="281"/>
      <c r="DE240" s="338">
        <f>DE86</f>
        <v>914.94</v>
      </c>
      <c r="DF240" s="281"/>
      <c r="DG240" s="338">
        <f>DG86</f>
        <v>678.45</v>
      </c>
      <c r="DH240" s="281"/>
      <c r="DI240" s="338">
        <f>DI86</f>
        <v>628.16</v>
      </c>
      <c r="DJ240" s="281"/>
      <c r="DK240" s="338">
        <f>DK86</f>
        <v>922.12</v>
      </c>
      <c r="DL240" s="281"/>
      <c r="DM240" s="338">
        <f>DM86</f>
        <v>1157.51</v>
      </c>
      <c r="DN240" s="281"/>
      <c r="DO240" s="338">
        <f>DO86</f>
        <v>748.37</v>
      </c>
      <c r="DP240" s="281"/>
      <c r="DQ240" s="338">
        <v>731.02</v>
      </c>
      <c r="DR240" s="281"/>
      <c r="DS240" s="338">
        <v>731.02</v>
      </c>
      <c r="DT240" s="281"/>
      <c r="DU240" s="111"/>
      <c r="DV240" s="111"/>
      <c r="DW240" s="111"/>
      <c r="DX240" s="111"/>
      <c r="DY240" s="111"/>
      <c r="DZ240" s="111"/>
      <c r="EA240" s="111"/>
      <c r="EB240" s="111"/>
      <c r="EC240" s="111"/>
      <c r="ED240" s="111"/>
      <c r="EE240" s="111"/>
      <c r="EF240" s="111"/>
      <c r="EG240" s="111"/>
      <c r="EH240" s="111"/>
      <c r="EI240" s="111"/>
      <c r="EJ240" s="111"/>
      <c r="EK240" s="111"/>
      <c r="EL240" s="111"/>
      <c r="EM240" s="111"/>
      <c r="EN240" s="338">
        <v>731.02</v>
      </c>
      <c r="EO240" s="281"/>
      <c r="EP240" s="338">
        <v>731.02</v>
      </c>
      <c r="EQ240" s="281"/>
      <c r="ER240" s="338">
        <v>731.02</v>
      </c>
      <c r="ES240" s="281"/>
      <c r="ET240" s="338">
        <f>ET86</f>
        <v>212</v>
      </c>
      <c r="EU240" s="281"/>
      <c r="EV240" s="338">
        <f>EV86</f>
        <v>174.05</v>
      </c>
      <c r="EW240" s="281"/>
      <c r="EX240" s="338">
        <f>EX86</f>
        <v>147.1</v>
      </c>
      <c r="EY240" s="281"/>
      <c r="EZ240" s="338">
        <f>EZ86</f>
        <v>140.62</v>
      </c>
      <c r="FA240" s="281"/>
      <c r="FB240" s="338">
        <f>FB86</f>
        <v>205.68</v>
      </c>
      <c r="FC240" s="281"/>
      <c r="FD240" s="338">
        <f>FD86</f>
        <v>470.36</v>
      </c>
      <c r="FE240" s="281"/>
      <c r="FF240" s="338">
        <f>FF86</f>
        <v>232.26</v>
      </c>
      <c r="FG240" s="281"/>
      <c r="FH240" s="338">
        <f>FH86</f>
        <v>146</v>
      </c>
      <c r="FI240" s="281"/>
      <c r="FJ240" s="338">
        <f>FJ86</f>
        <v>120.18</v>
      </c>
      <c r="FK240" s="281"/>
      <c r="FL240" s="338">
        <f>FL86</f>
        <v>535.72</v>
      </c>
      <c r="FM240" s="281"/>
      <c r="FN240" s="338">
        <f>FN86</f>
        <v>97.95</v>
      </c>
      <c r="FO240" s="281"/>
      <c r="FP240" s="338">
        <f>FP86</f>
        <v>0</v>
      </c>
      <c r="FQ240" s="281"/>
      <c r="FR240" s="111"/>
      <c r="FS240" s="111"/>
      <c r="FT240" s="111"/>
      <c r="FU240" s="111"/>
      <c r="FV240" s="111"/>
      <c r="FW240" s="111"/>
      <c r="FX240" s="230"/>
      <c r="FY240" s="230"/>
      <c r="FZ240" s="230"/>
      <c r="GA240" s="230"/>
      <c r="GB240" s="230"/>
      <c r="GC240" s="230"/>
      <c r="GD240" s="230"/>
      <c r="GE240" s="230"/>
      <c r="GF240" s="230"/>
      <c r="GG240" s="230"/>
    </row>
    <row r="241" spans="1:189" ht="15" customHeight="1" outlineLevel="2" x14ac:dyDescent="0.3">
      <c r="A241" s="1"/>
      <c r="B241" s="286"/>
      <c r="C241" s="301"/>
      <c r="D241" s="301"/>
      <c r="E241" s="301"/>
      <c r="F241" s="301"/>
      <c r="G241" s="118" t="s">
        <v>190</v>
      </c>
      <c r="H241" s="5"/>
      <c r="I241" s="338">
        <f t="shared" si="524"/>
        <v>43920</v>
      </c>
      <c r="J241" s="281"/>
      <c r="K241" s="338">
        <v>3660</v>
      </c>
      <c r="L241" s="281"/>
      <c r="M241" s="338">
        <v>3660</v>
      </c>
      <c r="N241" s="281"/>
      <c r="O241" s="338">
        <v>3660</v>
      </c>
      <c r="P241" s="281"/>
      <c r="Q241" s="338">
        <v>3660</v>
      </c>
      <c r="R241" s="281"/>
      <c r="S241" s="338">
        <v>3660</v>
      </c>
      <c r="T241" s="281"/>
      <c r="U241" s="338">
        <f t="shared" ref="U241:U242" si="525">S241</f>
        <v>3660</v>
      </c>
      <c r="V241" s="281"/>
      <c r="W241" s="338">
        <f t="shared" ref="W241:W242" si="526">U241</f>
        <v>3660</v>
      </c>
      <c r="X241" s="281"/>
      <c r="Y241" s="338">
        <f t="shared" ref="Y241:Y242" si="527">W241</f>
        <v>3660</v>
      </c>
      <c r="Z241" s="281"/>
      <c r="AA241" s="338">
        <f t="shared" ref="AA241:AA242" si="528">Y241</f>
        <v>3660</v>
      </c>
      <c r="AB241" s="281"/>
      <c r="AC241" s="338">
        <f t="shared" ref="AC241:AC242" si="529">AA241</f>
        <v>3660</v>
      </c>
      <c r="AD241" s="281"/>
      <c r="AE241" s="338">
        <f t="shared" ref="AE241:AE242" si="530">AC241</f>
        <v>3660</v>
      </c>
      <c r="AF241" s="281"/>
      <c r="AG241" s="338">
        <f t="shared" ref="AG241:AG242" si="531">AE241</f>
        <v>3660</v>
      </c>
      <c r="AH241" s="281"/>
      <c r="AI241" s="338">
        <f>AI87</f>
        <v>3660</v>
      </c>
      <c r="AJ241" s="281"/>
      <c r="AK241" s="338">
        <f>AK87</f>
        <v>3660</v>
      </c>
      <c r="AL241" s="281"/>
      <c r="AM241" s="338">
        <f>AM87</f>
        <v>4032</v>
      </c>
      <c r="AN241" s="281"/>
      <c r="AO241" s="338">
        <f>AO87</f>
        <v>4032</v>
      </c>
      <c r="AP241" s="281"/>
      <c r="AQ241" s="338">
        <f>AQ87</f>
        <v>2500</v>
      </c>
      <c r="AR241" s="281"/>
      <c r="AS241" s="338">
        <f>AS87</f>
        <v>2500</v>
      </c>
      <c r="AT241" s="281"/>
      <c r="AU241" s="338">
        <f>AU87</f>
        <v>2500</v>
      </c>
      <c r="AV241" s="281"/>
      <c r="AW241" s="338">
        <f>AW87</f>
        <v>2500</v>
      </c>
      <c r="AX241" s="281"/>
      <c r="AY241" s="338">
        <f>AY87</f>
        <v>2500</v>
      </c>
      <c r="AZ241" s="281"/>
      <c r="BA241" s="338">
        <f>BA87</f>
        <v>2500</v>
      </c>
      <c r="BB241" s="281"/>
      <c r="BC241" s="338">
        <f>BC87</f>
        <v>2500</v>
      </c>
      <c r="BD241" s="281"/>
      <c r="BE241" s="338">
        <f>BE87</f>
        <v>2500</v>
      </c>
      <c r="BF241" s="281"/>
      <c r="BG241" s="338">
        <f>BG87</f>
        <v>2500</v>
      </c>
      <c r="BH241" s="281"/>
      <c r="BI241" s="338">
        <f>BI87</f>
        <v>2500</v>
      </c>
      <c r="BJ241" s="281"/>
      <c r="BK241" s="338">
        <f>BK87</f>
        <v>2500</v>
      </c>
      <c r="BL241" s="281"/>
      <c r="BM241" s="338">
        <f>BM87</f>
        <v>2500</v>
      </c>
      <c r="BN241" s="281"/>
      <c r="BO241" s="338">
        <f>BO87</f>
        <v>2500</v>
      </c>
      <c r="BP241" s="281"/>
      <c r="BQ241" s="338">
        <f>BQ87</f>
        <v>2500</v>
      </c>
      <c r="BR241" s="281"/>
      <c r="BS241" s="338">
        <f>BS87</f>
        <v>2500</v>
      </c>
      <c r="BT241" s="281"/>
      <c r="BU241" s="338">
        <f>BU87</f>
        <v>2500</v>
      </c>
      <c r="BV241" s="281"/>
      <c r="BW241" s="338">
        <f>BW87</f>
        <v>2898</v>
      </c>
      <c r="BX241" s="281"/>
      <c r="BY241" s="338">
        <f>BY87</f>
        <v>2898</v>
      </c>
      <c r="BZ241" s="281"/>
      <c r="CA241" s="338">
        <f>CA87</f>
        <v>2898</v>
      </c>
      <c r="CB241" s="281"/>
      <c r="CC241" s="338">
        <f>CC87</f>
        <v>2898</v>
      </c>
      <c r="CD241" s="281"/>
      <c r="CE241" s="338">
        <f>CE87</f>
        <v>2898</v>
      </c>
      <c r="CF241" s="281"/>
      <c r="CG241" s="338">
        <f>CG87</f>
        <v>2898</v>
      </c>
      <c r="CH241" s="281"/>
      <c r="CI241" s="338">
        <f>CI87</f>
        <v>2898</v>
      </c>
      <c r="CJ241" s="281"/>
      <c r="CK241" s="338">
        <f>CK87</f>
        <v>2898</v>
      </c>
      <c r="CL241" s="281"/>
      <c r="CM241" s="338">
        <f>CM87</f>
        <v>2898</v>
      </c>
      <c r="CN241" s="281"/>
      <c r="CO241" s="338">
        <f>CO87</f>
        <v>2898</v>
      </c>
      <c r="CP241" s="281"/>
      <c r="CQ241" s="338">
        <f>CQ87</f>
        <v>2898</v>
      </c>
      <c r="CR241" s="281"/>
      <c r="CS241" s="338">
        <f>CS87</f>
        <v>2969.46</v>
      </c>
      <c r="CT241" s="281"/>
      <c r="CU241" s="338">
        <f>CU87</f>
        <v>2969.46</v>
      </c>
      <c r="CV241" s="281"/>
      <c r="CW241" s="338">
        <f>CW87</f>
        <v>2969.46</v>
      </c>
      <c r="CX241" s="281"/>
      <c r="CY241" s="338">
        <f>CY87</f>
        <v>3444.46</v>
      </c>
      <c r="CZ241" s="281"/>
      <c r="DA241" s="338">
        <f>DA87</f>
        <v>3444.46</v>
      </c>
      <c r="DB241" s="281"/>
      <c r="DC241" s="338">
        <f>DC87</f>
        <v>3444.46</v>
      </c>
      <c r="DD241" s="281"/>
      <c r="DE241" s="338">
        <f>DE87</f>
        <v>3444.46</v>
      </c>
      <c r="DF241" s="281"/>
      <c r="DG241" s="338">
        <f>DG87</f>
        <v>3444.46</v>
      </c>
      <c r="DH241" s="281"/>
      <c r="DI241" s="338">
        <f>DI87</f>
        <v>2969</v>
      </c>
      <c r="DJ241" s="281"/>
      <c r="DK241" s="338">
        <f>DK87</f>
        <v>2969</v>
      </c>
      <c r="DL241" s="281"/>
      <c r="DM241" s="338">
        <f>DM87</f>
        <v>2969</v>
      </c>
      <c r="DN241" s="281"/>
      <c r="DO241" s="338">
        <f>DO87</f>
        <v>5210</v>
      </c>
      <c r="DP241" s="281"/>
      <c r="DQ241" s="338">
        <f>DQ87</f>
        <v>5210</v>
      </c>
      <c r="DR241" s="281"/>
      <c r="DS241" s="338">
        <f>DS87</f>
        <v>5210</v>
      </c>
      <c r="DT241" s="281"/>
      <c r="DU241" s="111"/>
      <c r="DV241" s="111"/>
      <c r="DW241" s="111"/>
      <c r="DX241" s="111"/>
      <c r="DY241" s="111"/>
      <c r="DZ241" s="111"/>
      <c r="EA241" s="111"/>
      <c r="EB241" s="111"/>
      <c r="EC241" s="111"/>
      <c r="ED241" s="111"/>
      <c r="EE241" s="111"/>
      <c r="EF241" s="111"/>
      <c r="EG241" s="111"/>
      <c r="EH241" s="111"/>
      <c r="EI241" s="111"/>
      <c r="EJ241" s="111"/>
      <c r="EK241" s="111"/>
      <c r="EL241" s="111"/>
      <c r="EM241" s="111"/>
      <c r="EN241" s="338">
        <f>EN87</f>
        <v>5210</v>
      </c>
      <c r="EO241" s="281"/>
      <c r="EP241" s="338">
        <f>EP87</f>
        <v>5210</v>
      </c>
      <c r="EQ241" s="281"/>
      <c r="ER241" s="338">
        <f>ER87</f>
        <v>5210</v>
      </c>
      <c r="ES241" s="281"/>
      <c r="ET241" s="338">
        <f>ET87</f>
        <v>5210</v>
      </c>
      <c r="EU241" s="281"/>
      <c r="EV241" s="338">
        <f>EV87</f>
        <v>5210</v>
      </c>
      <c r="EW241" s="281"/>
      <c r="EX241" s="338">
        <f>EX87</f>
        <v>5210</v>
      </c>
      <c r="EY241" s="281"/>
      <c r="EZ241" s="338">
        <f>EZ87</f>
        <v>5210</v>
      </c>
      <c r="FA241" s="281"/>
      <c r="FB241" s="338">
        <f>FB87</f>
        <v>6274</v>
      </c>
      <c r="FC241" s="281"/>
      <c r="FD241" s="338">
        <f>FD87</f>
        <v>6274</v>
      </c>
      <c r="FE241" s="281"/>
      <c r="FF241" s="338">
        <f>FF87</f>
        <v>6274</v>
      </c>
      <c r="FG241" s="281"/>
      <c r="FH241" s="338">
        <f>FH87</f>
        <v>6274</v>
      </c>
      <c r="FI241" s="281"/>
      <c r="FJ241" s="338">
        <f>FJ87</f>
        <v>6274</v>
      </c>
      <c r="FK241" s="281"/>
      <c r="FL241" s="338">
        <f>FL87</f>
        <v>6274</v>
      </c>
      <c r="FM241" s="281"/>
      <c r="FN241" s="338">
        <f>FN87</f>
        <v>6274</v>
      </c>
      <c r="FO241" s="281"/>
      <c r="FP241" s="338">
        <f>FP87</f>
        <v>6274</v>
      </c>
      <c r="FQ241" s="281"/>
      <c r="FR241" s="111"/>
      <c r="FS241" s="111"/>
      <c r="FT241" s="111"/>
      <c r="FU241" s="111"/>
      <c r="FV241" s="111"/>
      <c r="FW241" s="111"/>
      <c r="FX241" s="230"/>
      <c r="FY241" s="230"/>
      <c r="FZ241" s="230"/>
      <c r="GA241" s="230"/>
      <c r="GB241" s="230"/>
      <c r="GC241" s="230"/>
      <c r="GD241" s="230"/>
      <c r="GE241" s="230"/>
      <c r="GF241" s="230"/>
      <c r="GG241" s="230"/>
    </row>
    <row r="242" spans="1:189" ht="15" hidden="1" customHeight="1" outlineLevel="2" x14ac:dyDescent="0.3">
      <c r="A242" s="1"/>
      <c r="B242" s="286"/>
      <c r="C242" s="301"/>
      <c r="D242" s="301"/>
      <c r="E242" s="301"/>
      <c r="F242" s="301"/>
      <c r="G242" s="118" t="s">
        <v>191</v>
      </c>
      <c r="H242" s="5"/>
      <c r="I242" s="338">
        <f t="shared" si="524"/>
        <v>14400</v>
      </c>
      <c r="J242" s="281"/>
      <c r="K242" s="338">
        <v>1200</v>
      </c>
      <c r="L242" s="281"/>
      <c r="M242" s="338">
        <v>1200</v>
      </c>
      <c r="N242" s="281"/>
      <c r="O242" s="338">
        <v>1200</v>
      </c>
      <c r="P242" s="281"/>
      <c r="Q242" s="338">
        <v>1200</v>
      </c>
      <c r="R242" s="281"/>
      <c r="S242" s="338">
        <v>1200</v>
      </c>
      <c r="T242" s="281"/>
      <c r="U242" s="338">
        <f t="shared" si="525"/>
        <v>1200</v>
      </c>
      <c r="V242" s="281"/>
      <c r="W242" s="338">
        <f t="shared" si="526"/>
        <v>1200</v>
      </c>
      <c r="X242" s="281"/>
      <c r="Y242" s="338">
        <f t="shared" si="527"/>
        <v>1200</v>
      </c>
      <c r="Z242" s="281"/>
      <c r="AA242" s="338">
        <f t="shared" si="528"/>
        <v>1200</v>
      </c>
      <c r="AB242" s="281"/>
      <c r="AC242" s="338">
        <f t="shared" si="529"/>
        <v>1200</v>
      </c>
      <c r="AD242" s="281"/>
      <c r="AE242" s="338">
        <f t="shared" si="530"/>
        <v>1200</v>
      </c>
      <c r="AF242" s="281"/>
      <c r="AG242" s="338">
        <f t="shared" si="531"/>
        <v>1200</v>
      </c>
      <c r="AH242" s="281"/>
      <c r="AI242" s="338">
        <f>AI88</f>
        <v>1200</v>
      </c>
      <c r="AJ242" s="281"/>
      <c r="AK242" s="338">
        <f>AK88</f>
        <v>1200</v>
      </c>
      <c r="AL242" s="281"/>
      <c r="AM242" s="338">
        <f>AM88</f>
        <v>1264</v>
      </c>
      <c r="AN242" s="281"/>
      <c r="AO242" s="338">
        <f>AO88</f>
        <v>1264</v>
      </c>
      <c r="AP242" s="281"/>
      <c r="AQ242" s="338">
        <f>AQ88</f>
        <v>1332</v>
      </c>
      <c r="AR242" s="281"/>
      <c r="AS242" s="338">
        <f>AS88</f>
        <v>1332.54</v>
      </c>
      <c r="AT242" s="281"/>
      <c r="AU242" s="338">
        <f>AU88</f>
        <v>1332.54</v>
      </c>
      <c r="AV242" s="281"/>
      <c r="AW242" s="338">
        <f>AW88</f>
        <v>1332.54</v>
      </c>
      <c r="AX242" s="281"/>
      <c r="AY242" s="338">
        <f>AY88</f>
        <v>1332.54</v>
      </c>
      <c r="AZ242" s="281"/>
      <c r="BA242" s="338">
        <f>BA88</f>
        <v>1332.54</v>
      </c>
      <c r="BB242" s="281"/>
      <c r="BC242" s="338">
        <f>BC88</f>
        <v>1332.54</v>
      </c>
      <c r="BD242" s="281"/>
      <c r="BE242" s="338">
        <f>BE88</f>
        <v>1332.54</v>
      </c>
      <c r="BF242" s="281"/>
      <c r="BG242" s="338">
        <f>BG88</f>
        <v>1332.54</v>
      </c>
      <c r="BH242" s="281"/>
      <c r="BI242" s="338">
        <f>BI88</f>
        <v>1332.54</v>
      </c>
      <c r="BJ242" s="281"/>
      <c r="BK242" s="338">
        <f>BK88</f>
        <v>1332.54</v>
      </c>
      <c r="BL242" s="281"/>
      <c r="BM242" s="338">
        <f>BM88</f>
        <v>1332.54</v>
      </c>
      <c r="BN242" s="281"/>
      <c r="BO242" s="338">
        <f>BO88</f>
        <v>1332.54</v>
      </c>
      <c r="BP242" s="281"/>
      <c r="BQ242" s="338">
        <f>BQ88</f>
        <v>1332.54</v>
      </c>
      <c r="BR242" s="281"/>
      <c r="BS242" s="338">
        <f>BS88</f>
        <v>1332.54</v>
      </c>
      <c r="BT242" s="281"/>
      <c r="BU242" s="338">
        <f>BU88</f>
        <v>1332.54</v>
      </c>
      <c r="BV242" s="281"/>
      <c r="BW242" s="338">
        <f>BW88</f>
        <v>1332.5</v>
      </c>
      <c r="BX242" s="281"/>
      <c r="BY242" s="338">
        <f>BY88</f>
        <v>1332.5</v>
      </c>
      <c r="BZ242" s="281"/>
      <c r="CA242" s="338">
        <f>CA88</f>
        <v>1332.5</v>
      </c>
      <c r="CB242" s="281"/>
      <c r="CC242" s="338">
        <f>CC88</f>
        <v>1332.5</v>
      </c>
      <c r="CD242" s="281"/>
      <c r="CE242" s="338">
        <f>CE88</f>
        <v>1332.5</v>
      </c>
      <c r="CF242" s="281"/>
      <c r="CG242" s="338">
        <f>CG88</f>
        <v>1332.5</v>
      </c>
      <c r="CH242" s="281"/>
      <c r="CI242" s="338">
        <f>CI88</f>
        <v>1332.5</v>
      </c>
      <c r="CJ242" s="281"/>
      <c r="CK242" s="338">
        <f>CK88</f>
        <v>1332.5</v>
      </c>
      <c r="CL242" s="281"/>
      <c r="CM242" s="338">
        <f>CM88</f>
        <v>1332.5</v>
      </c>
      <c r="CN242" s="281"/>
      <c r="CO242" s="338">
        <f>CO88</f>
        <v>1425.04</v>
      </c>
      <c r="CP242" s="281"/>
      <c r="CQ242" s="338">
        <f>CQ88</f>
        <v>1425.04</v>
      </c>
      <c r="CR242" s="281"/>
      <c r="CS242" s="338">
        <f>CS88</f>
        <v>1425.04</v>
      </c>
      <c r="CT242" s="281"/>
      <c r="CU242" s="338">
        <f>CU88</f>
        <v>1425.04</v>
      </c>
      <c r="CV242" s="281"/>
      <c r="CW242" s="338">
        <f>CW88</f>
        <v>1425.04</v>
      </c>
      <c r="CX242" s="281"/>
      <c r="CY242" s="338">
        <f>CY88</f>
        <v>2850.08</v>
      </c>
      <c r="CZ242" s="281"/>
      <c r="DA242" s="338">
        <f>DA88</f>
        <v>1425.04</v>
      </c>
      <c r="DB242" s="281"/>
      <c r="DC242" s="338">
        <f>DC88</f>
        <v>1425.04</v>
      </c>
      <c r="DD242" s="281"/>
      <c r="DE242" s="338">
        <f>DE88</f>
        <v>1425.04</v>
      </c>
      <c r="DF242" s="281"/>
      <c r="DG242" s="338">
        <f>DG88</f>
        <v>1425.04</v>
      </c>
      <c r="DH242" s="281"/>
      <c r="DI242" s="338">
        <f>DI88</f>
        <v>1425.04</v>
      </c>
      <c r="DJ242" s="281"/>
      <c r="DK242" s="338">
        <f>DK88</f>
        <v>1425.04</v>
      </c>
      <c r="DL242" s="281"/>
      <c r="DM242" s="338">
        <f>DM88</f>
        <v>1425.04</v>
      </c>
      <c r="DN242" s="281"/>
      <c r="DO242" s="338">
        <f>DO88</f>
        <v>1990</v>
      </c>
      <c r="DP242" s="281"/>
      <c r="DQ242" s="338">
        <f>DQ88</f>
        <v>1990</v>
      </c>
      <c r="DR242" s="281"/>
      <c r="DS242" s="338">
        <f>DS88</f>
        <v>1990</v>
      </c>
      <c r="DT242" s="281"/>
      <c r="DU242" s="111"/>
      <c r="DV242" s="111"/>
      <c r="DW242" s="111"/>
      <c r="DX242" s="111"/>
      <c r="DY242" s="111"/>
      <c r="DZ242" s="111"/>
      <c r="EA242" s="111"/>
      <c r="EB242" s="111"/>
      <c r="EC242" s="111"/>
      <c r="ED242" s="111"/>
      <c r="EE242" s="111"/>
      <c r="EF242" s="111"/>
      <c r="EG242" s="111"/>
      <c r="EH242" s="111"/>
      <c r="EI242" s="111"/>
      <c r="EJ242" s="111"/>
      <c r="EK242" s="111"/>
      <c r="EL242" s="111"/>
      <c r="EM242" s="111"/>
      <c r="EN242" s="338">
        <f>EN88</f>
        <v>1990</v>
      </c>
      <c r="EO242" s="281"/>
      <c r="EP242" s="338">
        <f>EP88</f>
        <v>1990</v>
      </c>
      <c r="EQ242" s="281"/>
      <c r="ER242" s="338">
        <f>ER88</f>
        <v>1990</v>
      </c>
      <c r="ES242" s="281"/>
      <c r="ET242" s="338">
        <f>ET88</f>
        <v>1990</v>
      </c>
      <c r="EU242" s="281"/>
      <c r="EV242" s="338">
        <f>EV88</f>
        <v>1990</v>
      </c>
      <c r="EW242" s="281"/>
      <c r="EX242" s="338">
        <f>EX88</f>
        <v>1990</v>
      </c>
      <c r="EY242" s="281"/>
      <c r="EZ242" s="338">
        <f>EZ88</f>
        <v>1990</v>
      </c>
      <c r="FA242" s="281"/>
      <c r="FB242" s="338">
        <f>FB88</f>
        <v>0</v>
      </c>
      <c r="FC242" s="281"/>
      <c r="FD242" s="338">
        <f>FD88</f>
        <v>0</v>
      </c>
      <c r="FE242" s="281"/>
      <c r="FF242" s="338">
        <f>FF88</f>
        <v>0</v>
      </c>
      <c r="FG242" s="281"/>
      <c r="FH242" s="338">
        <f>FH88</f>
        <v>0</v>
      </c>
      <c r="FI242" s="281"/>
      <c r="FJ242" s="338">
        <f>FJ88</f>
        <v>0</v>
      </c>
      <c r="FK242" s="281"/>
      <c r="FL242" s="338">
        <f>FL88</f>
        <v>0</v>
      </c>
      <c r="FM242" s="281"/>
      <c r="FN242" s="338">
        <f>FN88</f>
        <v>0</v>
      </c>
      <c r="FO242" s="281"/>
      <c r="FP242" s="338">
        <f>FP88</f>
        <v>0</v>
      </c>
      <c r="FQ242" s="281"/>
      <c r="FR242" s="111"/>
      <c r="FS242" s="111"/>
      <c r="FT242" s="111"/>
      <c r="FU242" s="111"/>
      <c r="FV242" s="111"/>
      <c r="FW242" s="111"/>
      <c r="FX242" s="230"/>
      <c r="FY242" s="230"/>
      <c r="FZ242" s="230"/>
      <c r="GA242" s="230"/>
      <c r="GB242" s="230"/>
      <c r="GC242" s="230"/>
      <c r="GD242" s="230"/>
      <c r="GE242" s="230"/>
      <c r="GF242" s="230"/>
      <c r="GG242" s="230"/>
    </row>
    <row r="243" spans="1:189" ht="15" customHeight="1" outlineLevel="2" x14ac:dyDescent="0.3">
      <c r="A243" s="116"/>
      <c r="B243" s="286"/>
      <c r="C243" s="301"/>
      <c r="D243" s="301"/>
      <c r="E243" s="301"/>
      <c r="F243" s="301"/>
      <c r="G243" s="117" t="s">
        <v>192</v>
      </c>
      <c r="H243" s="33"/>
      <c r="I243" s="338">
        <f t="shared" si="524"/>
        <v>1312010</v>
      </c>
      <c r="J243" s="281"/>
      <c r="K243" s="338">
        <f>M243</f>
        <v>105771</v>
      </c>
      <c r="L243" s="281"/>
      <c r="M243" s="338">
        <v>105771</v>
      </c>
      <c r="N243" s="281"/>
      <c r="O243" s="338">
        <v>111601</v>
      </c>
      <c r="P243" s="281"/>
      <c r="Q243" s="338">
        <v>112564</v>
      </c>
      <c r="R243" s="281"/>
      <c r="S243" s="338">
        <v>107025</v>
      </c>
      <c r="T243" s="281"/>
      <c r="U243" s="338">
        <v>103885</v>
      </c>
      <c r="V243" s="281"/>
      <c r="W243" s="338">
        <v>111154</v>
      </c>
      <c r="X243" s="281"/>
      <c r="Y243" s="338">
        <v>116214</v>
      </c>
      <c r="Z243" s="281"/>
      <c r="AA243" s="338">
        <v>114806</v>
      </c>
      <c r="AB243" s="281"/>
      <c r="AC243" s="338">
        <v>98511</v>
      </c>
      <c r="AD243" s="281"/>
      <c r="AE243" s="338">
        <v>117516</v>
      </c>
      <c r="AF243" s="281"/>
      <c r="AG243" s="338">
        <v>107192</v>
      </c>
      <c r="AH243" s="281"/>
      <c r="AI243" s="338">
        <v>87634</v>
      </c>
      <c r="AJ243" s="281"/>
      <c r="AK243" s="338">
        <v>75172</v>
      </c>
      <c r="AL243" s="281"/>
      <c r="AM243" s="338">
        <v>79372</v>
      </c>
      <c r="AN243" s="281"/>
      <c r="AO243" s="338">
        <v>68963</v>
      </c>
      <c r="AP243" s="281"/>
      <c r="AQ243" s="338">
        <v>55954</v>
      </c>
      <c r="AR243" s="281"/>
      <c r="AS243" s="338">
        <v>52485</v>
      </c>
      <c r="AT243" s="281"/>
      <c r="AU243" s="338">
        <v>72065</v>
      </c>
      <c r="AV243" s="281"/>
      <c r="AW243" s="338">
        <v>78020</v>
      </c>
      <c r="AX243" s="281"/>
      <c r="AY243" s="338">
        <v>66995</v>
      </c>
      <c r="AZ243" s="281"/>
      <c r="BA243" s="338">
        <v>70587</v>
      </c>
      <c r="BB243" s="281"/>
      <c r="BC243" s="338">
        <v>80748</v>
      </c>
      <c r="BD243" s="281"/>
      <c r="BE243" s="338">
        <v>75509</v>
      </c>
      <c r="BF243" s="281"/>
      <c r="BG243" s="439">
        <v>72926</v>
      </c>
      <c r="BH243" s="281"/>
      <c r="BI243" s="439">
        <v>71708</v>
      </c>
      <c r="BJ243" s="281"/>
      <c r="BK243" s="439">
        <v>79293</v>
      </c>
      <c r="BL243" s="281"/>
      <c r="BM243" s="439">
        <v>79293</v>
      </c>
      <c r="BN243" s="281"/>
      <c r="BO243" s="439">
        <v>79293</v>
      </c>
      <c r="BP243" s="281"/>
      <c r="BQ243" s="439">
        <v>79293</v>
      </c>
      <c r="BR243" s="281"/>
      <c r="BS243" s="439">
        <v>81061</v>
      </c>
      <c r="BT243" s="281"/>
      <c r="BU243" s="439">
        <v>81061</v>
      </c>
      <c r="BV243" s="281"/>
      <c r="BW243" s="439">
        <v>81061</v>
      </c>
      <c r="BX243" s="281"/>
      <c r="BY243" s="439">
        <v>81061</v>
      </c>
      <c r="BZ243" s="281"/>
      <c r="CA243" s="439">
        <v>81061</v>
      </c>
      <c r="CB243" s="281"/>
      <c r="CC243" s="439">
        <v>81061</v>
      </c>
      <c r="CD243" s="281"/>
      <c r="CE243" s="439">
        <v>81061</v>
      </c>
      <c r="CF243" s="281"/>
      <c r="CG243" s="439">
        <v>81061</v>
      </c>
      <c r="CH243" s="281"/>
      <c r="CI243" s="338">
        <v>116270</v>
      </c>
      <c r="CJ243" s="281"/>
      <c r="CK243" s="338">
        <v>116270</v>
      </c>
      <c r="CL243" s="281"/>
      <c r="CM243" s="338">
        <v>116270</v>
      </c>
      <c r="CN243" s="281"/>
      <c r="CO243" s="338">
        <v>116270</v>
      </c>
      <c r="CP243" s="281"/>
      <c r="CQ243" s="338">
        <v>116270</v>
      </c>
      <c r="CR243" s="281"/>
      <c r="CS243" s="338">
        <v>116270</v>
      </c>
      <c r="CT243" s="281"/>
      <c r="CU243" s="338">
        <f>CU64-CU65</f>
        <v>118147</v>
      </c>
      <c r="CV243" s="281"/>
      <c r="CW243" s="338">
        <f>CW64-CW65</f>
        <v>106976</v>
      </c>
      <c r="CX243" s="281"/>
      <c r="CY243" s="338">
        <f>CY64-CY65</f>
        <v>107493</v>
      </c>
      <c r="CZ243" s="281"/>
      <c r="DA243" s="338">
        <f>DA64-DA65</f>
        <v>101322</v>
      </c>
      <c r="DB243" s="281"/>
      <c r="DC243" s="338">
        <f>DC64-DC65</f>
        <v>124386.74800000001</v>
      </c>
      <c r="DD243" s="281"/>
      <c r="DE243" s="338">
        <f>DE64-DE65</f>
        <v>104502.79999999999</v>
      </c>
      <c r="DF243" s="281"/>
      <c r="DG243" s="338">
        <f>DG64-DG65</f>
        <v>113273.28</v>
      </c>
      <c r="DH243" s="281"/>
      <c r="DI243" s="338">
        <f>DI64-DI65</f>
        <v>135531.8732</v>
      </c>
      <c r="DJ243" s="281"/>
      <c r="DK243" s="338">
        <f>DK64-DK65</f>
        <v>132801.42860000001</v>
      </c>
      <c r="DL243" s="281"/>
      <c r="DM243" s="338">
        <f>DM64-DM65</f>
        <v>125810.7966</v>
      </c>
      <c r="DN243" s="281"/>
      <c r="DO243" s="338">
        <f>DO64-DO65</f>
        <v>120869.38</v>
      </c>
      <c r="DP243" s="281"/>
      <c r="DQ243" s="338">
        <f>DQ64-DQ65</f>
        <v>120869.38</v>
      </c>
      <c r="DR243" s="281"/>
      <c r="DS243" s="338">
        <f>DS64-DS65</f>
        <v>120869.38</v>
      </c>
      <c r="DT243" s="281"/>
      <c r="DU243" s="111"/>
      <c r="DV243" s="111"/>
      <c r="DW243" s="111"/>
      <c r="DX243" s="111"/>
      <c r="DY243" s="111"/>
      <c r="DZ243" s="111"/>
      <c r="EA243" s="111"/>
      <c r="EB243" s="111"/>
      <c r="EC243" s="111"/>
      <c r="ED243" s="111"/>
      <c r="EE243" s="111"/>
      <c r="EF243" s="111"/>
      <c r="EG243" s="111"/>
      <c r="EH243" s="111"/>
      <c r="EI243" s="111"/>
      <c r="EJ243" s="111"/>
      <c r="EK243" s="111"/>
      <c r="EL243" s="111"/>
      <c r="EM243" s="111"/>
      <c r="EN243" s="338">
        <f>EN64-EN65</f>
        <v>120869.38</v>
      </c>
      <c r="EO243" s="281"/>
      <c r="EP243" s="338">
        <f>EP64-EP65</f>
        <v>120869.38</v>
      </c>
      <c r="EQ243" s="281"/>
      <c r="ER243" s="338">
        <f>ER64-ER65</f>
        <v>120869.38</v>
      </c>
      <c r="ES243" s="281"/>
      <c r="ET243" s="338">
        <f>ET64-ET65</f>
        <v>120869.38</v>
      </c>
      <c r="EU243" s="281"/>
      <c r="EV243" s="338">
        <f>EV64-EV65</f>
        <v>120869.38</v>
      </c>
      <c r="EW243" s="281"/>
      <c r="EX243" s="338">
        <f>EX64-EX65</f>
        <v>120869.38</v>
      </c>
      <c r="EY243" s="281"/>
      <c r="EZ243" s="338">
        <f>EZ64-EZ65</f>
        <v>120869.38</v>
      </c>
      <c r="FA243" s="281"/>
      <c r="FB243" s="338">
        <f>FB64-FB65</f>
        <v>120869.38</v>
      </c>
      <c r="FC243" s="281"/>
      <c r="FD243" s="338">
        <f>FD64-FD65</f>
        <v>120869.38</v>
      </c>
      <c r="FE243" s="281"/>
      <c r="FF243" s="338">
        <f>FF64-FF65</f>
        <v>120869.38</v>
      </c>
      <c r="FG243" s="281"/>
      <c r="FH243" s="338">
        <f>FH64-FH65</f>
        <v>120869.38</v>
      </c>
      <c r="FI243" s="281"/>
      <c r="FJ243" s="338">
        <f>FJ64-FJ65</f>
        <v>69405.635999999999</v>
      </c>
      <c r="FK243" s="281"/>
      <c r="FL243" s="338">
        <f>FL64-FL65</f>
        <v>68660.753659244452</v>
      </c>
      <c r="FM243" s="281"/>
      <c r="FN243" s="338">
        <f>FN64-FN65</f>
        <v>47895.477107866667</v>
      </c>
      <c r="FO243" s="281"/>
      <c r="FP243" s="338">
        <f>FP64-FP65</f>
        <v>0</v>
      </c>
      <c r="FQ243" s="281"/>
      <c r="FR243" s="111"/>
      <c r="FS243" s="111"/>
      <c r="FT243" s="111"/>
      <c r="FU243" s="111"/>
      <c r="FV243" s="111"/>
      <c r="FW243" s="111"/>
      <c r="FX243" s="230"/>
      <c r="FY243" s="230"/>
      <c r="FZ243" s="230"/>
      <c r="GA243" s="230"/>
      <c r="GB243" s="230"/>
      <c r="GC243" s="230"/>
      <c r="GD243" s="230"/>
      <c r="GE243" s="230"/>
      <c r="GF243" s="230"/>
      <c r="GG243" s="230"/>
    </row>
    <row r="244" spans="1:189" ht="15" customHeight="1" outlineLevel="2" x14ac:dyDescent="0.3">
      <c r="A244" s="116"/>
      <c r="B244" s="287"/>
      <c r="C244" s="302"/>
      <c r="D244" s="302"/>
      <c r="E244" s="302"/>
      <c r="F244" s="302"/>
      <c r="G244" s="117" t="s">
        <v>183</v>
      </c>
      <c r="H244" s="33"/>
      <c r="I244" s="338">
        <f>I65*65%</f>
        <v>291302.28399999999</v>
      </c>
      <c r="J244" s="281"/>
      <c r="K244" s="338">
        <f>K65*65%</f>
        <v>28325.024000000005</v>
      </c>
      <c r="L244" s="281"/>
      <c r="M244" s="338">
        <f>M65*65%</f>
        <v>30365.594999999998</v>
      </c>
      <c r="N244" s="281"/>
      <c r="O244" s="338">
        <f>O65*65%</f>
        <v>30875.715</v>
      </c>
      <c r="P244" s="281"/>
      <c r="Q244" s="338">
        <f>Q65*65%</f>
        <v>18634.2</v>
      </c>
      <c r="R244" s="281"/>
      <c r="S244" s="338">
        <f>S65*65%</f>
        <v>18016.7</v>
      </c>
      <c r="T244" s="281"/>
      <c r="U244" s="338">
        <f>U65*65%</f>
        <v>18029.05</v>
      </c>
      <c r="V244" s="281"/>
      <c r="W244" s="338">
        <f>W65*65%</f>
        <v>18289.05</v>
      </c>
      <c r="X244" s="281"/>
      <c r="Y244" s="338">
        <f>Y65*65%</f>
        <v>25112.75</v>
      </c>
      <c r="Z244" s="281"/>
      <c r="AA244" s="338">
        <f>AA65*65%</f>
        <v>26016.9</v>
      </c>
      <c r="AB244" s="281"/>
      <c r="AC244" s="338">
        <f>AC65*65%</f>
        <v>22740.25</v>
      </c>
      <c r="AD244" s="281"/>
      <c r="AE244" s="338">
        <f>AE65*65%</f>
        <v>27673.100000000002</v>
      </c>
      <c r="AF244" s="281"/>
      <c r="AG244" s="338">
        <f>AG65*65%</f>
        <v>27223.95</v>
      </c>
      <c r="AH244" s="281"/>
      <c r="AI244" s="338">
        <f>AI65*65%</f>
        <v>22044.75</v>
      </c>
      <c r="AJ244" s="281"/>
      <c r="AK244" s="338">
        <f>AK65*65%</f>
        <v>17742.400000000001</v>
      </c>
      <c r="AL244" s="281"/>
      <c r="AM244" s="338">
        <f>AM65*65%</f>
        <v>20742.150000000001</v>
      </c>
      <c r="AN244" s="281"/>
      <c r="AO244" s="338">
        <f>AO65*65%</f>
        <v>17135.95</v>
      </c>
      <c r="AP244" s="281"/>
      <c r="AQ244" s="338">
        <f>AQ65*65%</f>
        <v>21923.850000000002</v>
      </c>
      <c r="AR244" s="281"/>
      <c r="AS244" s="338">
        <f>AS65*65%</f>
        <v>21372.65</v>
      </c>
      <c r="AT244" s="281"/>
      <c r="AU244" s="338">
        <f>AU65*65%</f>
        <v>27141.4</v>
      </c>
      <c r="AV244" s="281"/>
      <c r="AW244" s="338">
        <f>AW65*75%</f>
        <v>26583.75</v>
      </c>
      <c r="AX244" s="281"/>
      <c r="AY244" s="338">
        <f>AY65*75%</f>
        <v>24220.5</v>
      </c>
      <c r="AZ244" s="281"/>
      <c r="BA244" s="338">
        <f>BA65*75%</f>
        <v>28449</v>
      </c>
      <c r="BB244" s="281"/>
      <c r="BC244" s="338">
        <f>BC65*75%</f>
        <v>38287.5</v>
      </c>
      <c r="BD244" s="281"/>
      <c r="BE244" s="338">
        <f>BE65*75%</f>
        <v>31728.75</v>
      </c>
      <c r="BF244" s="281"/>
      <c r="BG244" s="338">
        <f>BG65*75%</f>
        <v>24574.5</v>
      </c>
      <c r="BH244" s="281"/>
      <c r="BI244" s="338">
        <f>BI65*75%</f>
        <v>26783.25</v>
      </c>
      <c r="BJ244" s="281"/>
      <c r="BK244" s="338">
        <f>BK65*75%</f>
        <v>31553.25</v>
      </c>
      <c r="BL244" s="281"/>
      <c r="BM244" s="338">
        <f>BM65*75%</f>
        <v>27023.25</v>
      </c>
      <c r="BN244" s="281"/>
      <c r="BO244" s="338">
        <f>BO65*75%</f>
        <v>28458</v>
      </c>
      <c r="BP244" s="281"/>
      <c r="BQ244" s="338">
        <f>BQ65*75%</f>
        <v>30202.5</v>
      </c>
      <c r="BR244" s="281"/>
      <c r="BS244" s="338">
        <f>BS65*75%</f>
        <v>34545.75</v>
      </c>
      <c r="BT244" s="281"/>
      <c r="BU244" s="338">
        <f>BU65*75%</f>
        <v>27639</v>
      </c>
      <c r="BV244" s="281"/>
      <c r="BW244" s="338">
        <f>BW65*75%</f>
        <v>27270.75</v>
      </c>
      <c r="BX244" s="281"/>
      <c r="BY244" s="338">
        <f>BY65*75%</f>
        <v>29269.5</v>
      </c>
      <c r="BZ244" s="281"/>
      <c r="CA244" s="338">
        <f>CA65*75%</f>
        <v>38090.25</v>
      </c>
      <c r="CB244" s="281"/>
      <c r="CC244" s="338">
        <f>CC65*75%</f>
        <v>27920.25</v>
      </c>
      <c r="CD244" s="281"/>
      <c r="CE244" s="338">
        <f>CE65*75%</f>
        <v>26373.75</v>
      </c>
      <c r="CF244" s="281"/>
      <c r="CG244" s="338">
        <f>CG65*75%</f>
        <v>27907.5</v>
      </c>
      <c r="CH244" s="281"/>
      <c r="CI244" s="338">
        <f>CI65*75%</f>
        <v>30048.75</v>
      </c>
      <c r="CJ244" s="281"/>
      <c r="CK244" s="338">
        <f>CK65*75%</f>
        <v>28283.25</v>
      </c>
      <c r="CL244" s="281"/>
      <c r="CM244" s="338">
        <f>CM65*75%</f>
        <v>27217.5</v>
      </c>
      <c r="CN244" s="281"/>
      <c r="CO244" s="338">
        <f>CO65*75%</f>
        <v>26070</v>
      </c>
      <c r="CP244" s="281"/>
      <c r="CQ244" s="338">
        <f>CQ65*75%</f>
        <v>26160</v>
      </c>
      <c r="CR244" s="281"/>
      <c r="CS244" s="338">
        <f>CS65*75%</f>
        <v>26311.5</v>
      </c>
      <c r="CT244" s="281"/>
      <c r="CU244" s="338">
        <f>CU65*75%</f>
        <v>26987.25</v>
      </c>
      <c r="CV244" s="281"/>
      <c r="CW244" s="338">
        <f>CW65*75%</f>
        <v>30776.25</v>
      </c>
      <c r="CX244" s="281"/>
      <c r="CY244" s="338">
        <f>CY65*75%</f>
        <v>29235</v>
      </c>
      <c r="CZ244" s="281"/>
      <c r="DA244" s="338">
        <f>DA65*75%</f>
        <v>26781</v>
      </c>
      <c r="DB244" s="281"/>
      <c r="DC244" s="356">
        <f>DC65*75%</f>
        <v>32777.589000000007</v>
      </c>
      <c r="DD244" s="350"/>
      <c r="DE244" s="356">
        <f>DE65*75%</f>
        <v>27537.9</v>
      </c>
      <c r="DF244" s="350"/>
      <c r="DG244" s="356">
        <f>DG65*75%</f>
        <v>29849.040000000001</v>
      </c>
      <c r="DH244" s="350"/>
      <c r="DI244" s="356">
        <f>DI65*75%</f>
        <v>35714.480100000001</v>
      </c>
      <c r="DJ244" s="350"/>
      <c r="DK244" s="356">
        <f>DK65*75%</f>
        <v>34994.971050000007</v>
      </c>
      <c r="DL244" s="350"/>
      <c r="DM244" s="356">
        <f>DM65*75%</f>
        <v>33152.845050000004</v>
      </c>
      <c r="DN244" s="350"/>
      <c r="DO244" s="356">
        <f>DO65*75%</f>
        <v>31850.715000000004</v>
      </c>
      <c r="DP244" s="350"/>
      <c r="DQ244" s="356">
        <f>DQ65*75%</f>
        <v>31850.715000000004</v>
      </c>
      <c r="DR244" s="350"/>
      <c r="DS244" s="356">
        <f>DS65*75%</f>
        <v>31850.715000000004</v>
      </c>
      <c r="DT244" s="350"/>
      <c r="DU244" s="111"/>
      <c r="DV244" s="111"/>
      <c r="DW244" s="111"/>
      <c r="DX244" s="111"/>
      <c r="DY244" s="111"/>
      <c r="DZ244" s="111"/>
      <c r="EA244" s="111"/>
      <c r="EB244" s="111"/>
      <c r="EC244" s="111"/>
      <c r="ED244" s="111"/>
      <c r="EE244" s="111"/>
      <c r="EF244" s="111"/>
      <c r="EG244" s="111"/>
      <c r="EH244" s="111"/>
      <c r="EI244" s="111"/>
      <c r="EJ244" s="111"/>
      <c r="EK244" s="111"/>
      <c r="EL244" s="111"/>
      <c r="EM244" s="111"/>
      <c r="EN244" s="356">
        <f>EN65*75%</f>
        <v>31850.715000000004</v>
      </c>
      <c r="EO244" s="350"/>
      <c r="EP244" s="356">
        <f>EP65*75%</f>
        <v>31850.715000000004</v>
      </c>
      <c r="EQ244" s="350"/>
      <c r="ER244" s="356">
        <f>ER65*75%</f>
        <v>31850.715000000004</v>
      </c>
      <c r="ES244" s="350"/>
      <c r="ET244" s="356">
        <f>ET65*75%</f>
        <v>31850.715000000004</v>
      </c>
      <c r="EU244" s="350"/>
      <c r="EV244" s="356">
        <f>EV65*75%</f>
        <v>31850.715000000004</v>
      </c>
      <c r="EW244" s="350"/>
      <c r="EX244" s="356">
        <f>EX65*75%</f>
        <v>31850.715000000004</v>
      </c>
      <c r="EY244" s="350"/>
      <c r="EZ244" s="356">
        <f>EZ65*75%</f>
        <v>31850.715000000004</v>
      </c>
      <c r="FA244" s="350"/>
      <c r="FB244" s="356">
        <f>FB65*75%</f>
        <v>31850.715000000004</v>
      </c>
      <c r="FC244" s="350"/>
      <c r="FD244" s="356">
        <f>FD65*75%</f>
        <v>31850.715000000004</v>
      </c>
      <c r="FE244" s="350"/>
      <c r="FF244" s="356">
        <f>FF65*75%</f>
        <v>31850.715000000004</v>
      </c>
      <c r="FG244" s="350"/>
      <c r="FH244" s="356">
        <f>FH65*75%</f>
        <v>31850.715000000004</v>
      </c>
      <c r="FI244" s="350"/>
      <c r="FJ244" s="356">
        <f>FJ65*75%</f>
        <v>18289.323</v>
      </c>
      <c r="FK244" s="350"/>
      <c r="FL244" s="356">
        <f>FL65*75%</f>
        <v>18093.036437233335</v>
      </c>
      <c r="FM244" s="350"/>
      <c r="FN244" s="356">
        <f>FN65*75%</f>
        <v>12621.105454100001</v>
      </c>
      <c r="FO244" s="350"/>
      <c r="FP244" s="356">
        <f>FP65*75%</f>
        <v>0</v>
      </c>
      <c r="FQ244" s="350"/>
      <c r="FR244" s="111"/>
      <c r="FS244" s="111"/>
      <c r="FT244" s="111"/>
      <c r="FU244" s="111"/>
      <c r="FV244" s="111"/>
      <c r="FW244" s="111"/>
      <c r="FX244" s="230"/>
      <c r="FY244" s="230"/>
      <c r="FZ244" s="230"/>
      <c r="GA244" s="230"/>
      <c r="GB244" s="230"/>
      <c r="GC244" s="230"/>
      <c r="GD244" s="230"/>
      <c r="GE244" s="230"/>
      <c r="GF244" s="230"/>
      <c r="GG244" s="230"/>
    </row>
    <row r="245" spans="1:189" ht="8.25" customHeight="1" outlineLevel="1" x14ac:dyDescent="0.3">
      <c r="A245" s="1"/>
      <c r="B245" s="18"/>
      <c r="C245" s="18"/>
      <c r="D245" s="18"/>
      <c r="E245" s="18"/>
      <c r="F245" s="18"/>
      <c r="G245" s="3"/>
      <c r="H245" s="3"/>
      <c r="I245" s="19"/>
      <c r="J245" s="20"/>
      <c r="K245" s="19"/>
      <c r="L245" s="20"/>
      <c r="M245" s="19"/>
      <c r="N245" s="20"/>
      <c r="O245" s="19"/>
      <c r="P245" s="20"/>
      <c r="Q245" s="19"/>
      <c r="R245" s="20"/>
      <c r="S245" s="19"/>
      <c r="T245" s="20"/>
      <c r="U245" s="19"/>
      <c r="V245" s="20"/>
      <c r="W245" s="19"/>
      <c r="X245" s="20"/>
      <c r="Y245" s="19"/>
      <c r="Z245" s="20"/>
      <c r="AA245" s="19"/>
      <c r="AB245" s="20"/>
      <c r="AC245" s="19"/>
      <c r="AD245" s="20"/>
      <c r="AE245" s="19"/>
      <c r="AF245" s="20"/>
      <c r="AG245" s="19"/>
      <c r="AH245" s="20"/>
      <c r="AI245" s="19"/>
      <c r="AJ245" s="20"/>
      <c r="AK245" s="19"/>
      <c r="AL245" s="20"/>
      <c r="AM245" s="19"/>
      <c r="AN245" s="20"/>
      <c r="AO245" s="19"/>
      <c r="AP245" s="20"/>
      <c r="AQ245" s="19"/>
      <c r="AR245" s="20"/>
      <c r="AS245" s="19"/>
      <c r="AT245" s="20"/>
      <c r="AU245" s="19"/>
      <c r="AV245" s="20"/>
      <c r="AW245" s="19"/>
      <c r="AX245" s="20"/>
      <c r="AY245" s="19"/>
      <c r="AZ245" s="20"/>
      <c r="BA245" s="19"/>
      <c r="BB245" s="20"/>
      <c r="BC245" s="19"/>
      <c r="BD245" s="20"/>
      <c r="BE245" s="19"/>
      <c r="BF245" s="20"/>
      <c r="BG245" s="19"/>
      <c r="BH245" s="20"/>
      <c r="BI245" s="19"/>
      <c r="BJ245" s="20"/>
      <c r="BK245" s="19"/>
      <c r="BL245" s="20"/>
      <c r="BM245" s="19"/>
      <c r="BN245" s="20"/>
      <c r="BO245" s="19"/>
      <c r="BP245" s="20"/>
      <c r="BQ245" s="19"/>
      <c r="BR245" s="20"/>
      <c r="BS245" s="19"/>
      <c r="BT245" s="20"/>
      <c r="BU245" s="19"/>
      <c r="BV245" s="20"/>
      <c r="BW245" s="19"/>
      <c r="BX245" s="20"/>
      <c r="BY245" s="19"/>
      <c r="BZ245" s="20"/>
      <c r="CA245" s="19"/>
      <c r="CB245" s="20"/>
      <c r="CC245" s="19"/>
      <c r="CD245" s="20"/>
      <c r="CE245" s="19"/>
      <c r="CF245" s="20"/>
      <c r="CG245" s="19"/>
      <c r="CH245" s="20"/>
      <c r="CI245" s="19"/>
      <c r="CJ245" s="20"/>
      <c r="CK245" s="19"/>
      <c r="CL245" s="20"/>
      <c r="CM245" s="19"/>
      <c r="CN245" s="20"/>
      <c r="CO245" s="19"/>
      <c r="CP245" s="20"/>
      <c r="CQ245" s="19"/>
      <c r="CR245" s="20"/>
      <c r="CS245" s="19"/>
      <c r="CT245" s="20"/>
      <c r="CU245" s="19"/>
      <c r="CV245" s="20"/>
      <c r="CW245" s="19"/>
      <c r="CX245" s="20"/>
      <c r="CY245" s="19"/>
      <c r="CZ245" s="20"/>
      <c r="DA245" s="19"/>
      <c r="DB245" s="20"/>
      <c r="DC245" s="19"/>
      <c r="DD245" s="20"/>
      <c r="DE245" s="19"/>
      <c r="DF245" s="20"/>
      <c r="DG245" s="19"/>
      <c r="DH245" s="20"/>
      <c r="DI245" s="19"/>
      <c r="DJ245" s="20"/>
      <c r="DK245" s="19"/>
      <c r="DL245" s="20"/>
      <c r="DM245" s="19"/>
      <c r="DN245" s="20"/>
      <c r="DO245" s="19"/>
      <c r="DP245" s="20"/>
      <c r="DQ245" s="19"/>
      <c r="DR245" s="20"/>
      <c r="DS245" s="19"/>
      <c r="DT245" s="20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19"/>
      <c r="EO245" s="20"/>
      <c r="EP245" s="19"/>
      <c r="EQ245" s="20"/>
      <c r="ER245" s="19"/>
      <c r="ES245" s="20"/>
      <c r="ET245" s="19"/>
      <c r="EU245" s="20"/>
      <c r="EV245" s="19"/>
      <c r="EW245" s="20"/>
      <c r="EX245" s="19"/>
      <c r="EY245" s="20"/>
      <c r="EZ245" s="19"/>
      <c r="FA245" s="20"/>
      <c r="FB245" s="19"/>
      <c r="FC245" s="20"/>
      <c r="FD245" s="19"/>
      <c r="FE245" s="20"/>
      <c r="FF245" s="19"/>
      <c r="FG245" s="20"/>
      <c r="FH245" s="19"/>
      <c r="FI245" s="20"/>
      <c r="FJ245" s="19"/>
      <c r="FK245" s="20"/>
      <c r="FL245" s="19"/>
      <c r="FM245" s="20"/>
      <c r="FN245" s="19"/>
      <c r="FO245" s="20"/>
      <c r="FP245" s="19"/>
      <c r="FQ245" s="20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</row>
    <row r="246" spans="1:189" ht="15" customHeight="1" outlineLevel="1" x14ac:dyDescent="0.3">
      <c r="A246" s="63"/>
      <c r="B246" s="438" t="s">
        <v>193</v>
      </c>
      <c r="C246" s="313" t="s">
        <v>24</v>
      </c>
      <c r="D246" s="313" t="s">
        <v>25</v>
      </c>
      <c r="E246" s="313" t="s">
        <v>194</v>
      </c>
      <c r="F246" s="313" t="s">
        <v>53</v>
      </c>
      <c r="G246" s="5" t="s">
        <v>28</v>
      </c>
      <c r="H246" s="5"/>
      <c r="I246" s="338">
        <v>2.79</v>
      </c>
      <c r="J246" s="281"/>
      <c r="K246" s="338">
        <v>2.79</v>
      </c>
      <c r="L246" s="281"/>
      <c r="M246" s="338">
        <v>2.79</v>
      </c>
      <c r="N246" s="281"/>
      <c r="O246" s="338">
        <v>2.79</v>
      </c>
      <c r="P246" s="281"/>
      <c r="Q246" s="338">
        <v>2.79</v>
      </c>
      <c r="R246" s="281"/>
      <c r="S246" s="338">
        <v>2.79</v>
      </c>
      <c r="T246" s="281"/>
      <c r="U246" s="338">
        <v>2.79</v>
      </c>
      <c r="V246" s="281"/>
      <c r="W246" s="338">
        <v>2.79</v>
      </c>
      <c r="X246" s="281"/>
      <c r="Y246" s="338">
        <v>2.79</v>
      </c>
      <c r="Z246" s="281"/>
      <c r="AA246" s="338">
        <v>2.79</v>
      </c>
      <c r="AB246" s="281"/>
      <c r="AC246" s="338">
        <v>2.79</v>
      </c>
      <c r="AD246" s="281"/>
      <c r="AE246" s="338">
        <v>2.79</v>
      </c>
      <c r="AF246" s="281"/>
      <c r="AG246" s="338">
        <v>2.79</v>
      </c>
      <c r="AH246" s="281"/>
      <c r="AI246" s="338">
        <v>2.79</v>
      </c>
      <c r="AJ246" s="281"/>
      <c r="AK246" s="338">
        <v>2.79</v>
      </c>
      <c r="AL246" s="281"/>
      <c r="AM246" s="338">
        <v>2.79</v>
      </c>
      <c r="AN246" s="281"/>
      <c r="AO246" s="338">
        <v>2.79</v>
      </c>
      <c r="AP246" s="281"/>
      <c r="AQ246" s="338">
        <v>2.79</v>
      </c>
      <c r="AR246" s="281"/>
      <c r="AS246" s="338">
        <v>2.79</v>
      </c>
      <c r="AT246" s="281"/>
      <c r="AU246" s="338">
        <v>2.79</v>
      </c>
      <c r="AV246" s="281"/>
      <c r="AW246" s="338">
        <v>2.79</v>
      </c>
      <c r="AX246" s="281"/>
      <c r="AY246" s="338">
        <v>2.79</v>
      </c>
      <c r="AZ246" s="281"/>
      <c r="BA246" s="338">
        <v>2.79</v>
      </c>
      <c r="BB246" s="281"/>
      <c r="BC246" s="338">
        <v>2.79</v>
      </c>
      <c r="BD246" s="281"/>
      <c r="BE246" s="338">
        <v>2.79</v>
      </c>
      <c r="BF246" s="281"/>
      <c r="BG246" s="338">
        <v>2.79</v>
      </c>
      <c r="BH246" s="281"/>
      <c r="BI246" s="338">
        <v>2.79</v>
      </c>
      <c r="BJ246" s="281"/>
      <c r="BK246" s="338">
        <v>2.79</v>
      </c>
      <c r="BL246" s="281"/>
      <c r="BM246" s="338">
        <v>2.79</v>
      </c>
      <c r="BN246" s="281"/>
      <c r="BO246" s="338">
        <v>2.79</v>
      </c>
      <c r="BP246" s="281"/>
      <c r="BQ246" s="338">
        <v>2.79</v>
      </c>
      <c r="BR246" s="281"/>
      <c r="BS246" s="338">
        <v>2.79</v>
      </c>
      <c r="BT246" s="281"/>
      <c r="BU246" s="338">
        <v>2.79</v>
      </c>
      <c r="BV246" s="281"/>
      <c r="BW246" s="338">
        <v>2.79</v>
      </c>
      <c r="BX246" s="281"/>
      <c r="BY246" s="338">
        <v>2.79</v>
      </c>
      <c r="BZ246" s="281"/>
      <c r="CA246" s="338">
        <v>2.79</v>
      </c>
      <c r="CB246" s="281"/>
      <c r="CC246" s="338">
        <v>2.79</v>
      </c>
      <c r="CD246" s="281"/>
      <c r="CE246" s="338">
        <v>2.79</v>
      </c>
      <c r="CF246" s="281"/>
      <c r="CG246" s="338">
        <v>2.79</v>
      </c>
      <c r="CH246" s="281"/>
      <c r="CI246" s="338">
        <v>2.79</v>
      </c>
      <c r="CJ246" s="281"/>
      <c r="CK246" s="338">
        <v>2.79</v>
      </c>
      <c r="CL246" s="281"/>
      <c r="CM246" s="338">
        <v>2.79</v>
      </c>
      <c r="CN246" s="281"/>
      <c r="CO246" s="338">
        <v>2.79</v>
      </c>
      <c r="CP246" s="281"/>
      <c r="CQ246" s="338">
        <v>2.79</v>
      </c>
      <c r="CR246" s="281"/>
      <c r="CS246" s="338">
        <v>2.79</v>
      </c>
      <c r="CT246" s="281"/>
      <c r="CU246" s="338">
        <v>2.79</v>
      </c>
      <c r="CV246" s="281"/>
      <c r="CW246" s="338">
        <v>2.79</v>
      </c>
      <c r="CX246" s="281"/>
      <c r="CY246" s="338">
        <v>2.79</v>
      </c>
      <c r="CZ246" s="281"/>
      <c r="DA246" s="338">
        <v>2.79</v>
      </c>
      <c r="DB246" s="281"/>
      <c r="DC246" s="338">
        <v>2.79</v>
      </c>
      <c r="DD246" s="281"/>
      <c r="DE246" s="338">
        <v>2.79</v>
      </c>
      <c r="DF246" s="281"/>
      <c r="DG246" s="338">
        <v>2.79</v>
      </c>
      <c r="DH246" s="281"/>
      <c r="DI246" s="338">
        <v>2.79</v>
      </c>
      <c r="DJ246" s="281"/>
      <c r="DK246" s="338">
        <v>2.79</v>
      </c>
      <c r="DL246" s="281"/>
      <c r="DM246" s="338">
        <v>2.79</v>
      </c>
      <c r="DN246" s="281"/>
      <c r="DO246" s="338">
        <v>2.79</v>
      </c>
      <c r="DP246" s="281"/>
      <c r="DQ246" s="338">
        <v>2.79</v>
      </c>
      <c r="DR246" s="281"/>
      <c r="DS246" s="338">
        <v>2.79</v>
      </c>
      <c r="DT246" s="281"/>
      <c r="DU246" s="119"/>
      <c r="DV246" s="119"/>
      <c r="DW246" s="119"/>
      <c r="DX246" s="119"/>
      <c r="DY246" s="119"/>
      <c r="DZ246" s="119"/>
      <c r="EA246" s="119"/>
      <c r="EB246" s="119"/>
      <c r="EC246" s="119"/>
      <c r="ED246" s="119"/>
      <c r="EE246" s="119"/>
      <c r="EF246" s="119"/>
      <c r="EG246" s="119"/>
      <c r="EH246" s="119"/>
      <c r="EI246" s="119"/>
      <c r="EJ246" s="119"/>
      <c r="EK246" s="119"/>
      <c r="EL246" s="119"/>
      <c r="EM246" s="119"/>
      <c r="EN246" s="338">
        <v>2.79</v>
      </c>
      <c r="EO246" s="281"/>
      <c r="EP246" s="338">
        <v>2.79</v>
      </c>
      <c r="EQ246" s="281"/>
      <c r="ER246" s="338">
        <v>2.79</v>
      </c>
      <c r="ES246" s="281"/>
      <c r="ET246" s="338">
        <v>2.79</v>
      </c>
      <c r="EU246" s="281"/>
      <c r="EV246" s="338">
        <v>2.79</v>
      </c>
      <c r="EW246" s="281"/>
      <c r="EX246" s="338">
        <v>2.79</v>
      </c>
      <c r="EY246" s="281"/>
      <c r="EZ246" s="338">
        <v>2.79</v>
      </c>
      <c r="FA246" s="281"/>
      <c r="FB246" s="338">
        <v>2.79</v>
      </c>
      <c r="FC246" s="281"/>
      <c r="FD246" s="338">
        <v>2.79</v>
      </c>
      <c r="FE246" s="281"/>
      <c r="FF246" s="338">
        <v>2.79</v>
      </c>
      <c r="FG246" s="281"/>
      <c r="FH246" s="338">
        <v>2.79</v>
      </c>
      <c r="FI246" s="281"/>
      <c r="FJ246" s="338">
        <v>2.79</v>
      </c>
      <c r="FK246" s="281"/>
      <c r="FL246" s="338">
        <v>2.79</v>
      </c>
      <c r="FM246" s="281"/>
      <c r="FN246" s="338">
        <v>2.79</v>
      </c>
      <c r="FO246" s="281"/>
      <c r="FP246" s="338">
        <v>2.79</v>
      </c>
      <c r="FQ246" s="281"/>
      <c r="FR246" s="119"/>
      <c r="FS246" s="119"/>
      <c r="FT246" s="119"/>
      <c r="FU246" s="119"/>
      <c r="FV246" s="119"/>
      <c r="FW246" s="119"/>
      <c r="FX246" s="231"/>
      <c r="FY246" s="231"/>
      <c r="FZ246" s="231"/>
      <c r="GA246" s="231"/>
      <c r="GB246" s="231"/>
      <c r="GC246" s="231"/>
      <c r="GD246" s="231"/>
      <c r="GE246" s="231"/>
      <c r="GF246" s="265"/>
      <c r="GG246" s="265"/>
    </row>
    <row r="247" spans="1:189" ht="4.5" customHeight="1" outlineLevel="1" x14ac:dyDescent="0.3">
      <c r="A247" s="1"/>
      <c r="B247" s="286"/>
      <c r="C247" s="301"/>
      <c r="D247" s="301"/>
      <c r="E247" s="301"/>
      <c r="F247" s="301"/>
      <c r="G247" s="5"/>
      <c r="H247" s="5"/>
      <c r="I247" s="351"/>
      <c r="J247" s="281"/>
      <c r="K247" s="351"/>
      <c r="L247" s="281"/>
      <c r="M247" s="351"/>
      <c r="N247" s="281"/>
      <c r="O247" s="351"/>
      <c r="P247" s="281"/>
      <c r="Q247" s="351"/>
      <c r="R247" s="281"/>
      <c r="S247" s="328"/>
      <c r="T247" s="281"/>
      <c r="U247" s="328"/>
      <c r="V247" s="281"/>
      <c r="W247" s="328"/>
      <c r="X247" s="281"/>
      <c r="Y247" s="328"/>
      <c r="Z247" s="281"/>
      <c r="AA247" s="351"/>
      <c r="AB247" s="281"/>
      <c r="AC247" s="351"/>
      <c r="AD247" s="281"/>
      <c r="AE247" s="351"/>
      <c r="AF247" s="281"/>
      <c r="AG247" s="351"/>
      <c r="AH247" s="281"/>
      <c r="AI247" s="351"/>
      <c r="AJ247" s="281"/>
      <c r="AK247" s="351"/>
      <c r="AL247" s="281"/>
      <c r="AM247" s="351"/>
      <c r="AN247" s="281"/>
      <c r="AO247" s="351"/>
      <c r="AP247" s="281"/>
      <c r="AQ247" s="351"/>
      <c r="AR247" s="281"/>
      <c r="AS247" s="328"/>
      <c r="AT247" s="281"/>
      <c r="AU247" s="328"/>
      <c r="AV247" s="281"/>
      <c r="AW247" s="328"/>
      <c r="AX247" s="281"/>
      <c r="AY247" s="328"/>
      <c r="AZ247" s="281"/>
      <c r="BA247" s="328"/>
      <c r="BB247" s="281"/>
      <c r="BC247" s="328"/>
      <c r="BD247" s="281"/>
      <c r="BE247" s="328"/>
      <c r="BF247" s="281"/>
      <c r="BG247" s="328"/>
      <c r="BH247" s="281"/>
      <c r="BI247" s="328"/>
      <c r="BJ247" s="281"/>
      <c r="BK247" s="351"/>
      <c r="BL247" s="281"/>
      <c r="BM247" s="351"/>
      <c r="BN247" s="281"/>
      <c r="BO247" s="351"/>
      <c r="BP247" s="281"/>
      <c r="BQ247" s="351"/>
      <c r="BR247" s="281"/>
      <c r="BS247" s="328"/>
      <c r="BT247" s="281"/>
      <c r="BU247" s="328"/>
      <c r="BV247" s="281"/>
      <c r="BW247" s="328"/>
      <c r="BX247" s="281"/>
      <c r="BY247" s="328"/>
      <c r="BZ247" s="281"/>
      <c r="CA247" s="328"/>
      <c r="CB247" s="281"/>
      <c r="CC247" s="328"/>
      <c r="CD247" s="281"/>
      <c r="CE247" s="328"/>
      <c r="CF247" s="281"/>
      <c r="CG247" s="328"/>
      <c r="CH247" s="281"/>
      <c r="CI247" s="328"/>
      <c r="CJ247" s="281"/>
      <c r="CK247" s="328"/>
      <c r="CL247" s="281"/>
      <c r="CM247" s="328"/>
      <c r="CN247" s="281"/>
      <c r="CO247" s="328"/>
      <c r="CP247" s="281"/>
      <c r="CQ247" s="328"/>
      <c r="CR247" s="281"/>
      <c r="CS247" s="328"/>
      <c r="CT247" s="281"/>
      <c r="CU247" s="328"/>
      <c r="CV247" s="281"/>
      <c r="CW247" s="328"/>
      <c r="CX247" s="281"/>
      <c r="CY247" s="328"/>
      <c r="CZ247" s="281"/>
      <c r="DA247" s="328"/>
      <c r="DB247" s="281"/>
      <c r="DC247" s="328"/>
      <c r="DD247" s="281"/>
      <c r="DE247" s="328"/>
      <c r="DF247" s="281"/>
      <c r="DG247" s="328"/>
      <c r="DH247" s="281"/>
      <c r="DI247" s="328"/>
      <c r="DJ247" s="281"/>
      <c r="DK247" s="328"/>
      <c r="DL247" s="281"/>
      <c r="DM247" s="328"/>
      <c r="DN247" s="281"/>
      <c r="DO247" s="328"/>
      <c r="DP247" s="281"/>
      <c r="DQ247" s="328"/>
      <c r="DR247" s="281"/>
      <c r="DS247" s="328"/>
      <c r="DT247" s="281"/>
      <c r="DU247" s="119"/>
      <c r="DV247" s="119"/>
      <c r="DW247" s="119"/>
      <c r="DX247" s="119"/>
      <c r="DY247" s="119"/>
      <c r="DZ247" s="119"/>
      <c r="EA247" s="119"/>
      <c r="EB247" s="119"/>
      <c r="EC247" s="119"/>
      <c r="ED247" s="119"/>
      <c r="EE247" s="119"/>
      <c r="EF247" s="119"/>
      <c r="EG247" s="119"/>
      <c r="EH247" s="119"/>
      <c r="EI247" s="119"/>
      <c r="EJ247" s="119"/>
      <c r="EK247" s="119"/>
      <c r="EL247" s="119"/>
      <c r="EM247" s="119"/>
      <c r="EN247" s="328"/>
      <c r="EO247" s="281"/>
      <c r="EP247" s="328"/>
      <c r="EQ247" s="281"/>
      <c r="ER247" s="328"/>
      <c r="ES247" s="281"/>
      <c r="ET247" s="328"/>
      <c r="EU247" s="281"/>
      <c r="EV247" s="328"/>
      <c r="EW247" s="281"/>
      <c r="EX247" s="328"/>
      <c r="EY247" s="281"/>
      <c r="EZ247" s="328"/>
      <c r="FA247" s="281"/>
      <c r="FB247" s="328"/>
      <c r="FC247" s="281"/>
      <c r="FD247" s="328"/>
      <c r="FE247" s="281"/>
      <c r="FF247" s="328"/>
      <c r="FG247" s="281"/>
      <c r="FH247" s="328"/>
      <c r="FI247" s="281"/>
      <c r="FJ247" s="328"/>
      <c r="FK247" s="281"/>
      <c r="FL247" s="328"/>
      <c r="FM247" s="281"/>
      <c r="FN247" s="328"/>
      <c r="FO247" s="281"/>
      <c r="FP247" s="328"/>
      <c r="FQ247" s="281"/>
      <c r="FR247" s="119"/>
      <c r="FS247" s="119"/>
      <c r="FT247" s="119"/>
      <c r="FU247" s="119"/>
      <c r="FV247" s="119"/>
      <c r="FW247" s="119"/>
      <c r="FX247" s="231"/>
      <c r="FY247" s="231"/>
      <c r="FZ247" s="231"/>
      <c r="GA247" s="231"/>
      <c r="GB247" s="231"/>
      <c r="GC247" s="231"/>
      <c r="GD247" s="231"/>
      <c r="GE247" s="231"/>
      <c r="GF247" s="265"/>
      <c r="GG247" s="265"/>
    </row>
    <row r="248" spans="1:189" ht="15" customHeight="1" outlineLevel="1" x14ac:dyDescent="0.3">
      <c r="A248" s="1"/>
      <c r="B248" s="286"/>
      <c r="C248" s="301"/>
      <c r="D248" s="301"/>
      <c r="E248" s="301"/>
      <c r="F248" s="301"/>
      <c r="G248" s="32" t="s">
        <v>30</v>
      </c>
      <c r="H248" s="32"/>
      <c r="I248" s="355">
        <f>I250/I249</f>
        <v>1.7542280027143182</v>
      </c>
      <c r="J248" s="281"/>
      <c r="K248" s="355">
        <f>K250/K249</f>
        <v>6.0289960000000011</v>
      </c>
      <c r="L248" s="281"/>
      <c r="M248" s="355">
        <f>M250/M249</f>
        <v>4.1839907651715045</v>
      </c>
      <c r="N248" s="281"/>
      <c r="O248" s="355">
        <f>O250/O249</f>
        <v>2.3504428989751096</v>
      </c>
      <c r="P248" s="281"/>
      <c r="Q248" s="355">
        <f>Q250/Q249</f>
        <v>1.3308211143695017</v>
      </c>
      <c r="R248" s="281"/>
      <c r="S248" s="355">
        <f>S250/S249</f>
        <v>0.52087924970691679</v>
      </c>
      <c r="T248" s="281"/>
      <c r="U248" s="355">
        <f>U250/U249</f>
        <v>0.95222793487574975</v>
      </c>
      <c r="V248" s="281"/>
      <c r="W248" s="355">
        <f>W250/W249</f>
        <v>0.84928057553956837</v>
      </c>
      <c r="X248" s="281"/>
      <c r="Y248" s="355">
        <f>Y250/Y249</f>
        <v>1.2903924566768603</v>
      </c>
      <c r="Z248" s="281"/>
      <c r="AA248" s="355">
        <f>AA250/AA249</f>
        <v>1.8620615604867574</v>
      </c>
      <c r="AB248" s="281"/>
      <c r="AC248" s="355">
        <f>AC250/AC249</f>
        <v>1.8339188134270101</v>
      </c>
      <c r="AD248" s="281"/>
      <c r="AE248" s="355">
        <f>AE250/AE249</f>
        <v>3.4151439299123907</v>
      </c>
      <c r="AF248" s="281"/>
      <c r="AG248" s="355">
        <f>AG250/AG249</f>
        <v>4.0882397572078908</v>
      </c>
      <c r="AH248" s="281"/>
      <c r="AI248" s="355">
        <f>AI250/AI249</f>
        <v>5.1244419642857144</v>
      </c>
      <c r="AJ248" s="281"/>
      <c r="AK248" s="355">
        <f>AK250/AK249</f>
        <v>3.4530755711775045</v>
      </c>
      <c r="AL248" s="281"/>
      <c r="AM248" s="355">
        <f>AM250/AM249</f>
        <v>6.0317307692307693</v>
      </c>
      <c r="AN248" s="281"/>
      <c r="AO248" s="355">
        <f>AO250/AO249</f>
        <v>33.651754385964914</v>
      </c>
      <c r="AP248" s="281"/>
      <c r="AQ248" s="355">
        <f>AQ250/AQ249</f>
        <v>41.57181818181818</v>
      </c>
      <c r="AR248" s="281"/>
      <c r="AS248" s="355">
        <f>AS250/AS249</f>
        <v>1.4985812200137083</v>
      </c>
      <c r="AT248" s="281"/>
      <c r="AU248" s="355">
        <f>AU250/AU249</f>
        <v>1.4536994535519128</v>
      </c>
      <c r="AV248" s="281"/>
      <c r="AW248" s="355">
        <f>AW250/AW249</f>
        <v>1.7171397569444444</v>
      </c>
      <c r="AX248" s="281"/>
      <c r="AY248" s="355">
        <f>AY250/AY249</f>
        <v>1.452542372881356</v>
      </c>
      <c r="AZ248" s="281"/>
      <c r="BA248" s="355">
        <f>BA250/BA249</f>
        <v>2.1253578732106342</v>
      </c>
      <c r="BB248" s="281"/>
      <c r="BC248" s="355">
        <f>BC250/BC249</f>
        <v>2.6294364851957974</v>
      </c>
      <c r="BD248" s="281"/>
      <c r="BE248" s="355">
        <f>BE250/BE249</f>
        <v>2.6608654970760233</v>
      </c>
      <c r="BF248" s="281"/>
      <c r="BG248" s="355">
        <f>BG250/BG249</f>
        <v>3.9214616096207218</v>
      </c>
      <c r="BH248" s="281"/>
      <c r="BI248" s="355">
        <f>BI250/BI249</f>
        <v>3.7984860557768929</v>
      </c>
      <c r="BJ248" s="281"/>
      <c r="BK248" s="355">
        <f>BK250/BK249</f>
        <v>4.0008308157099703</v>
      </c>
      <c r="BL248" s="281"/>
      <c r="BM248" s="355">
        <f>BM250/BM249</f>
        <v>4.255452003727866</v>
      </c>
      <c r="BN248" s="281"/>
      <c r="BO248" s="355">
        <f>BO250/BO249</f>
        <v>2.8803508771929822</v>
      </c>
      <c r="BP248" s="281"/>
      <c r="BQ248" s="355">
        <f>BQ250/BQ249</f>
        <v>3.409560723514212</v>
      </c>
      <c r="BR248" s="281"/>
      <c r="BS248" s="355">
        <f>BS250/BS249</f>
        <v>2.1127960410038886</v>
      </c>
      <c r="BT248" s="281"/>
      <c r="BU248" s="355">
        <f>BU250/BU249</f>
        <v>1.6659581534373964</v>
      </c>
      <c r="BV248" s="281"/>
      <c r="BW248" s="355">
        <f>BW250/BW249</f>
        <v>1.4372419724770644</v>
      </c>
      <c r="BX248" s="281"/>
      <c r="BY248" s="355">
        <f>BY250/BY249</f>
        <v>1.7458072590738425</v>
      </c>
      <c r="BZ248" s="281"/>
      <c r="CA248" s="355">
        <f>CA250/CA249</f>
        <v>1.7084409373505502</v>
      </c>
      <c r="CB248" s="281"/>
      <c r="CC248" s="355">
        <f>CC250/CC249</f>
        <v>1.5098330725091291</v>
      </c>
      <c r="CD248" s="281"/>
      <c r="CE248" s="355">
        <f>CE250/CE249</f>
        <v>1.4560466848770797</v>
      </c>
      <c r="CF248" s="281"/>
      <c r="CG248" s="355">
        <f>CG250/CG249</f>
        <v>2.0962634578847372</v>
      </c>
      <c r="CH248" s="281"/>
      <c r="CI248" s="355">
        <f>CI250/CI249</f>
        <v>3.0787671232876712</v>
      </c>
      <c r="CJ248" s="281"/>
      <c r="CK248" s="355">
        <f>CK250/CK249</f>
        <v>4.8864583333333336</v>
      </c>
      <c r="CL248" s="281"/>
      <c r="CM248" s="355">
        <f>CM250/CM249</f>
        <v>6.1311134235171698</v>
      </c>
      <c r="CN248" s="281"/>
      <c r="CO248" s="355">
        <f>CO250/CO249</f>
        <v>5.975012345679013</v>
      </c>
      <c r="CP248" s="281"/>
      <c r="CQ248" s="355">
        <f>CQ250/CQ249</f>
        <v>3.1929012345679011</v>
      </c>
      <c r="CR248" s="281"/>
      <c r="CS248" s="355">
        <f>CS250/CS249</f>
        <v>2.5510429447852765</v>
      </c>
      <c r="CT248" s="281"/>
      <c r="CU248" s="355">
        <f>CU250/CU249</f>
        <v>2.5108156028368795</v>
      </c>
      <c r="CV248" s="281"/>
      <c r="CW248" s="355">
        <f>CW250/CW249</f>
        <v>2.7208262350936967</v>
      </c>
      <c r="CX248" s="281"/>
      <c r="CY248" s="355">
        <f>CY250/CY249</f>
        <v>3.2822085889570554</v>
      </c>
      <c r="CZ248" s="281"/>
      <c r="DA248" s="355">
        <f>DA250/DA249</f>
        <v>3.6493158258465792</v>
      </c>
      <c r="DB248" s="281"/>
      <c r="DC248" s="355">
        <f>DC250/DC249</f>
        <v>2.06102387119356</v>
      </c>
      <c r="DD248" s="281"/>
      <c r="DE248" s="355">
        <f>DE250/DE249</f>
        <v>1.7034990560100696</v>
      </c>
      <c r="DF248" s="281"/>
      <c r="DG248" s="355">
        <f>DG250/DG249</f>
        <v>1.6776400911161733</v>
      </c>
      <c r="DH248" s="281"/>
      <c r="DI248" s="355">
        <f>DI250/DI249</f>
        <v>2.1203538870863077</v>
      </c>
      <c r="DJ248" s="281"/>
      <c r="DK248" s="355">
        <f>DK250/DK249</f>
        <v>2.3062172159090912</v>
      </c>
      <c r="DL248" s="281"/>
      <c r="DM248" s="355">
        <f>DM250/DM249</f>
        <v>1.1975031779581053</v>
      </c>
      <c r="DN248" s="281"/>
      <c r="DO248" s="355">
        <f>DO250/DO249</f>
        <v>1.8202219821766139</v>
      </c>
      <c r="DP248" s="281"/>
      <c r="DQ248" s="355">
        <f>DQ250/DQ249</f>
        <v>2.0379305974652993</v>
      </c>
      <c r="DR248" s="281"/>
      <c r="DS248" s="355">
        <f>DS250/DS249</f>
        <v>2.7423068640646031</v>
      </c>
      <c r="DT248" s="281"/>
      <c r="DU248" s="119"/>
      <c r="DV248" s="119"/>
      <c r="DW248" s="119"/>
      <c r="DX248" s="119"/>
      <c r="DY248" s="119"/>
      <c r="DZ248" s="119"/>
      <c r="EA248" s="119"/>
      <c r="EB248" s="119"/>
      <c r="EC248" s="119"/>
      <c r="ED248" s="119"/>
      <c r="EE248" s="119"/>
      <c r="EF248" s="119"/>
      <c r="EG248" s="119"/>
      <c r="EH248" s="119"/>
      <c r="EI248" s="119"/>
      <c r="EJ248" s="119"/>
      <c r="EK248" s="119"/>
      <c r="EL248" s="119"/>
      <c r="EM248" s="119"/>
      <c r="EN248" s="355">
        <f>EN250/EN249</f>
        <v>2.894166420482521</v>
      </c>
      <c r="EO248" s="281"/>
      <c r="EP248" s="355">
        <f>EP250/EP249</f>
        <v>2.6267851719517643</v>
      </c>
      <c r="EQ248" s="281"/>
      <c r="ER248" s="355">
        <f>ER250/ER249</f>
        <v>3.1633635894791134</v>
      </c>
      <c r="ES248" s="281"/>
      <c r="ET248" s="355">
        <f>ET250/ET249</f>
        <v>1.8553424077434968</v>
      </c>
      <c r="EU248" s="281"/>
      <c r="EV248" s="355">
        <f>EV250/EV249</f>
        <v>1.6125756254303421</v>
      </c>
      <c r="EW248" s="281"/>
      <c r="EX248" s="355">
        <f>EX250/EX249</f>
        <v>2.4176392927308452</v>
      </c>
      <c r="EY248" s="281"/>
      <c r="EZ248" s="355">
        <f>EZ250/EZ249</f>
        <v>2.3673750000000005</v>
      </c>
      <c r="FA248" s="281"/>
      <c r="FB248" s="355">
        <f>FB250/FB249</f>
        <v>2.3360747462919593</v>
      </c>
      <c r="FC248" s="281"/>
      <c r="FD248" s="355">
        <f>FD250/FD249</f>
        <v>2.689600407055631</v>
      </c>
      <c r="FE248" s="281"/>
      <c r="FF248" s="355">
        <f>FF250/FF249</f>
        <v>2.644787784217566</v>
      </c>
      <c r="FG248" s="281"/>
      <c r="FH248" s="355">
        <f>FH250/FH249</f>
        <v>2.0938726950354614</v>
      </c>
      <c r="FI248" s="281"/>
      <c r="FJ248" s="355">
        <f>FJ250/FJ249</f>
        <v>2.1690153805215537</v>
      </c>
      <c r="FK248" s="281"/>
      <c r="FL248" s="355">
        <f>FL250/FL249</f>
        <v>2.9779513306091081</v>
      </c>
      <c r="FM248" s="281"/>
      <c r="FN248" s="355">
        <f>FN250/FN249</f>
        <v>4.1429736610649908</v>
      </c>
      <c r="FO248" s="281"/>
      <c r="FP248" s="355">
        <f>FP250/FP249</f>
        <v>2.2811442953020138</v>
      </c>
      <c r="FQ248" s="281"/>
      <c r="FR248" s="119"/>
      <c r="FS248" s="119"/>
      <c r="FT248" s="119"/>
      <c r="FU248" s="119"/>
      <c r="FV248" s="119"/>
      <c r="FW248" s="119"/>
      <c r="FX248" s="231"/>
      <c r="FY248" s="231"/>
      <c r="FZ248" s="231"/>
      <c r="GA248" s="231"/>
      <c r="GB248" s="231"/>
      <c r="GC248" s="231"/>
      <c r="GD248" s="231"/>
      <c r="GE248" s="231"/>
      <c r="GF248" s="265"/>
      <c r="GG248" s="265"/>
    </row>
    <row r="249" spans="1:189" ht="15" customHeight="1" outlineLevel="1" x14ac:dyDescent="0.3">
      <c r="A249" s="1"/>
      <c r="B249" s="286"/>
      <c r="C249" s="301"/>
      <c r="D249" s="301"/>
      <c r="E249" s="301"/>
      <c r="F249" s="301"/>
      <c r="G249" s="5" t="s">
        <v>195</v>
      </c>
      <c r="H249" s="5"/>
      <c r="I249" s="284">
        <f>I400</f>
        <v>17684</v>
      </c>
      <c r="J249" s="281"/>
      <c r="K249" s="284">
        <f>K400</f>
        <v>500</v>
      </c>
      <c r="L249" s="281"/>
      <c r="M249" s="284">
        <f>M400</f>
        <v>758</v>
      </c>
      <c r="N249" s="281"/>
      <c r="O249" s="284">
        <f>O400</f>
        <v>1366</v>
      </c>
      <c r="P249" s="281"/>
      <c r="Q249" s="284">
        <f>Q400</f>
        <v>1705</v>
      </c>
      <c r="R249" s="281"/>
      <c r="S249" s="284">
        <f>S400</f>
        <v>4265</v>
      </c>
      <c r="T249" s="281"/>
      <c r="U249" s="284">
        <f>U400</f>
        <v>2334</v>
      </c>
      <c r="V249" s="281"/>
      <c r="W249" s="284">
        <f>W400</f>
        <v>2363</v>
      </c>
      <c r="X249" s="281"/>
      <c r="Y249" s="284">
        <f>Y400</f>
        <v>1962</v>
      </c>
      <c r="Z249" s="281"/>
      <c r="AA249" s="284">
        <f>AA400</f>
        <v>1397</v>
      </c>
      <c r="AB249" s="281"/>
      <c r="AC249" s="284">
        <f>AC400</f>
        <v>1281</v>
      </c>
      <c r="AD249" s="281"/>
      <c r="AE249" s="284">
        <f>AE400</f>
        <v>799</v>
      </c>
      <c r="AF249" s="281"/>
      <c r="AG249" s="284">
        <f>AG400</f>
        <v>659</v>
      </c>
      <c r="AH249" s="281"/>
      <c r="AI249" s="284">
        <f>AI400</f>
        <v>448</v>
      </c>
      <c r="AJ249" s="281"/>
      <c r="AK249" s="284">
        <f>AK400</f>
        <v>569</v>
      </c>
      <c r="AL249" s="281"/>
      <c r="AM249" s="284">
        <f>AM400</f>
        <v>364</v>
      </c>
      <c r="AN249" s="281"/>
      <c r="AO249" s="284">
        <f>AO400</f>
        <v>57</v>
      </c>
      <c r="AP249" s="281"/>
      <c r="AQ249" s="284">
        <f>AQ400</f>
        <v>55</v>
      </c>
      <c r="AR249" s="281"/>
      <c r="AS249" s="284">
        <f>AS400</f>
        <v>1459</v>
      </c>
      <c r="AT249" s="281"/>
      <c r="AU249" s="284">
        <f>AU400</f>
        <v>1830</v>
      </c>
      <c r="AV249" s="281"/>
      <c r="AW249" s="284">
        <f>AW400</f>
        <v>2304</v>
      </c>
      <c r="AX249" s="281"/>
      <c r="AY249" s="284">
        <f>AY400</f>
        <v>2478</v>
      </c>
      <c r="AZ249" s="281"/>
      <c r="BA249" s="284">
        <f>BA400</f>
        <v>1956</v>
      </c>
      <c r="BB249" s="281"/>
      <c r="BC249" s="284">
        <f>BC400</f>
        <v>2094</v>
      </c>
      <c r="BD249" s="281"/>
      <c r="BE249" s="284">
        <f>BE400</f>
        <v>1710</v>
      </c>
      <c r="BF249" s="281"/>
      <c r="BG249" s="284">
        <f>BG400</f>
        <v>1081</v>
      </c>
      <c r="BH249" s="281"/>
      <c r="BI249" s="284">
        <f>BI400</f>
        <v>1255</v>
      </c>
      <c r="BJ249" s="281"/>
      <c r="BK249" s="284">
        <f>BK400</f>
        <v>1324</v>
      </c>
      <c r="BL249" s="281"/>
      <c r="BM249" s="284">
        <f>BM400</f>
        <v>1073</v>
      </c>
      <c r="BN249" s="281"/>
      <c r="BO249" s="284">
        <f>BO400</f>
        <v>1710</v>
      </c>
      <c r="BP249" s="281"/>
      <c r="BQ249" s="284">
        <f>BQ400</f>
        <v>1548</v>
      </c>
      <c r="BR249" s="281"/>
      <c r="BS249" s="284">
        <f>BS400</f>
        <v>2829</v>
      </c>
      <c r="BT249" s="281"/>
      <c r="BU249" s="284">
        <f>BU400</f>
        <v>3011</v>
      </c>
      <c r="BV249" s="281"/>
      <c r="BW249" s="284">
        <f>BW400</f>
        <v>3488</v>
      </c>
      <c r="BX249" s="281"/>
      <c r="BY249" s="284">
        <f>BY400</f>
        <v>3196</v>
      </c>
      <c r="BZ249" s="281"/>
      <c r="CA249" s="284">
        <f>CA400</f>
        <v>4182</v>
      </c>
      <c r="CB249" s="281"/>
      <c r="CC249" s="284">
        <f>CC400</f>
        <v>3834</v>
      </c>
      <c r="CD249" s="281"/>
      <c r="CE249" s="284">
        <f>CE400</f>
        <v>4027</v>
      </c>
      <c r="CF249" s="281"/>
      <c r="CG249" s="284">
        <f>CG400</f>
        <v>3158</v>
      </c>
      <c r="CH249" s="281"/>
      <c r="CI249" s="284">
        <f>CI400</f>
        <v>1898</v>
      </c>
      <c r="CJ249" s="281"/>
      <c r="CK249" s="284">
        <f>CK400</f>
        <v>1056</v>
      </c>
      <c r="CL249" s="281"/>
      <c r="CM249" s="284">
        <f>CM400</f>
        <v>961</v>
      </c>
      <c r="CN249" s="281"/>
      <c r="CO249" s="284">
        <f>CO400</f>
        <v>810</v>
      </c>
      <c r="CP249" s="281"/>
      <c r="CQ249" s="284">
        <f>CQ400</f>
        <v>1296</v>
      </c>
      <c r="CR249" s="281"/>
      <c r="CS249" s="284">
        <f>CS400</f>
        <v>1630</v>
      </c>
      <c r="CT249" s="281"/>
      <c r="CU249" s="284">
        <f>CU400</f>
        <v>1692</v>
      </c>
      <c r="CV249" s="281"/>
      <c r="CW249" s="284">
        <f>CW400</f>
        <v>2348</v>
      </c>
      <c r="CX249" s="281"/>
      <c r="CY249" s="284">
        <f>CY400</f>
        <v>1793</v>
      </c>
      <c r="CZ249" s="281"/>
      <c r="DA249" s="284">
        <f>DA400</f>
        <v>1447</v>
      </c>
      <c r="DB249" s="281"/>
      <c r="DC249" s="284">
        <f>DC400</f>
        <v>2857</v>
      </c>
      <c r="DD249" s="281"/>
      <c r="DE249" s="284">
        <f>DE400</f>
        <v>3178</v>
      </c>
      <c r="DF249" s="281"/>
      <c r="DG249" s="284">
        <f>DG400</f>
        <v>3512</v>
      </c>
      <c r="DH249" s="281"/>
      <c r="DI249" s="284">
        <f>DI400</f>
        <v>3082</v>
      </c>
      <c r="DJ249" s="281"/>
      <c r="DK249" s="284">
        <f>DK400</f>
        <v>3168</v>
      </c>
      <c r="DL249" s="281"/>
      <c r="DM249" s="284">
        <f>DM400</f>
        <v>5299</v>
      </c>
      <c r="DN249" s="281"/>
      <c r="DO249" s="284">
        <f>DO400</f>
        <v>3703</v>
      </c>
      <c r="DP249" s="281"/>
      <c r="DQ249" s="284">
        <f>DQ400</f>
        <v>3314</v>
      </c>
      <c r="DR249" s="281"/>
      <c r="DS249" s="284">
        <f>DS400</f>
        <v>2229</v>
      </c>
      <c r="DT249" s="281"/>
      <c r="DU249" s="119"/>
      <c r="DV249" s="119"/>
      <c r="DW249" s="119"/>
      <c r="DX249" s="119"/>
      <c r="DY249" s="119"/>
      <c r="DZ249" s="119"/>
      <c r="EA249" s="119"/>
      <c r="EB249" s="119"/>
      <c r="EC249" s="119"/>
      <c r="ED249" s="119"/>
      <c r="EE249" s="119" t="s">
        <v>29</v>
      </c>
      <c r="EF249" s="119" t="s">
        <v>29</v>
      </c>
      <c r="EG249" s="119" t="s">
        <v>29</v>
      </c>
      <c r="EH249" s="119"/>
      <c r="EI249" s="119"/>
      <c r="EJ249" s="119"/>
      <c r="EK249" s="119"/>
      <c r="EL249" s="119"/>
      <c r="EM249" s="119"/>
      <c r="EN249" s="284">
        <f>EN400</f>
        <v>2031</v>
      </c>
      <c r="EO249" s="281"/>
      <c r="EP249" s="284">
        <f>EP400</f>
        <v>2239</v>
      </c>
      <c r="EQ249" s="281"/>
      <c r="ER249" s="284">
        <f>ER400</f>
        <v>1939</v>
      </c>
      <c r="ES249" s="281"/>
      <c r="ET249" s="284">
        <f>ET400</f>
        <v>3306</v>
      </c>
      <c r="EU249" s="281"/>
      <c r="EV249" s="284">
        <f>EV400</f>
        <v>4357</v>
      </c>
      <c r="EW249" s="281"/>
      <c r="EX249" s="284">
        <f>EX400</f>
        <v>2545</v>
      </c>
      <c r="EY249" s="281"/>
      <c r="EZ249" s="284">
        <f>EZ400</f>
        <v>2552</v>
      </c>
      <c r="FA249" s="281"/>
      <c r="FB249" s="284">
        <f>FB400</f>
        <v>2562</v>
      </c>
      <c r="FC249" s="281"/>
      <c r="FD249" s="284">
        <f>FD400</f>
        <v>2211</v>
      </c>
      <c r="FE249" s="281"/>
      <c r="FF249" s="284">
        <f>FF400</f>
        <v>2243</v>
      </c>
      <c r="FG249" s="281"/>
      <c r="FH249" s="284">
        <f>FH400</f>
        <v>2820</v>
      </c>
      <c r="FI249" s="281"/>
      <c r="FJ249" s="284">
        <f>FJ400</f>
        <v>1879</v>
      </c>
      <c r="FK249" s="281"/>
      <c r="FL249" s="284">
        <f>FL400</f>
        <v>1359</v>
      </c>
      <c r="FM249" s="281"/>
      <c r="FN249" s="284">
        <f>FN400</f>
        <v>795</v>
      </c>
      <c r="FO249" s="281"/>
      <c r="FP249" s="284">
        <f>FP400</f>
        <v>298</v>
      </c>
      <c r="FQ249" s="281"/>
      <c r="FR249" s="119"/>
      <c r="FS249" s="119"/>
      <c r="FT249" s="119"/>
      <c r="FU249" s="119"/>
      <c r="FV249" s="119"/>
      <c r="FW249" s="119"/>
      <c r="FX249" s="231"/>
      <c r="FY249" s="231"/>
      <c r="FZ249" s="231"/>
      <c r="GA249" s="231"/>
      <c r="GB249" s="231"/>
      <c r="GC249" s="231"/>
      <c r="GD249" s="231"/>
      <c r="GE249" s="231"/>
      <c r="GF249" s="265"/>
      <c r="GG249" s="265"/>
    </row>
    <row r="250" spans="1:189" ht="15" customHeight="1" outlineLevel="1" x14ac:dyDescent="0.3">
      <c r="A250" s="1"/>
      <c r="B250" s="286"/>
      <c r="C250" s="301"/>
      <c r="D250" s="301"/>
      <c r="E250" s="301"/>
      <c r="F250" s="301"/>
      <c r="G250" s="5" t="s">
        <v>196</v>
      </c>
      <c r="H250" s="5"/>
      <c r="I250" s="338">
        <f>SUM(I251:J252)</f>
        <v>31021.768000000004</v>
      </c>
      <c r="J250" s="281"/>
      <c r="K250" s="338">
        <f>SUM(K251:L252)</f>
        <v>3014.4980000000005</v>
      </c>
      <c r="L250" s="281"/>
      <c r="M250" s="338">
        <f>SUM(M251:N252)</f>
        <v>3171.4650000000001</v>
      </c>
      <c r="N250" s="281"/>
      <c r="O250" s="338">
        <f>SUM(O251:P252)</f>
        <v>3210.7049999999999</v>
      </c>
      <c r="P250" s="281"/>
      <c r="Q250" s="338">
        <f>SUM(Q251:R252)</f>
        <v>2269.0500000000002</v>
      </c>
      <c r="R250" s="281"/>
      <c r="S250" s="338">
        <f>SUM(S251:T252)</f>
        <v>2221.5500000000002</v>
      </c>
      <c r="T250" s="281"/>
      <c r="U250" s="338">
        <f>SUM(U251:V252)</f>
        <v>2222.5</v>
      </c>
      <c r="V250" s="281"/>
      <c r="W250" s="338">
        <f>SUM(W251:X252)</f>
        <v>2006.8500000000001</v>
      </c>
      <c r="X250" s="281"/>
      <c r="Y250" s="338">
        <f>SUM(Y251:Z252)</f>
        <v>2531.75</v>
      </c>
      <c r="Z250" s="281"/>
      <c r="AA250" s="338">
        <f>SUM(AA251:AB252)</f>
        <v>2601.3000000000002</v>
      </c>
      <c r="AB250" s="281"/>
      <c r="AC250" s="338">
        <f>SUM(AC251:AD252)</f>
        <v>2349.25</v>
      </c>
      <c r="AD250" s="281"/>
      <c r="AE250" s="338">
        <f>SUM(AE251:AF252)</f>
        <v>2728.7000000000003</v>
      </c>
      <c r="AF250" s="281"/>
      <c r="AG250" s="338">
        <f>SUM(AG251:AH252)</f>
        <v>2694.15</v>
      </c>
      <c r="AH250" s="281"/>
      <c r="AI250" s="338">
        <f>SUM(AI251:AJ252)</f>
        <v>2295.75</v>
      </c>
      <c r="AJ250" s="281"/>
      <c r="AK250" s="338">
        <f>SUM(AK251:AL252)</f>
        <v>1964.8000000000002</v>
      </c>
      <c r="AL250" s="281"/>
      <c r="AM250" s="338">
        <f>SUM(AM251:AN252)</f>
        <v>2195.5500000000002</v>
      </c>
      <c r="AN250" s="281"/>
      <c r="AO250" s="338">
        <f>SUM(AO251:AP252)</f>
        <v>1918.15</v>
      </c>
      <c r="AP250" s="281"/>
      <c r="AQ250" s="338">
        <f>SUM(AQ251:AR252)</f>
        <v>2286.4499999999998</v>
      </c>
      <c r="AR250" s="281"/>
      <c r="AS250" s="338">
        <f>SUM(AS251:AT252)</f>
        <v>2186.4300000000003</v>
      </c>
      <c r="AT250" s="281"/>
      <c r="AU250" s="338">
        <f>SUM(AU251:AV252)</f>
        <v>2660.2700000000004</v>
      </c>
      <c r="AV250" s="281"/>
      <c r="AW250" s="338">
        <f>SUM(AW251:AX252)</f>
        <v>3956.29</v>
      </c>
      <c r="AX250" s="281"/>
      <c r="AY250" s="338">
        <f>SUM(AY251:AZ252)</f>
        <v>3599.4</v>
      </c>
      <c r="AZ250" s="281"/>
      <c r="BA250" s="338">
        <f>SUM(BA251:BB252)</f>
        <v>4157.2000000000007</v>
      </c>
      <c r="BB250" s="281"/>
      <c r="BC250" s="338">
        <f>SUM(BC251:BD252)</f>
        <v>5506.04</v>
      </c>
      <c r="BD250" s="281"/>
      <c r="BE250" s="338">
        <f>SUM(BE251:BF252)</f>
        <v>4550.08</v>
      </c>
      <c r="BF250" s="281"/>
      <c r="BG250" s="338">
        <f>SUM(BG251:BH252)</f>
        <v>4239.1000000000004</v>
      </c>
      <c r="BH250" s="281"/>
      <c r="BI250" s="338">
        <f>SUM(BI251:BJ252)</f>
        <v>4767.1000000000004</v>
      </c>
      <c r="BJ250" s="281"/>
      <c r="BK250" s="338">
        <f>SUM(BK251:BL252)</f>
        <v>5297.1</v>
      </c>
      <c r="BL250" s="281"/>
      <c r="BM250" s="338">
        <f>SUM(BM251:BN252)</f>
        <v>4566.1000000000004</v>
      </c>
      <c r="BN250" s="281"/>
      <c r="BO250" s="338">
        <f>SUM(BO251:BP252)</f>
        <v>4925.3999999999996</v>
      </c>
      <c r="BP250" s="281"/>
      <c r="BQ250" s="338">
        <f>SUM(BQ251:BR252)</f>
        <v>5278</v>
      </c>
      <c r="BR250" s="281"/>
      <c r="BS250" s="338">
        <f>SUM(BS251:BT252)</f>
        <v>5977.1</v>
      </c>
      <c r="BT250" s="281"/>
      <c r="BU250" s="338">
        <f>SUM(BU251:BV252)</f>
        <v>5016.2000000000007</v>
      </c>
      <c r="BV250" s="281"/>
      <c r="BW250" s="338">
        <f>SUM(BW251:BX252)</f>
        <v>5013.1000000000004</v>
      </c>
      <c r="BX250" s="281"/>
      <c r="BY250" s="338">
        <f>SUM(BY251:BZ252)</f>
        <v>5579.6</v>
      </c>
      <c r="BZ250" s="281"/>
      <c r="CA250" s="338">
        <f>SUM(CA251:CB252)</f>
        <v>7144.7000000000007</v>
      </c>
      <c r="CB250" s="281"/>
      <c r="CC250" s="338">
        <f>SUM(CC251:CD252)</f>
        <v>5788.7000000000007</v>
      </c>
      <c r="CD250" s="281"/>
      <c r="CE250" s="338">
        <f>SUM(CE251:CF252)</f>
        <v>5863.5</v>
      </c>
      <c r="CF250" s="281"/>
      <c r="CG250" s="338">
        <f>SUM(CG251:CH252)</f>
        <v>6620</v>
      </c>
      <c r="CH250" s="281"/>
      <c r="CI250" s="338">
        <f>SUM(CI251:CJ252)</f>
        <v>5843.5</v>
      </c>
      <c r="CJ250" s="281"/>
      <c r="CK250" s="338">
        <f>SUM(CK251:CL252)</f>
        <v>5160.1000000000004</v>
      </c>
      <c r="CL250" s="281"/>
      <c r="CM250" s="338">
        <f>SUM(CM251:CN252)</f>
        <v>5892</v>
      </c>
      <c r="CN250" s="281"/>
      <c r="CO250" s="338">
        <f>SUM(CO251:CP252)</f>
        <v>4839.76</v>
      </c>
      <c r="CP250" s="281"/>
      <c r="CQ250" s="338">
        <f>SUM(CQ251:CR252)</f>
        <v>4138</v>
      </c>
      <c r="CR250" s="281"/>
      <c r="CS250" s="338">
        <f>SUM(CS251:CT252)</f>
        <v>4158.2000000000007</v>
      </c>
      <c r="CT250" s="281"/>
      <c r="CU250" s="338">
        <f>SUM(CU251:CV252)</f>
        <v>4248.3</v>
      </c>
      <c r="CV250" s="281"/>
      <c r="CW250" s="338">
        <f>SUM(CW251:CX252)</f>
        <v>6388.5</v>
      </c>
      <c r="CX250" s="281"/>
      <c r="CY250" s="338">
        <f>SUM(CY251:CZ252)</f>
        <v>5885</v>
      </c>
      <c r="CZ250" s="281"/>
      <c r="DA250" s="338">
        <f>SUM(DA251:DB252)</f>
        <v>5280.56</v>
      </c>
      <c r="DB250" s="281"/>
      <c r="DC250" s="338">
        <f>SUM(DC251:DD252)</f>
        <v>5888.3452000000007</v>
      </c>
      <c r="DD250" s="281"/>
      <c r="DE250" s="338">
        <f>SUM(DE251:DF252)</f>
        <v>5413.7200000000012</v>
      </c>
      <c r="DF250" s="281"/>
      <c r="DG250" s="338">
        <f>SUM(DG251:DH252)</f>
        <v>5891.8720000000003</v>
      </c>
      <c r="DH250" s="281"/>
      <c r="DI250" s="338">
        <f>SUM(DI251:DJ252)</f>
        <v>6534.9306800000004</v>
      </c>
      <c r="DJ250" s="281"/>
      <c r="DK250" s="338">
        <f>SUM(DK251:DL252)</f>
        <v>7306.0961400000015</v>
      </c>
      <c r="DL250" s="281"/>
      <c r="DM250" s="338">
        <f>SUM(DM251:DN252)</f>
        <v>6345.56934</v>
      </c>
      <c r="DN250" s="281"/>
      <c r="DO250" s="338">
        <f>SUM(DO251:DP252)</f>
        <v>6740.2820000000011</v>
      </c>
      <c r="DP250" s="281"/>
      <c r="DQ250" s="338">
        <f>SUM(DQ251:DR252)</f>
        <v>6753.7020000000011</v>
      </c>
      <c r="DR250" s="281"/>
      <c r="DS250" s="338">
        <f>SUM(DS251:DT252)</f>
        <v>6112.6020000000008</v>
      </c>
      <c r="DT250" s="281"/>
      <c r="DU250" s="119"/>
      <c r="DV250" s="119"/>
      <c r="DW250" s="119"/>
      <c r="DX250" s="119"/>
      <c r="DY250" s="111" t="s">
        <v>29</v>
      </c>
      <c r="DZ250" s="111" t="s">
        <v>29</v>
      </c>
      <c r="EA250" s="111" t="s">
        <v>29</v>
      </c>
      <c r="EB250" s="111" t="s">
        <v>29</v>
      </c>
      <c r="EC250" s="111"/>
      <c r="ED250" s="111"/>
      <c r="EE250" s="111"/>
      <c r="EF250" s="111"/>
      <c r="EG250" s="111"/>
      <c r="EH250" s="111"/>
      <c r="EI250" s="111"/>
      <c r="EJ250" s="111"/>
      <c r="EK250" s="111"/>
      <c r="EL250" s="111"/>
      <c r="EM250" s="111"/>
      <c r="EN250" s="338">
        <f>SUM(EN251:EO252)</f>
        <v>5878.0520000000006</v>
      </c>
      <c r="EO250" s="281"/>
      <c r="EP250" s="338">
        <f>SUM(EP251:EQ252)</f>
        <v>5881.3720000000003</v>
      </c>
      <c r="EQ250" s="281"/>
      <c r="ER250" s="338">
        <f>SUM(ER251:ES252)</f>
        <v>6133.7620000000006</v>
      </c>
      <c r="ES250" s="281"/>
      <c r="ET250" s="338">
        <f>SUM(ET251:EU252)</f>
        <v>6133.7620000000006</v>
      </c>
      <c r="EU250" s="281"/>
      <c r="EV250" s="338">
        <f>SUM(EV251:EW252)</f>
        <v>7025.9920000000002</v>
      </c>
      <c r="EW250" s="281"/>
      <c r="EX250" s="338">
        <f>SUM(EX251:EY252)</f>
        <v>6152.8920000000007</v>
      </c>
      <c r="EY250" s="281"/>
      <c r="EZ250" s="338">
        <f>SUM(EZ251:FA252)</f>
        <v>6041.5410000000011</v>
      </c>
      <c r="FA250" s="281"/>
      <c r="FB250" s="338">
        <f>SUM(FB251:FC252)</f>
        <v>5985.0235000000002</v>
      </c>
      <c r="FC250" s="281"/>
      <c r="FD250" s="338">
        <f>SUM(FD251:FE252)</f>
        <v>5946.7065000000002</v>
      </c>
      <c r="FE250" s="281"/>
      <c r="FF250" s="338">
        <f>SUM(FF251:FG252)</f>
        <v>5932.2590000000009</v>
      </c>
      <c r="FG250" s="281"/>
      <c r="FH250" s="338">
        <f>SUM(FH251:FI252)</f>
        <v>5904.7210000000005</v>
      </c>
      <c r="FI250" s="281"/>
      <c r="FJ250" s="338">
        <f>SUM(FJ251:FK252)</f>
        <v>4075.5798999999997</v>
      </c>
      <c r="FK250" s="281"/>
      <c r="FL250" s="338">
        <f>SUM(FL251:FM252)</f>
        <v>4047.0358582977778</v>
      </c>
      <c r="FM250" s="281"/>
      <c r="FN250" s="338">
        <f>SUM(FN251:FO252)</f>
        <v>3293.6640605466673</v>
      </c>
      <c r="FO250" s="281"/>
      <c r="FP250" s="338">
        <f>SUM(FP251:FQ252)</f>
        <v>679.78100000000006</v>
      </c>
      <c r="FQ250" s="281"/>
      <c r="FR250" s="111"/>
      <c r="FS250" s="111"/>
      <c r="FT250" s="111"/>
      <c r="FU250" s="111"/>
      <c r="FV250" s="111"/>
      <c r="FW250" s="111"/>
      <c r="FX250" s="230"/>
      <c r="FY250" s="230"/>
      <c r="FZ250" s="230"/>
      <c r="GA250" s="230"/>
      <c r="GB250" s="230"/>
      <c r="GC250" s="230"/>
      <c r="GD250" s="230"/>
      <c r="GE250" s="230"/>
      <c r="GF250" s="266"/>
      <c r="GG250" s="266"/>
    </row>
    <row r="251" spans="1:189" ht="15" customHeight="1" outlineLevel="2" x14ac:dyDescent="0.3">
      <c r="A251" s="1"/>
      <c r="B251" s="286"/>
      <c r="C251" s="301"/>
      <c r="D251" s="301"/>
      <c r="E251" s="301"/>
      <c r="F251" s="301"/>
      <c r="G251" s="120" t="s">
        <v>383</v>
      </c>
      <c r="H251" s="5"/>
      <c r="I251" s="338">
        <f>SUM(K251:AH251)</f>
        <v>8613.9</v>
      </c>
      <c r="J251" s="281"/>
      <c r="K251" s="338">
        <v>835.65</v>
      </c>
      <c r="L251" s="281"/>
      <c r="M251" s="338">
        <v>835.65</v>
      </c>
      <c r="N251" s="281"/>
      <c r="O251" s="338">
        <v>835.65</v>
      </c>
      <c r="P251" s="281"/>
      <c r="Q251" s="338">
        <v>835.65</v>
      </c>
      <c r="R251" s="281"/>
      <c r="S251" s="338">
        <v>835.65</v>
      </c>
      <c r="T251" s="281"/>
      <c r="U251" s="338">
        <f>S251</f>
        <v>835.65</v>
      </c>
      <c r="V251" s="281"/>
      <c r="W251" s="338">
        <v>600</v>
      </c>
      <c r="X251" s="281"/>
      <c r="Y251" s="338">
        <v>600</v>
      </c>
      <c r="Z251" s="281"/>
      <c r="AA251" s="338">
        <v>600</v>
      </c>
      <c r="AB251" s="281"/>
      <c r="AC251" s="338">
        <v>600</v>
      </c>
      <c r="AD251" s="281"/>
      <c r="AE251" s="338">
        <v>600</v>
      </c>
      <c r="AF251" s="281"/>
      <c r="AG251" s="338">
        <v>600</v>
      </c>
      <c r="AH251" s="281"/>
      <c r="AI251" s="338">
        <v>600</v>
      </c>
      <c r="AJ251" s="281"/>
      <c r="AK251" s="338">
        <v>600</v>
      </c>
      <c r="AL251" s="281"/>
      <c r="AM251" s="338">
        <v>600</v>
      </c>
      <c r="AN251" s="281"/>
      <c r="AO251" s="338">
        <v>600</v>
      </c>
      <c r="AP251" s="281"/>
      <c r="AQ251" s="338">
        <f>AO251</f>
        <v>600</v>
      </c>
      <c r="AR251" s="281"/>
      <c r="AS251" s="338">
        <f>AS89</f>
        <v>542.38</v>
      </c>
      <c r="AT251" s="281"/>
      <c r="AU251" s="338">
        <f>AU89</f>
        <v>572.47</v>
      </c>
      <c r="AV251" s="281"/>
      <c r="AW251" s="338">
        <f>AW89</f>
        <v>411.79</v>
      </c>
      <c r="AX251" s="281"/>
      <c r="AY251" s="338">
        <f>AY89</f>
        <v>370</v>
      </c>
      <c r="AZ251" s="281"/>
      <c r="BA251" s="338">
        <f>BA89</f>
        <v>364</v>
      </c>
      <c r="BB251" s="281"/>
      <c r="BC251" s="338">
        <f>BC89</f>
        <v>401.04</v>
      </c>
      <c r="BD251" s="281"/>
      <c r="BE251" s="338">
        <f>BE89</f>
        <v>319.58</v>
      </c>
      <c r="BF251" s="281"/>
      <c r="BG251" s="338">
        <f>BG89</f>
        <v>962.5</v>
      </c>
      <c r="BH251" s="281"/>
      <c r="BI251" s="338">
        <f>BI89</f>
        <v>1196</v>
      </c>
      <c r="BJ251" s="281"/>
      <c r="BK251" s="338">
        <f>BK89</f>
        <v>1090</v>
      </c>
      <c r="BL251" s="281"/>
      <c r="BM251" s="338">
        <f>BM89</f>
        <v>963</v>
      </c>
      <c r="BN251" s="281"/>
      <c r="BO251" s="338">
        <f>BO89</f>
        <v>1131</v>
      </c>
      <c r="BP251" s="281"/>
      <c r="BQ251" s="338">
        <f>BQ89</f>
        <v>1251</v>
      </c>
      <c r="BR251" s="281"/>
      <c r="BS251" s="338">
        <f>BS89</f>
        <v>1371</v>
      </c>
      <c r="BT251" s="281"/>
      <c r="BU251" s="338">
        <f>BU89</f>
        <v>1331</v>
      </c>
      <c r="BV251" s="281"/>
      <c r="BW251" s="338">
        <f>BW89</f>
        <v>1377</v>
      </c>
      <c r="BX251" s="281"/>
      <c r="BY251" s="338">
        <f>BY89</f>
        <v>1677</v>
      </c>
      <c r="BZ251" s="281"/>
      <c r="CA251" s="338">
        <f>CA89</f>
        <v>2066</v>
      </c>
      <c r="CB251" s="281"/>
      <c r="CC251" s="338">
        <f>CC89</f>
        <v>2066</v>
      </c>
      <c r="CD251" s="281"/>
      <c r="CE251" s="338">
        <f>CE89</f>
        <v>2347</v>
      </c>
      <c r="CF251" s="281"/>
      <c r="CG251" s="338">
        <f>CG89</f>
        <v>2899</v>
      </c>
      <c r="CH251" s="281"/>
      <c r="CI251" s="338">
        <f>CI89</f>
        <v>1837</v>
      </c>
      <c r="CJ251" s="281"/>
      <c r="CK251" s="338">
        <f>CK89</f>
        <v>1389</v>
      </c>
      <c r="CL251" s="281"/>
      <c r="CM251" s="338">
        <f>CM89</f>
        <v>2263</v>
      </c>
      <c r="CN251" s="281"/>
      <c r="CO251" s="338">
        <f>CO89</f>
        <v>1363.76</v>
      </c>
      <c r="CP251" s="281"/>
      <c r="CQ251" s="338">
        <f>CQ89</f>
        <v>650</v>
      </c>
      <c r="CR251" s="281"/>
      <c r="CS251" s="338">
        <f>CS89</f>
        <v>650</v>
      </c>
      <c r="CT251" s="281"/>
      <c r="CU251" s="338">
        <f>CU89</f>
        <v>650</v>
      </c>
      <c r="CV251" s="281"/>
      <c r="CW251" s="338">
        <f>CW89</f>
        <v>2285</v>
      </c>
      <c r="CX251" s="281"/>
      <c r="CY251" s="338">
        <f>CY89</f>
        <v>1987</v>
      </c>
      <c r="CZ251" s="281"/>
      <c r="DA251" s="338">
        <f>DA89</f>
        <v>1709.76</v>
      </c>
      <c r="DB251" s="281"/>
      <c r="DC251" s="338">
        <f>DC89</f>
        <v>1518</v>
      </c>
      <c r="DD251" s="281"/>
      <c r="DE251" s="338">
        <f>DE89</f>
        <v>1742</v>
      </c>
      <c r="DF251" s="281"/>
      <c r="DG251" s="338">
        <f>DG89</f>
        <v>1912</v>
      </c>
      <c r="DH251" s="281"/>
      <c r="DI251" s="338">
        <f>DI89</f>
        <v>1773</v>
      </c>
      <c r="DJ251" s="281"/>
      <c r="DK251" s="338">
        <f>DK89</f>
        <v>2640.1</v>
      </c>
      <c r="DL251" s="281"/>
      <c r="DM251" s="338">
        <f>DM89</f>
        <v>1925.19</v>
      </c>
      <c r="DN251" s="281"/>
      <c r="DO251" s="338">
        <f>DO89</f>
        <v>2493.52</v>
      </c>
      <c r="DP251" s="281"/>
      <c r="DQ251" s="338">
        <f>DQ89</f>
        <v>2506.94</v>
      </c>
      <c r="DR251" s="281"/>
      <c r="DS251" s="338">
        <f>DS89</f>
        <v>1865.84</v>
      </c>
      <c r="DT251" s="281"/>
      <c r="DU251" s="119"/>
      <c r="DV251" s="119"/>
      <c r="DW251" s="119"/>
      <c r="DX251" s="119"/>
      <c r="DY251" s="119"/>
      <c r="DZ251" s="119"/>
      <c r="EA251" s="119"/>
      <c r="EB251" s="119"/>
      <c r="EC251" s="119"/>
      <c r="ED251" s="119"/>
      <c r="EE251" s="119"/>
      <c r="EF251" s="119"/>
      <c r="EG251" s="119"/>
      <c r="EH251" s="119"/>
      <c r="EI251" s="119"/>
      <c r="EJ251" s="119"/>
      <c r="EK251" s="119"/>
      <c r="EL251" s="119"/>
      <c r="EM251" s="119"/>
      <c r="EN251" s="338">
        <f>EN89</f>
        <v>1631.29</v>
      </c>
      <c r="EO251" s="281"/>
      <c r="EP251" s="338">
        <f>EP89</f>
        <v>1634.61</v>
      </c>
      <c r="EQ251" s="281"/>
      <c r="ER251" s="338">
        <f>ER89</f>
        <v>1887</v>
      </c>
      <c r="ES251" s="281"/>
      <c r="ET251" s="338">
        <f>ET89</f>
        <v>1887</v>
      </c>
      <c r="EU251" s="281"/>
      <c r="EV251" s="338">
        <f>EV89</f>
        <v>2779.23</v>
      </c>
      <c r="EW251" s="281"/>
      <c r="EX251" s="338">
        <f>EX89</f>
        <v>1906.13</v>
      </c>
      <c r="EY251" s="281"/>
      <c r="EZ251" s="338">
        <f>EZ89</f>
        <v>1794.7790000000002</v>
      </c>
      <c r="FA251" s="281"/>
      <c r="FB251" s="338">
        <f>FB89</f>
        <v>1738.2614999999998</v>
      </c>
      <c r="FC251" s="281"/>
      <c r="FD251" s="338">
        <f>FD89</f>
        <v>1699.9445000000001</v>
      </c>
      <c r="FE251" s="281"/>
      <c r="FF251" s="338">
        <f>FF89</f>
        <v>1685.4970000000003</v>
      </c>
      <c r="FG251" s="281"/>
      <c r="FH251" s="338">
        <f>FH89</f>
        <v>1657.9590000000001</v>
      </c>
      <c r="FI251" s="281"/>
      <c r="FJ251" s="338">
        <f>FJ89</f>
        <v>1637.0035</v>
      </c>
      <c r="FK251" s="281"/>
      <c r="FL251" s="338">
        <f>FL89</f>
        <v>1634.6310000000001</v>
      </c>
      <c r="FM251" s="281"/>
      <c r="FN251" s="338">
        <f>FN89</f>
        <v>1610.8500000000001</v>
      </c>
      <c r="FO251" s="281"/>
      <c r="FP251" s="338">
        <f>FP89</f>
        <v>679.78100000000006</v>
      </c>
      <c r="FQ251" s="281"/>
      <c r="FR251" s="119"/>
      <c r="FS251" s="119"/>
      <c r="FT251" s="119"/>
      <c r="FU251" s="119"/>
      <c r="FV251" s="119"/>
      <c r="FW251" s="119"/>
      <c r="FX251" s="231"/>
      <c r="FY251" s="231"/>
      <c r="FZ251" s="231"/>
      <c r="GA251" s="231"/>
      <c r="GB251" s="231"/>
      <c r="GC251" s="231"/>
      <c r="GD251" s="231"/>
      <c r="GE251" s="231"/>
      <c r="GF251" s="265"/>
      <c r="GG251" s="265"/>
    </row>
    <row r="252" spans="1:189" ht="15" customHeight="1" outlineLevel="2" x14ac:dyDescent="0.3">
      <c r="A252" s="116"/>
      <c r="B252" s="287"/>
      <c r="C252" s="302"/>
      <c r="D252" s="302"/>
      <c r="E252" s="302"/>
      <c r="F252" s="302"/>
      <c r="G252" s="117" t="s">
        <v>183</v>
      </c>
      <c r="H252" s="33"/>
      <c r="I252" s="338">
        <f>I65*5%</f>
        <v>22407.868000000002</v>
      </c>
      <c r="J252" s="281"/>
      <c r="K252" s="338">
        <f>$K$65*5%</f>
        <v>2178.8480000000004</v>
      </c>
      <c r="L252" s="281"/>
      <c r="M252" s="338">
        <f>M65*5%</f>
        <v>2335.8150000000001</v>
      </c>
      <c r="N252" s="281"/>
      <c r="O252" s="338">
        <f>O65*5%</f>
        <v>2375.0549999999998</v>
      </c>
      <c r="P252" s="281"/>
      <c r="Q252" s="338">
        <f>Q65*5%</f>
        <v>1433.4</v>
      </c>
      <c r="R252" s="281"/>
      <c r="S252" s="338">
        <f>S65*5%</f>
        <v>1385.9</v>
      </c>
      <c r="T252" s="281"/>
      <c r="U252" s="338">
        <f>U65*5%</f>
        <v>1386.8500000000001</v>
      </c>
      <c r="V252" s="281"/>
      <c r="W252" s="338">
        <f>W65*5%</f>
        <v>1406.8500000000001</v>
      </c>
      <c r="X252" s="281"/>
      <c r="Y252" s="338">
        <f>Y65*5%</f>
        <v>1931.75</v>
      </c>
      <c r="Z252" s="281"/>
      <c r="AA252" s="338">
        <f>AA65*5%</f>
        <v>2001.3000000000002</v>
      </c>
      <c r="AB252" s="281"/>
      <c r="AC252" s="338">
        <f>AC65*5%</f>
        <v>1749.25</v>
      </c>
      <c r="AD252" s="281"/>
      <c r="AE252" s="338">
        <f>AE65*5%</f>
        <v>2128.7000000000003</v>
      </c>
      <c r="AF252" s="281"/>
      <c r="AG252" s="338">
        <f>AG65*5%</f>
        <v>2094.15</v>
      </c>
      <c r="AH252" s="281"/>
      <c r="AI252" s="338">
        <f>AI65*5%</f>
        <v>1695.75</v>
      </c>
      <c r="AJ252" s="281"/>
      <c r="AK252" s="338">
        <f>AK65*5%</f>
        <v>1364.8000000000002</v>
      </c>
      <c r="AL252" s="281"/>
      <c r="AM252" s="338">
        <f>AM65*5%</f>
        <v>1595.5500000000002</v>
      </c>
      <c r="AN252" s="281"/>
      <c r="AO252" s="338">
        <f>AO65*5%</f>
        <v>1318.15</v>
      </c>
      <c r="AP252" s="281"/>
      <c r="AQ252" s="338">
        <f>AQ65*5%</f>
        <v>1686.45</v>
      </c>
      <c r="AR252" s="281"/>
      <c r="AS252" s="338">
        <f>AS65*5%</f>
        <v>1644.0500000000002</v>
      </c>
      <c r="AT252" s="281"/>
      <c r="AU252" s="338">
        <f>AU65*5%</f>
        <v>2087.8000000000002</v>
      </c>
      <c r="AV252" s="281"/>
      <c r="AW252" s="338">
        <f>AW65*10%</f>
        <v>3544.5</v>
      </c>
      <c r="AX252" s="281"/>
      <c r="AY252" s="338">
        <f>AY65*10%</f>
        <v>3229.4</v>
      </c>
      <c r="AZ252" s="281"/>
      <c r="BA252" s="338">
        <f>BA65*10%</f>
        <v>3793.2000000000003</v>
      </c>
      <c r="BB252" s="281"/>
      <c r="BC252" s="338">
        <f>BC65*10%</f>
        <v>5105</v>
      </c>
      <c r="BD252" s="281"/>
      <c r="BE252" s="338">
        <f>BE65*10%</f>
        <v>4230.5</v>
      </c>
      <c r="BF252" s="281"/>
      <c r="BG252" s="338">
        <f>BG65*10%</f>
        <v>3276.6000000000004</v>
      </c>
      <c r="BH252" s="281"/>
      <c r="BI252" s="338">
        <f>BI65*10%</f>
        <v>3571.1000000000004</v>
      </c>
      <c r="BJ252" s="281"/>
      <c r="BK252" s="338">
        <f>BK65*10%</f>
        <v>4207.1000000000004</v>
      </c>
      <c r="BL252" s="281"/>
      <c r="BM252" s="338">
        <f>BM65*10%</f>
        <v>3603.1000000000004</v>
      </c>
      <c r="BN252" s="281"/>
      <c r="BO252" s="338">
        <f>BO65*10%</f>
        <v>3794.4</v>
      </c>
      <c r="BP252" s="281"/>
      <c r="BQ252" s="338">
        <f>BQ65*10%</f>
        <v>4027</v>
      </c>
      <c r="BR252" s="281"/>
      <c r="BS252" s="338">
        <f>BS65*10%</f>
        <v>4606.1000000000004</v>
      </c>
      <c r="BT252" s="281"/>
      <c r="BU252" s="338">
        <f>BU65*10%</f>
        <v>3685.2000000000003</v>
      </c>
      <c r="BV252" s="281"/>
      <c r="BW252" s="338">
        <f>BW65*10%</f>
        <v>3636.1000000000004</v>
      </c>
      <c r="BX252" s="281"/>
      <c r="BY252" s="338">
        <f>BY65*10%</f>
        <v>3902.6000000000004</v>
      </c>
      <c r="BZ252" s="281"/>
      <c r="CA252" s="338">
        <f>CA65*10%</f>
        <v>5078.7000000000007</v>
      </c>
      <c r="CB252" s="281"/>
      <c r="CC252" s="338">
        <f>CC65*10%</f>
        <v>3722.7000000000003</v>
      </c>
      <c r="CD252" s="281"/>
      <c r="CE252" s="338">
        <f>CE65*10%</f>
        <v>3516.5</v>
      </c>
      <c r="CF252" s="281"/>
      <c r="CG252" s="338">
        <f>CG65*10%</f>
        <v>3721</v>
      </c>
      <c r="CH252" s="281"/>
      <c r="CI252" s="338">
        <f>CI65*10%</f>
        <v>4006.5</v>
      </c>
      <c r="CJ252" s="281"/>
      <c r="CK252" s="338">
        <f>CK65*10%</f>
        <v>3771.1000000000004</v>
      </c>
      <c r="CL252" s="281"/>
      <c r="CM252" s="338">
        <f>CM65*10%</f>
        <v>3629</v>
      </c>
      <c r="CN252" s="281"/>
      <c r="CO252" s="338">
        <f>CO65*10%</f>
        <v>3476</v>
      </c>
      <c r="CP252" s="281"/>
      <c r="CQ252" s="338">
        <f>CQ65*10%</f>
        <v>3488</v>
      </c>
      <c r="CR252" s="281"/>
      <c r="CS252" s="338">
        <f>CS65*10%</f>
        <v>3508.2000000000003</v>
      </c>
      <c r="CT252" s="281"/>
      <c r="CU252" s="338">
        <f>CU65*10%</f>
        <v>3598.3</v>
      </c>
      <c r="CV252" s="281"/>
      <c r="CW252" s="338">
        <f>CW65*10%</f>
        <v>4103.5</v>
      </c>
      <c r="CX252" s="281"/>
      <c r="CY252" s="338">
        <f>CY65*10%</f>
        <v>3898</v>
      </c>
      <c r="CZ252" s="281"/>
      <c r="DA252" s="338">
        <f>DA65*10%</f>
        <v>3570.8</v>
      </c>
      <c r="DB252" s="281"/>
      <c r="DC252" s="356">
        <f>DC65*10%</f>
        <v>4370.3452000000007</v>
      </c>
      <c r="DD252" s="350"/>
      <c r="DE252" s="356">
        <f>DE65*10%</f>
        <v>3671.7200000000007</v>
      </c>
      <c r="DF252" s="350"/>
      <c r="DG252" s="356">
        <f>DG65*10%</f>
        <v>3979.8720000000003</v>
      </c>
      <c r="DH252" s="350"/>
      <c r="DI252" s="356">
        <f>DI65*10%</f>
        <v>4761.9306800000004</v>
      </c>
      <c r="DJ252" s="350"/>
      <c r="DK252" s="356">
        <f>DK65*10%</f>
        <v>4665.9961400000011</v>
      </c>
      <c r="DL252" s="350"/>
      <c r="DM252" s="356">
        <f>DM65*10%</f>
        <v>4420.3793400000004</v>
      </c>
      <c r="DN252" s="350"/>
      <c r="DO252" s="356">
        <f>DO65*10%</f>
        <v>4246.7620000000006</v>
      </c>
      <c r="DP252" s="350"/>
      <c r="DQ252" s="356">
        <f>DQ65*10%</f>
        <v>4246.7620000000006</v>
      </c>
      <c r="DR252" s="350"/>
      <c r="DS252" s="356">
        <f>DS65*10%</f>
        <v>4246.7620000000006</v>
      </c>
      <c r="DT252" s="350"/>
      <c r="DU252" s="119"/>
      <c r="DV252" s="119"/>
      <c r="DW252" s="119"/>
      <c r="DX252" s="119"/>
      <c r="DY252" s="119"/>
      <c r="DZ252" s="119"/>
      <c r="EA252" s="119"/>
      <c r="EB252" s="119"/>
      <c r="EC252" s="119"/>
      <c r="ED252" s="119"/>
      <c r="EE252" s="119"/>
      <c r="EF252" s="119"/>
      <c r="EG252" s="119"/>
      <c r="EH252" s="119"/>
      <c r="EI252" s="119"/>
      <c r="EJ252" s="119"/>
      <c r="EK252" s="119"/>
      <c r="EL252" s="119"/>
      <c r="EM252" s="119"/>
      <c r="EN252" s="356">
        <f>EN65*10%</f>
        <v>4246.7620000000006</v>
      </c>
      <c r="EO252" s="350"/>
      <c r="EP252" s="356">
        <f>EP65*10%</f>
        <v>4246.7620000000006</v>
      </c>
      <c r="EQ252" s="350"/>
      <c r="ER252" s="356">
        <f>ER65*10%</f>
        <v>4246.7620000000006</v>
      </c>
      <c r="ES252" s="350"/>
      <c r="ET252" s="356">
        <f>ET65*10%</f>
        <v>4246.7620000000006</v>
      </c>
      <c r="EU252" s="350"/>
      <c r="EV252" s="356">
        <f>EV65*10%</f>
        <v>4246.7620000000006</v>
      </c>
      <c r="EW252" s="350"/>
      <c r="EX252" s="356">
        <f>EX65*10%</f>
        <v>4246.7620000000006</v>
      </c>
      <c r="EY252" s="350"/>
      <c r="EZ252" s="356">
        <f>EZ65*10%</f>
        <v>4246.7620000000006</v>
      </c>
      <c r="FA252" s="350"/>
      <c r="FB252" s="356">
        <f>FB65*10%</f>
        <v>4246.7620000000006</v>
      </c>
      <c r="FC252" s="350"/>
      <c r="FD252" s="356">
        <f>FD65*10%</f>
        <v>4246.7620000000006</v>
      </c>
      <c r="FE252" s="350"/>
      <c r="FF252" s="356">
        <f>FF65*10%</f>
        <v>4246.7620000000006</v>
      </c>
      <c r="FG252" s="350"/>
      <c r="FH252" s="356">
        <f>FH65*10%</f>
        <v>4246.7620000000006</v>
      </c>
      <c r="FI252" s="350"/>
      <c r="FJ252" s="356">
        <f>FJ65*10%</f>
        <v>2438.5763999999999</v>
      </c>
      <c r="FK252" s="350"/>
      <c r="FL252" s="356">
        <f>FL65*10%</f>
        <v>2412.404858297778</v>
      </c>
      <c r="FM252" s="350"/>
      <c r="FN252" s="356">
        <f>FN65*10%</f>
        <v>1682.814060546667</v>
      </c>
      <c r="FO252" s="350"/>
      <c r="FP252" s="356">
        <f>FP65*10%</f>
        <v>0</v>
      </c>
      <c r="FQ252" s="350"/>
      <c r="FR252" s="119"/>
      <c r="FS252" s="119"/>
      <c r="FT252" s="119"/>
      <c r="FU252" s="119"/>
      <c r="FV252" s="119"/>
      <c r="FW252" s="119"/>
      <c r="FX252" s="231"/>
      <c r="FY252" s="231"/>
      <c r="FZ252" s="231"/>
      <c r="GA252" s="231"/>
      <c r="GB252" s="231"/>
      <c r="GC252" s="231"/>
      <c r="GD252" s="231"/>
      <c r="GE252" s="231"/>
      <c r="GF252" s="265"/>
      <c r="GG252" s="265"/>
    </row>
    <row r="253" spans="1:189" ht="8.25" customHeight="1" outlineLevel="1" x14ac:dyDescent="0.3">
      <c r="A253" s="1"/>
      <c r="B253" s="18"/>
      <c r="C253" s="18"/>
      <c r="D253" s="18"/>
      <c r="E253" s="18"/>
      <c r="F253" s="18"/>
      <c r="G253" s="3"/>
      <c r="H253" s="3"/>
      <c r="I253" s="19"/>
      <c r="J253" s="20"/>
      <c r="K253" s="19"/>
      <c r="L253" s="20"/>
      <c r="M253" s="19"/>
      <c r="N253" s="20"/>
      <c r="O253" s="19"/>
      <c r="P253" s="20"/>
      <c r="Q253" s="19"/>
      <c r="R253" s="20"/>
      <c r="S253" s="19"/>
      <c r="T253" s="20"/>
      <c r="U253" s="19"/>
      <c r="V253" s="20"/>
      <c r="W253" s="19"/>
      <c r="X253" s="20"/>
      <c r="Y253" s="19"/>
      <c r="Z253" s="20"/>
      <c r="AA253" s="19"/>
      <c r="AB253" s="20"/>
      <c r="AC253" s="19"/>
      <c r="AD253" s="20"/>
      <c r="AE253" s="19"/>
      <c r="AF253" s="20"/>
      <c r="AG253" s="19"/>
      <c r="AH253" s="20"/>
      <c r="AI253" s="19"/>
      <c r="AJ253" s="20"/>
      <c r="AK253" s="19"/>
      <c r="AL253" s="20"/>
      <c r="AM253" s="19"/>
      <c r="AN253" s="20"/>
      <c r="AO253" s="19"/>
      <c r="AP253" s="20"/>
      <c r="AQ253" s="19"/>
      <c r="AR253" s="20"/>
      <c r="AS253" s="19"/>
      <c r="AT253" s="20"/>
      <c r="AU253" s="19"/>
      <c r="AV253" s="20"/>
      <c r="AW253" s="19"/>
      <c r="AX253" s="20"/>
      <c r="AY253" s="19"/>
      <c r="AZ253" s="20"/>
      <c r="BA253" s="19"/>
      <c r="BB253" s="20"/>
      <c r="BC253" s="19"/>
      <c r="BD253" s="20"/>
      <c r="BE253" s="19"/>
      <c r="BF253" s="20"/>
      <c r="BG253" s="19"/>
      <c r="BH253" s="20"/>
      <c r="BI253" s="19"/>
      <c r="BJ253" s="20"/>
      <c r="BK253" s="19"/>
      <c r="BL253" s="20"/>
      <c r="BM253" s="19"/>
      <c r="BN253" s="20"/>
      <c r="BO253" s="19"/>
      <c r="BP253" s="20"/>
      <c r="BQ253" s="19"/>
      <c r="BR253" s="20"/>
      <c r="BS253" s="19"/>
      <c r="BT253" s="20"/>
      <c r="BU253" s="19"/>
      <c r="BV253" s="20"/>
      <c r="BW253" s="19"/>
      <c r="BX253" s="20"/>
      <c r="BY253" s="19"/>
      <c r="BZ253" s="20"/>
      <c r="CA253" s="19"/>
      <c r="CB253" s="20"/>
      <c r="CC253" s="19"/>
      <c r="CD253" s="20"/>
      <c r="CE253" s="19"/>
      <c r="CF253" s="20"/>
      <c r="CG253" s="19"/>
      <c r="CH253" s="20"/>
      <c r="CI253" s="19"/>
      <c r="CJ253" s="20"/>
      <c r="CK253" s="19"/>
      <c r="CL253" s="20"/>
      <c r="CM253" s="19"/>
      <c r="CN253" s="20"/>
      <c r="CO253" s="19"/>
      <c r="CP253" s="20"/>
      <c r="CQ253" s="19"/>
      <c r="CR253" s="20"/>
      <c r="CS253" s="19"/>
      <c r="CT253" s="20"/>
      <c r="CU253" s="19"/>
      <c r="CV253" s="20"/>
      <c r="CW253" s="19"/>
      <c r="CX253" s="20"/>
      <c r="CY253" s="19"/>
      <c r="CZ253" s="20"/>
      <c r="DA253" s="19"/>
      <c r="DB253" s="20"/>
      <c r="DC253" s="19"/>
      <c r="DD253" s="20"/>
      <c r="DE253" s="19"/>
      <c r="DF253" s="20"/>
      <c r="DG253" s="19"/>
      <c r="DH253" s="20"/>
      <c r="DI253" s="19"/>
      <c r="DJ253" s="20"/>
      <c r="DK253" s="19"/>
      <c r="DL253" s="20"/>
      <c r="DM253" s="19"/>
      <c r="DN253" s="20"/>
      <c r="DO253" s="19"/>
      <c r="DP253" s="20"/>
      <c r="DQ253" s="19"/>
      <c r="DR253" s="20"/>
      <c r="DS253" s="19"/>
      <c r="DT253" s="20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19"/>
      <c r="EO253" s="20"/>
      <c r="EP253" s="19"/>
      <c r="EQ253" s="20"/>
      <c r="ER253" s="19"/>
      <c r="ES253" s="20"/>
      <c r="ET253" s="19"/>
      <c r="EU253" s="20"/>
      <c r="EV253" s="19"/>
      <c r="EW253" s="20"/>
      <c r="EX253" s="19"/>
      <c r="EY253" s="20"/>
      <c r="EZ253" s="19"/>
      <c r="FA253" s="20"/>
      <c r="FB253" s="19"/>
      <c r="FC253" s="20"/>
      <c r="FD253" s="19"/>
      <c r="FE253" s="20"/>
      <c r="FF253" s="19"/>
      <c r="FG253" s="20"/>
      <c r="FH253" s="19"/>
      <c r="FI253" s="20"/>
      <c r="FJ253" s="19"/>
      <c r="FK253" s="20"/>
      <c r="FL253" s="19"/>
      <c r="FM253" s="20"/>
      <c r="FN253" s="19"/>
      <c r="FO253" s="20"/>
      <c r="FP253" s="19"/>
      <c r="FQ253" s="20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</row>
    <row r="254" spans="1:189" ht="15" customHeight="1" outlineLevel="1" x14ac:dyDescent="0.3">
      <c r="A254" s="63"/>
      <c r="B254" s="313" t="s">
        <v>197</v>
      </c>
      <c r="C254" s="313" t="s">
        <v>24</v>
      </c>
      <c r="D254" s="313" t="s">
        <v>25</v>
      </c>
      <c r="E254" s="436" t="s">
        <v>198</v>
      </c>
      <c r="F254" s="436" t="s">
        <v>27</v>
      </c>
      <c r="G254" s="5" t="s">
        <v>28</v>
      </c>
      <c r="H254" s="5"/>
      <c r="I254" s="336">
        <v>2.0000000000000001E-4</v>
      </c>
      <c r="J254" s="281"/>
      <c r="K254" s="336">
        <v>2.0000000000000001E-4</v>
      </c>
      <c r="L254" s="281"/>
      <c r="M254" s="336">
        <v>2.0000000000000001E-4</v>
      </c>
      <c r="N254" s="281"/>
      <c r="O254" s="336">
        <v>2.0000000000000001E-4</v>
      </c>
      <c r="P254" s="281"/>
      <c r="Q254" s="336">
        <v>2.0000000000000001E-4</v>
      </c>
      <c r="R254" s="281"/>
      <c r="S254" s="336">
        <v>2.0000000000000001E-4</v>
      </c>
      <c r="T254" s="281"/>
      <c r="U254" s="336">
        <v>2.0000000000000001E-4</v>
      </c>
      <c r="V254" s="281"/>
      <c r="W254" s="336">
        <v>2.0000000000000001E-4</v>
      </c>
      <c r="X254" s="281"/>
      <c r="Y254" s="336">
        <v>2.0000000000000001E-4</v>
      </c>
      <c r="Z254" s="281"/>
      <c r="AA254" s="336">
        <v>2.0000000000000001E-4</v>
      </c>
      <c r="AB254" s="281"/>
      <c r="AC254" s="336">
        <v>2.0000000000000001E-4</v>
      </c>
      <c r="AD254" s="281"/>
      <c r="AE254" s="336">
        <v>2.0000000000000001E-4</v>
      </c>
      <c r="AF254" s="281"/>
      <c r="AG254" s="336">
        <v>2.0000000000000001E-4</v>
      </c>
      <c r="AH254" s="281"/>
      <c r="AI254" s="336">
        <v>2.0000000000000001E-4</v>
      </c>
      <c r="AJ254" s="281"/>
      <c r="AK254" s="336">
        <v>2.0000000000000001E-4</v>
      </c>
      <c r="AL254" s="281"/>
      <c r="AM254" s="336">
        <v>2.0000000000000001E-4</v>
      </c>
      <c r="AN254" s="281"/>
      <c r="AO254" s="336">
        <v>2.0000000000000001E-4</v>
      </c>
      <c r="AP254" s="281"/>
      <c r="AQ254" s="336">
        <v>2.0000000000000001E-4</v>
      </c>
      <c r="AR254" s="281"/>
      <c r="AS254" s="336">
        <v>2.0000000000000001E-4</v>
      </c>
      <c r="AT254" s="281"/>
      <c r="AU254" s="336">
        <v>2.0000000000000001E-4</v>
      </c>
      <c r="AV254" s="281"/>
      <c r="AW254" s="336">
        <v>2.0000000000000001E-4</v>
      </c>
      <c r="AX254" s="281"/>
      <c r="AY254" s="336">
        <v>2.0000000000000001E-4</v>
      </c>
      <c r="AZ254" s="281"/>
      <c r="BA254" s="336">
        <v>2.0000000000000001E-4</v>
      </c>
      <c r="BB254" s="281"/>
      <c r="BC254" s="336">
        <v>2.0000000000000001E-4</v>
      </c>
      <c r="BD254" s="281"/>
      <c r="BE254" s="336">
        <v>2.0000000000000001E-4</v>
      </c>
      <c r="BF254" s="281"/>
      <c r="BG254" s="336">
        <v>2.0000000000000001E-4</v>
      </c>
      <c r="BH254" s="281"/>
      <c r="BI254" s="336">
        <v>2.0000000000000001E-4</v>
      </c>
      <c r="BJ254" s="281"/>
      <c r="BK254" s="336">
        <v>2.0000000000000001E-4</v>
      </c>
      <c r="BL254" s="281"/>
      <c r="BM254" s="336">
        <v>2.0000000000000001E-4</v>
      </c>
      <c r="BN254" s="281"/>
      <c r="BO254" s="336">
        <v>2.0000000000000001E-4</v>
      </c>
      <c r="BP254" s="281"/>
      <c r="BQ254" s="336">
        <v>2.0000000000000001E-4</v>
      </c>
      <c r="BR254" s="281"/>
      <c r="BS254" s="336">
        <v>2.0000000000000001E-4</v>
      </c>
      <c r="BT254" s="281"/>
      <c r="BU254" s="336">
        <v>2.0000000000000001E-4</v>
      </c>
      <c r="BV254" s="281"/>
      <c r="BW254" s="336">
        <v>2.0000000000000001E-4</v>
      </c>
      <c r="BX254" s="281"/>
      <c r="BY254" s="336">
        <v>2.0000000000000001E-4</v>
      </c>
      <c r="BZ254" s="281"/>
      <c r="CA254" s="336">
        <v>2.0000000000000001E-4</v>
      </c>
      <c r="CB254" s="281"/>
      <c r="CC254" s="336">
        <v>2.0000000000000001E-4</v>
      </c>
      <c r="CD254" s="281"/>
      <c r="CE254" s="336">
        <v>2.0000000000000001E-4</v>
      </c>
      <c r="CF254" s="281"/>
      <c r="CG254" s="336">
        <v>2.0000000000000001E-4</v>
      </c>
      <c r="CH254" s="281"/>
      <c r="CI254" s="336">
        <v>2.0000000000000001E-4</v>
      </c>
      <c r="CJ254" s="281"/>
      <c r="CK254" s="336">
        <v>2.0000000000000001E-4</v>
      </c>
      <c r="CL254" s="281"/>
      <c r="CM254" s="336">
        <v>2.0000000000000001E-4</v>
      </c>
      <c r="CN254" s="281"/>
      <c r="CO254" s="336">
        <v>2.0000000000000001E-4</v>
      </c>
      <c r="CP254" s="281"/>
      <c r="CQ254" s="336">
        <v>2.0000000000000001E-4</v>
      </c>
      <c r="CR254" s="281"/>
      <c r="CS254" s="336">
        <v>2.0000000000000001E-4</v>
      </c>
      <c r="CT254" s="281"/>
      <c r="CU254" s="336">
        <v>2.0000000000000001E-4</v>
      </c>
      <c r="CV254" s="281"/>
      <c r="CW254" s="336">
        <v>2.0000000000000001E-4</v>
      </c>
      <c r="CX254" s="281"/>
      <c r="CY254" s="336">
        <v>2.0000000000000001E-4</v>
      </c>
      <c r="CZ254" s="281"/>
      <c r="DA254" s="336">
        <v>2.0000000000000001E-4</v>
      </c>
      <c r="DB254" s="281"/>
      <c r="DC254" s="336">
        <v>2.0000000000000001E-4</v>
      </c>
      <c r="DD254" s="281"/>
      <c r="DE254" s="336">
        <v>2.0000000000000001E-4</v>
      </c>
      <c r="DF254" s="281"/>
      <c r="DG254" s="336">
        <v>2.0000000000000001E-4</v>
      </c>
      <c r="DH254" s="281"/>
      <c r="DI254" s="336">
        <v>2.0000000000000001E-4</v>
      </c>
      <c r="DJ254" s="281"/>
      <c r="DK254" s="336">
        <v>2.0000000000000001E-4</v>
      </c>
      <c r="DL254" s="281"/>
      <c r="DM254" s="336">
        <v>2.0000000000000001E-4</v>
      </c>
      <c r="DN254" s="281"/>
      <c r="DO254" s="336">
        <v>2.0000000000000001E-4</v>
      </c>
      <c r="DP254" s="281"/>
      <c r="DQ254" s="336">
        <v>2.0000000000000001E-4</v>
      </c>
      <c r="DR254" s="281"/>
      <c r="DS254" s="336">
        <v>2.0000000000000001E-4</v>
      </c>
      <c r="DT254" s="281"/>
      <c r="DU254" s="121"/>
      <c r="DV254" s="121"/>
      <c r="DW254" s="121"/>
      <c r="DX254" s="121"/>
      <c r="DY254" s="121"/>
      <c r="DZ254" s="121"/>
      <c r="EA254" s="121"/>
      <c r="EB254" s="121"/>
      <c r="EC254" s="121"/>
      <c r="ED254" s="121"/>
      <c r="EE254" s="121"/>
      <c r="EF254" s="121"/>
      <c r="EG254" s="121"/>
      <c r="EH254" s="121"/>
      <c r="EI254" s="121"/>
      <c r="EJ254" s="121"/>
      <c r="EK254" s="121"/>
      <c r="EL254" s="121"/>
      <c r="EM254" s="121"/>
      <c r="EN254" s="336">
        <v>2.0000000000000001E-4</v>
      </c>
      <c r="EO254" s="281"/>
      <c r="EP254" s="336">
        <v>2.0000000000000001E-4</v>
      </c>
      <c r="EQ254" s="281"/>
      <c r="ER254" s="336">
        <v>2.0000000000000001E-4</v>
      </c>
      <c r="ES254" s="281"/>
      <c r="ET254" s="336">
        <v>2.0000000000000001E-4</v>
      </c>
      <c r="EU254" s="281"/>
      <c r="EV254" s="336">
        <v>2.0000000000000001E-4</v>
      </c>
      <c r="EW254" s="281"/>
      <c r="EX254" s="336">
        <v>2.0000000000000001E-4</v>
      </c>
      <c r="EY254" s="281"/>
      <c r="EZ254" s="336">
        <v>2.0000000000000001E-4</v>
      </c>
      <c r="FA254" s="281"/>
      <c r="FB254" s="336">
        <v>2.0000000000000001E-4</v>
      </c>
      <c r="FC254" s="281"/>
      <c r="FD254" s="336">
        <v>2.0000000000000001E-4</v>
      </c>
      <c r="FE254" s="281"/>
      <c r="FF254" s="336">
        <v>2.0000000000000001E-4</v>
      </c>
      <c r="FG254" s="281"/>
      <c r="FH254" s="336">
        <v>2.0000000000000001E-4</v>
      </c>
      <c r="FI254" s="281"/>
      <c r="FJ254" s="336">
        <v>2.0000000000000001E-4</v>
      </c>
      <c r="FK254" s="281"/>
      <c r="FL254" s="336">
        <v>2.0000000000000001E-4</v>
      </c>
      <c r="FM254" s="281"/>
      <c r="FN254" s="336">
        <v>2.0000000000000001E-4</v>
      </c>
      <c r="FO254" s="281"/>
      <c r="FP254" s="336">
        <v>2.0000000000000001E-4</v>
      </c>
      <c r="FQ254" s="281"/>
      <c r="FR254" s="121"/>
      <c r="FS254" s="121"/>
      <c r="FT254" s="121"/>
      <c r="FU254" s="121"/>
      <c r="FV254" s="121"/>
      <c r="FW254" s="121"/>
      <c r="FX254" s="232"/>
      <c r="FY254" s="232"/>
      <c r="FZ254" s="232"/>
      <c r="GA254" s="232"/>
      <c r="GB254" s="232"/>
      <c r="GC254" s="232"/>
      <c r="GD254" s="232"/>
      <c r="GE254" s="232"/>
      <c r="GF254" s="232"/>
      <c r="GG254" s="232"/>
    </row>
    <row r="255" spans="1:189" ht="4.5" customHeight="1" outlineLevel="1" x14ac:dyDescent="0.3">
      <c r="A255" s="116"/>
      <c r="B255" s="301"/>
      <c r="C255" s="301"/>
      <c r="D255" s="301"/>
      <c r="E255" s="301"/>
      <c r="F255" s="301"/>
      <c r="G255" s="5"/>
      <c r="H255" s="5"/>
      <c r="I255" s="328"/>
      <c r="J255" s="281"/>
      <c r="K255" s="351"/>
      <c r="L255" s="281"/>
      <c r="M255" s="328"/>
      <c r="N255" s="281"/>
      <c r="O255" s="328"/>
      <c r="P255" s="281"/>
      <c r="Q255" s="328"/>
      <c r="R255" s="281"/>
      <c r="S255" s="328"/>
      <c r="T255" s="281"/>
      <c r="U255" s="328"/>
      <c r="V255" s="281"/>
      <c r="W255" s="328"/>
      <c r="X255" s="281"/>
      <c r="Y255" s="328"/>
      <c r="Z255" s="281"/>
      <c r="AA255" s="328"/>
      <c r="AB255" s="281"/>
      <c r="AC255" s="328"/>
      <c r="AD255" s="281"/>
      <c r="AE255" s="328"/>
      <c r="AF255" s="281"/>
      <c r="AG255" s="328"/>
      <c r="AH255" s="281"/>
      <c r="AI255" s="328"/>
      <c r="AJ255" s="281"/>
      <c r="AK255" s="328"/>
      <c r="AL255" s="281"/>
      <c r="AM255" s="351"/>
      <c r="AN255" s="281"/>
      <c r="AO255" s="328"/>
      <c r="AP255" s="281"/>
      <c r="AQ255" s="328"/>
      <c r="AR255" s="281"/>
      <c r="AS255" s="351"/>
      <c r="AT255" s="281"/>
      <c r="AU255" s="351"/>
      <c r="AV255" s="281"/>
      <c r="AW255" s="328"/>
      <c r="AX255" s="281"/>
      <c r="AY255" s="328"/>
      <c r="AZ255" s="281"/>
      <c r="BA255" s="328"/>
      <c r="BB255" s="281"/>
      <c r="BC255" s="351"/>
      <c r="BD255" s="281"/>
      <c r="BE255" s="328"/>
      <c r="BF255" s="281"/>
      <c r="BG255" s="328"/>
      <c r="BH255" s="281"/>
      <c r="BI255" s="351"/>
      <c r="BJ255" s="281"/>
      <c r="BK255" s="351"/>
      <c r="BL255" s="281"/>
      <c r="BM255" s="328"/>
      <c r="BN255" s="281"/>
      <c r="BO255" s="328"/>
      <c r="BP255" s="281"/>
      <c r="BQ255" s="351"/>
      <c r="BR255" s="281"/>
      <c r="BS255" s="351"/>
      <c r="BT255" s="281"/>
      <c r="BU255" s="328"/>
      <c r="BV255" s="281"/>
      <c r="BW255" s="328"/>
      <c r="BX255" s="281"/>
      <c r="BY255" s="328"/>
      <c r="BZ255" s="281"/>
      <c r="CA255" s="351"/>
      <c r="CB255" s="281"/>
      <c r="CC255" s="328"/>
      <c r="CD255" s="281"/>
      <c r="CE255" s="328"/>
      <c r="CF255" s="281"/>
      <c r="CG255" s="328"/>
      <c r="CH255" s="281"/>
      <c r="CI255" s="437"/>
      <c r="CJ255" s="281"/>
      <c r="CK255" s="328"/>
      <c r="CL255" s="281"/>
      <c r="CM255" s="328"/>
      <c r="CN255" s="281"/>
      <c r="CO255" s="437"/>
      <c r="CP255" s="281"/>
      <c r="CQ255" s="437"/>
      <c r="CR255" s="281"/>
      <c r="CS255" s="328"/>
      <c r="CT255" s="281"/>
      <c r="CU255" s="328"/>
      <c r="CV255" s="281"/>
      <c r="CW255" s="328"/>
      <c r="CX255" s="281"/>
      <c r="CY255" s="363"/>
      <c r="CZ255" s="364"/>
      <c r="DA255" s="328"/>
      <c r="DB255" s="281"/>
      <c r="DC255" s="328"/>
      <c r="DD255" s="281"/>
      <c r="DE255" s="328"/>
      <c r="DF255" s="281"/>
      <c r="DG255" s="328"/>
      <c r="DH255" s="281"/>
      <c r="DI255" s="328"/>
      <c r="DJ255" s="281"/>
      <c r="DK255" s="328"/>
      <c r="DL255" s="281"/>
      <c r="DM255" s="328"/>
      <c r="DN255" s="281"/>
      <c r="DO255" s="328"/>
      <c r="DP255" s="281"/>
      <c r="DQ255" s="328"/>
      <c r="DR255" s="281"/>
      <c r="DS255" s="328"/>
      <c r="DT255" s="281"/>
      <c r="DU255" s="122"/>
      <c r="DV255" s="122"/>
      <c r="DW255" s="122"/>
      <c r="DX255" s="122"/>
      <c r="DY255" s="122"/>
      <c r="DZ255" s="122"/>
      <c r="EA255" s="122"/>
      <c r="EB255" s="122"/>
      <c r="EC255" s="122"/>
      <c r="ED255" s="122"/>
      <c r="EE255" s="122"/>
      <c r="EF255" s="122"/>
      <c r="EG255" s="122"/>
      <c r="EH255" s="122"/>
      <c r="EI255" s="122"/>
      <c r="EJ255" s="122"/>
      <c r="EK255" s="122"/>
      <c r="EL255" s="122"/>
      <c r="EM255" s="122"/>
      <c r="EN255" s="328"/>
      <c r="EO255" s="281"/>
      <c r="EP255" s="328"/>
      <c r="EQ255" s="281"/>
      <c r="ER255" s="328"/>
      <c r="ES255" s="281"/>
      <c r="ET255" s="328"/>
      <c r="EU255" s="281"/>
      <c r="EV255" s="328"/>
      <c r="EW255" s="281"/>
      <c r="EX255" s="328"/>
      <c r="EY255" s="281"/>
      <c r="EZ255" s="328"/>
      <c r="FA255" s="281"/>
      <c r="FB255" s="328"/>
      <c r="FC255" s="281"/>
      <c r="FD255" s="328"/>
      <c r="FE255" s="281"/>
      <c r="FF255" s="328"/>
      <c r="FG255" s="281"/>
      <c r="FH255" s="328"/>
      <c r="FI255" s="281"/>
      <c r="FJ255" s="328"/>
      <c r="FK255" s="281"/>
      <c r="FL255" s="328"/>
      <c r="FM255" s="281"/>
      <c r="FN255" s="328"/>
      <c r="FO255" s="281"/>
      <c r="FP255" s="328"/>
      <c r="FQ255" s="281"/>
      <c r="FR255" s="122"/>
      <c r="FS255" s="122"/>
      <c r="FT255" s="122"/>
      <c r="FU255" s="122"/>
      <c r="FV255" s="122"/>
      <c r="FW255" s="122"/>
      <c r="FX255" s="233"/>
      <c r="FY255" s="233"/>
      <c r="FZ255" s="233"/>
      <c r="GA255" s="233"/>
      <c r="GB255" s="233"/>
      <c r="GC255" s="233"/>
      <c r="GD255" s="233"/>
      <c r="GE255" s="233"/>
      <c r="GF255" s="233"/>
      <c r="GG255" s="233"/>
    </row>
    <row r="256" spans="1:189" ht="15" customHeight="1" outlineLevel="1" x14ac:dyDescent="0.3">
      <c r="A256" s="1"/>
      <c r="B256" s="301"/>
      <c r="C256" s="301"/>
      <c r="D256" s="301"/>
      <c r="E256" s="301"/>
      <c r="F256" s="301"/>
      <c r="G256" s="32" t="s">
        <v>30</v>
      </c>
      <c r="H256" s="32"/>
      <c r="I256" s="337">
        <f>I257/I2</f>
        <v>1.8837626938103286E-4</v>
      </c>
      <c r="J256" s="281"/>
      <c r="K256" s="337">
        <f>K257/K2</f>
        <v>2.9113921309879755E-4</v>
      </c>
      <c r="L256" s="281"/>
      <c r="M256" s="337">
        <f>M257/M2</f>
        <v>2.1597589204910023E-4</v>
      </c>
      <c r="N256" s="281"/>
      <c r="O256" s="337">
        <f>O257/O2</f>
        <v>1.9041856748299997E-4</v>
      </c>
      <c r="P256" s="281"/>
      <c r="Q256" s="337">
        <f>Q257/Q2</f>
        <v>1.9978542981110878E-4</v>
      </c>
      <c r="R256" s="281"/>
      <c r="S256" s="337">
        <f>S257/S2</f>
        <v>2.2543970873047813E-4</v>
      </c>
      <c r="T256" s="281"/>
      <c r="U256" s="337">
        <f>U257/U2</f>
        <v>1.3536707016321937E-4</v>
      </c>
      <c r="V256" s="281"/>
      <c r="W256" s="337">
        <f>W257/W2</f>
        <v>2.0159081806737513E-4</v>
      </c>
      <c r="X256" s="281"/>
      <c r="Y256" s="337">
        <f>Y257/Y2</f>
        <v>1.1810371775800469E-4</v>
      </c>
      <c r="Z256" s="281"/>
      <c r="AA256" s="337">
        <f>AA257/AA2</f>
        <v>2.1124488545640283E-4</v>
      </c>
      <c r="AB256" s="281"/>
      <c r="AC256" s="337">
        <f>AC257/AC2</f>
        <v>1.1583875933644578E-4</v>
      </c>
      <c r="AD256" s="281"/>
      <c r="AE256" s="337">
        <f>AE257/AE2</f>
        <v>2.144535329044631E-4</v>
      </c>
      <c r="AF256" s="281"/>
      <c r="AG256" s="337">
        <f>AG257/AG2</f>
        <v>1.7899032545575552E-4</v>
      </c>
      <c r="AH256" s="281"/>
      <c r="AI256" s="337">
        <f>AI257/AI2</f>
        <v>1.6622081318399341E-4</v>
      </c>
      <c r="AJ256" s="281"/>
      <c r="AK256" s="337">
        <f>AK257/AK2</f>
        <v>8.4770043863988657E-5</v>
      </c>
      <c r="AL256" s="281"/>
      <c r="AM256" s="337">
        <f>AM257/AM2</f>
        <v>2.5528669835376297E-4</v>
      </c>
      <c r="AN256" s="281"/>
      <c r="AO256" s="337">
        <f>AO257/AO2</f>
        <v>1.7338543039520105E-4</v>
      </c>
      <c r="AP256" s="281"/>
      <c r="AQ256" s="337">
        <f>AQ257/AQ2</f>
        <v>1.4436905597819711E-4</v>
      </c>
      <c r="AR256" s="281"/>
      <c r="AS256" s="337">
        <f>AS257/AS2</f>
        <v>2.8389770464538037E-4</v>
      </c>
      <c r="AT256" s="281"/>
      <c r="AU256" s="337">
        <f>AU257/AU2</f>
        <v>4.2316001057625798E-4</v>
      </c>
      <c r="AV256" s="281"/>
      <c r="AW256" s="337">
        <f>AW257/AW2</f>
        <v>2.2850875824915226E-4</v>
      </c>
      <c r="AX256" s="281"/>
      <c r="AY256" s="337">
        <f>AY257/AY2</f>
        <v>1.578074229593296E-4</v>
      </c>
      <c r="AZ256" s="281"/>
      <c r="BA256" s="337">
        <f>BA257/BA2</f>
        <v>1.2630535422459156E-4</v>
      </c>
      <c r="BB256" s="281"/>
      <c r="BC256" s="337">
        <f>BC257/BC2</f>
        <v>4.2815898826183808E-4</v>
      </c>
      <c r="BD256" s="281"/>
      <c r="BE256" s="337">
        <f>BE257/BE2</f>
        <v>9.5731945115648526E-5</v>
      </c>
      <c r="BF256" s="281"/>
      <c r="BG256" s="337">
        <f>BG257/BG2</f>
        <v>2.1533517341968604E-4</v>
      </c>
      <c r="BH256" s="281"/>
      <c r="BI256" s="337">
        <f>BI257/BI2</f>
        <v>2.7122473345878641E-4</v>
      </c>
      <c r="BJ256" s="281"/>
      <c r="BK256" s="337">
        <f>BK257/BK2</f>
        <v>3.2588045766021118E-4</v>
      </c>
      <c r="BL256" s="281"/>
      <c r="BM256" s="337">
        <f>BM257/BM2</f>
        <v>1.9617459100570119E-4</v>
      </c>
      <c r="BN256" s="281"/>
      <c r="BO256" s="337">
        <f>BO257/BO2</f>
        <v>1.9096677754263622E-4</v>
      </c>
      <c r="BP256" s="281"/>
      <c r="BQ256" s="337">
        <f>BQ257/BQ2</f>
        <v>2.7368901435974763E-4</v>
      </c>
      <c r="BR256" s="281"/>
      <c r="BS256" s="337">
        <f>BS257/BS2</f>
        <v>4.4447272045945317E-4</v>
      </c>
      <c r="BT256" s="281"/>
      <c r="BU256" s="337">
        <f>BU257/BU2</f>
        <v>9.7933234027359963E-5</v>
      </c>
      <c r="BV256" s="281"/>
      <c r="BW256" s="337">
        <f>BW257/BW2</f>
        <v>2.3768838648692073E-4</v>
      </c>
      <c r="BX256" s="281"/>
      <c r="BY256" s="337">
        <f>BY257/BY2</f>
        <v>2.4374663297882599E-4</v>
      </c>
      <c r="BZ256" s="281"/>
      <c r="CA256" s="337">
        <f>CA257/CA2</f>
        <v>5.2095880848044478E-4</v>
      </c>
      <c r="CB256" s="281"/>
      <c r="CC256" s="337">
        <f>CC257/CC2</f>
        <v>1.0197228359898244E-4</v>
      </c>
      <c r="CD256" s="281"/>
      <c r="CE256" s="337">
        <f>CE257/CE2</f>
        <v>2.1010152560962389E-4</v>
      </c>
      <c r="CF256" s="281"/>
      <c r="CG256" s="337">
        <f>CG257/CG2</f>
        <v>2.9001585112339786E-4</v>
      </c>
      <c r="CH256" s="281"/>
      <c r="CI256" s="337">
        <f>CI257/CI2</f>
        <v>4.6480852242483732E-4</v>
      </c>
      <c r="CJ256" s="281"/>
      <c r="CK256" s="337">
        <f>CK257/CK2</f>
        <v>1.4211688884887031E-4</v>
      </c>
      <c r="CL256" s="281"/>
      <c r="CM256" s="337">
        <f>CM257/CM2</f>
        <v>2.3049271127963022E-4</v>
      </c>
      <c r="CN256" s="281"/>
      <c r="CO256" s="337">
        <f>CO257/CO2</f>
        <v>2.5856762192437058E-4</v>
      </c>
      <c r="CP256" s="281"/>
      <c r="CQ256" s="337">
        <f>CQ257/CQ2</f>
        <v>3.6513583736067108E-4</v>
      </c>
      <c r="CR256" s="281"/>
      <c r="CS256" s="337">
        <f>CS257/CS2</f>
        <v>1.7192854066629416E-4</v>
      </c>
      <c r="CT256" s="281"/>
      <c r="CU256" s="337">
        <f>CU257/CU2</f>
        <v>1.9884362077745839E-4</v>
      </c>
      <c r="CV256" s="281"/>
      <c r="CW256" s="337">
        <f>CW257/CW2</f>
        <v>2.2743123847260464E-4</v>
      </c>
      <c r="CX256" s="281"/>
      <c r="CY256" s="337">
        <f>CY257/CY2</f>
        <v>3.1867711741291913E-4</v>
      </c>
      <c r="CZ256" s="281"/>
      <c r="DA256" s="337">
        <f>DA257/DA2</f>
        <v>1.5301508728760656E-4</v>
      </c>
      <c r="DB256" s="281"/>
      <c r="DC256" s="337">
        <f>DC257/DC2</f>
        <v>1.3908614600050562E-4</v>
      </c>
      <c r="DD256" s="281"/>
      <c r="DE256" s="337">
        <f>DE257/DE2</f>
        <v>7.6311276548067359E-5</v>
      </c>
      <c r="DF256" s="281"/>
      <c r="DG256" s="337">
        <f>DG257/DG2</f>
        <v>5.2887251703109903E-5</v>
      </c>
      <c r="DH256" s="281"/>
      <c r="DI256" s="337">
        <f>DI257/DI2</f>
        <v>4.0080311437740743E-4</v>
      </c>
      <c r="DJ256" s="281"/>
      <c r="DK256" s="337">
        <f>DK257/DK2</f>
        <v>2.8020008382376193E-4</v>
      </c>
      <c r="DL256" s="281"/>
      <c r="DM256" s="337">
        <f>DM257/DM2</f>
        <v>2.1241612379261043E-4</v>
      </c>
      <c r="DN256" s="281"/>
      <c r="DO256" s="337">
        <f>DO257/DO2</f>
        <v>8.1853802182015005E-5</v>
      </c>
      <c r="DP256" s="281"/>
      <c r="DQ256" s="337">
        <f>DQ257/DQ2</f>
        <v>8.0291843297321372E-5</v>
      </c>
      <c r="DR256" s="281"/>
      <c r="DS256" s="337">
        <f>DS257/DS2</f>
        <v>9.3636890996782928E-5</v>
      </c>
      <c r="DT256" s="281"/>
      <c r="DU256" s="122" t="s">
        <v>29</v>
      </c>
      <c r="DV256" s="122" t="s">
        <v>29</v>
      </c>
      <c r="DW256" s="122" t="s">
        <v>29</v>
      </c>
      <c r="DX256" s="122" t="s">
        <v>29</v>
      </c>
      <c r="DY256" s="122" t="s">
        <v>29</v>
      </c>
      <c r="DZ256" s="122" t="s">
        <v>29</v>
      </c>
      <c r="EA256" s="122" t="s">
        <v>29</v>
      </c>
      <c r="EB256" s="122" t="s">
        <v>29</v>
      </c>
      <c r="EC256" s="122" t="s">
        <v>29</v>
      </c>
      <c r="ED256" s="122" t="s">
        <v>29</v>
      </c>
      <c r="EE256" s="122" t="s">
        <v>29</v>
      </c>
      <c r="EF256" s="122" t="s">
        <v>29</v>
      </c>
      <c r="EG256" s="122" t="s">
        <v>29</v>
      </c>
      <c r="EH256" s="122"/>
      <c r="EI256" s="122" t="s">
        <v>29</v>
      </c>
      <c r="EJ256" s="122"/>
      <c r="EK256" s="122"/>
      <c r="EL256" s="122"/>
      <c r="EM256" s="122"/>
      <c r="EN256" s="337">
        <f>EN257/EN2</f>
        <v>8.7265843999354982E-5</v>
      </c>
      <c r="EO256" s="281"/>
      <c r="EP256" s="337">
        <f>EP257/EP2</f>
        <v>7.2719179908158798E-5</v>
      </c>
      <c r="EQ256" s="281"/>
      <c r="ER256" s="337">
        <f>ER257/ER2</f>
        <v>8.1779013570003605E-5</v>
      </c>
      <c r="ES256" s="281"/>
      <c r="ET256" s="337">
        <f>ET257/ET2</f>
        <v>2.3206442307692306E-4</v>
      </c>
      <c r="EU256" s="281"/>
      <c r="EV256" s="337">
        <f>EV257/EV2</f>
        <v>1.7944014869888475E-4</v>
      </c>
      <c r="EW256" s="281"/>
      <c r="EX256" s="337">
        <f>EX257/EX2</f>
        <v>1.200731343283582E-4</v>
      </c>
      <c r="EY256" s="281"/>
      <c r="EZ256" s="337">
        <f>EZ257/EZ2</f>
        <v>1.2700524153752923E-4</v>
      </c>
      <c r="FA256" s="281"/>
      <c r="FB256" s="337">
        <f>FB257/FB2</f>
        <v>1.2656034032595552E-4</v>
      </c>
      <c r="FC256" s="281"/>
      <c r="FD256" s="337">
        <f>FD257/FD2</f>
        <v>1.2530970859873602E-4</v>
      </c>
      <c r="FE256" s="281"/>
      <c r="FF256" s="337">
        <f>FF257/FF2</f>
        <v>1.355020442619687E-4</v>
      </c>
      <c r="FG256" s="281"/>
      <c r="FH256" s="337">
        <f>FH257/FH2</f>
        <v>1.5913972354577468E-4</v>
      </c>
      <c r="FI256" s="281"/>
      <c r="FJ256" s="337">
        <f>FJ257/FJ2</f>
        <v>1.8385490129474384E-4</v>
      </c>
      <c r="FK256" s="281"/>
      <c r="FL256" s="337">
        <f>FL257/FL2</f>
        <v>2.0112249999999998E-4</v>
      </c>
      <c r="FM256" s="281"/>
      <c r="FN256" s="337">
        <f>FN257/FN2</f>
        <v>1.9539860036903205E-4</v>
      </c>
      <c r="FO256" s="281"/>
      <c r="FP256" s="337">
        <f>FP257/FP2</f>
        <v>0</v>
      </c>
      <c r="FQ256" s="281"/>
      <c r="FR256" s="122"/>
      <c r="FS256" s="122"/>
      <c r="FT256" s="122"/>
      <c r="FU256" s="122"/>
      <c r="FV256" s="122"/>
      <c r="FW256" s="122"/>
      <c r="FX256" s="233"/>
      <c r="FY256" s="233"/>
      <c r="FZ256" s="233"/>
      <c r="GA256" s="233"/>
      <c r="GB256" s="233"/>
      <c r="GC256" s="233"/>
      <c r="GD256" s="233"/>
      <c r="GE256" s="233"/>
      <c r="GF256" s="233"/>
      <c r="GG256" s="233"/>
    </row>
    <row r="257" spans="1:189" ht="15" customHeight="1" outlineLevel="1" x14ac:dyDescent="0.3">
      <c r="A257" s="1"/>
      <c r="B257" s="302"/>
      <c r="C257" s="302"/>
      <c r="D257" s="302"/>
      <c r="E257" s="302"/>
      <c r="F257" s="302"/>
      <c r="G257" s="5" t="s">
        <v>199</v>
      </c>
      <c r="H257" s="5"/>
      <c r="I257" s="338">
        <f>SUM(K257:AH257)</f>
        <v>49669</v>
      </c>
      <c r="J257" s="281"/>
      <c r="K257" s="338">
        <v>5474</v>
      </c>
      <c r="L257" s="281"/>
      <c r="M257" s="338">
        <v>3393</v>
      </c>
      <c r="N257" s="281"/>
      <c r="O257" s="338">
        <v>3438</v>
      </c>
      <c r="P257" s="281"/>
      <c r="Q257" s="338">
        <v>3762</v>
      </c>
      <c r="R257" s="281"/>
      <c r="S257" s="338">
        <v>4451</v>
      </c>
      <c r="T257" s="281"/>
      <c r="U257" s="338">
        <v>3243</v>
      </c>
      <c r="V257" s="281"/>
      <c r="W257" s="338">
        <v>4667</v>
      </c>
      <c r="X257" s="281"/>
      <c r="Y257" s="338">
        <v>2956</v>
      </c>
      <c r="Z257" s="281"/>
      <c r="AA257" s="338">
        <v>5667</v>
      </c>
      <c r="AB257" s="281"/>
      <c r="AC257" s="338">
        <v>2892</v>
      </c>
      <c r="AD257" s="281"/>
      <c r="AE257" s="338">
        <v>6212</v>
      </c>
      <c r="AF257" s="281"/>
      <c r="AG257" s="338">
        <v>3514</v>
      </c>
      <c r="AH257" s="281"/>
      <c r="AI257" s="338">
        <v>3327</v>
      </c>
      <c r="AJ257" s="281"/>
      <c r="AK257" s="338">
        <v>1645</v>
      </c>
      <c r="AL257" s="281"/>
      <c r="AM257" s="338">
        <v>4370</v>
      </c>
      <c r="AN257" s="281"/>
      <c r="AO257" s="338">
        <v>3137</v>
      </c>
      <c r="AP257" s="281"/>
      <c r="AQ257" s="338">
        <v>2634</v>
      </c>
      <c r="AR257" s="281"/>
      <c r="AS257" s="338">
        <v>4632</v>
      </c>
      <c r="AT257" s="281"/>
      <c r="AU257" s="338">
        <v>8487</v>
      </c>
      <c r="AV257" s="281"/>
      <c r="AW257" s="338">
        <v>4923</v>
      </c>
      <c r="AX257" s="281"/>
      <c r="AY257" s="338">
        <v>3576</v>
      </c>
      <c r="AZ257" s="281"/>
      <c r="BA257" s="338">
        <v>2937</v>
      </c>
      <c r="BB257" s="281"/>
      <c r="BC257" s="338">
        <v>13456</v>
      </c>
      <c r="BD257" s="281"/>
      <c r="BE257" s="338">
        <v>2535</v>
      </c>
      <c r="BF257" s="281"/>
      <c r="BG257" s="338">
        <v>4386</v>
      </c>
      <c r="BH257" s="281"/>
      <c r="BI257" s="338">
        <v>5723</v>
      </c>
      <c r="BJ257" s="281"/>
      <c r="BK257" s="338">
        <v>7734</v>
      </c>
      <c r="BL257" s="281"/>
      <c r="BM257" s="338">
        <v>4389</v>
      </c>
      <c r="BN257" s="281"/>
      <c r="BO257" s="338">
        <v>4408</v>
      </c>
      <c r="BP257" s="281"/>
      <c r="BQ257" s="338">
        <v>5918</v>
      </c>
      <c r="BR257" s="281"/>
      <c r="BS257" s="338">
        <v>10165</v>
      </c>
      <c r="BT257" s="281"/>
      <c r="BU257" s="338">
        <v>2535</v>
      </c>
      <c r="BV257" s="281"/>
      <c r="BW257" s="338">
        <v>5768</v>
      </c>
      <c r="BX257" s="281"/>
      <c r="BY257" s="338">
        <v>5738</v>
      </c>
      <c r="BZ257" s="281"/>
      <c r="CA257" s="338">
        <v>14417</v>
      </c>
      <c r="CB257" s="281"/>
      <c r="CC257" s="338">
        <v>3111</v>
      </c>
      <c r="CD257" s="281"/>
      <c r="CE257" s="338">
        <v>5612</v>
      </c>
      <c r="CF257" s="281"/>
      <c r="CG257" s="338">
        <v>8170</v>
      </c>
      <c r="CH257" s="281"/>
      <c r="CI257" s="338">
        <v>16036</v>
      </c>
      <c r="CJ257" s="281"/>
      <c r="CK257" s="338">
        <v>4402</v>
      </c>
      <c r="CL257" s="281"/>
      <c r="CM257" s="338">
        <v>7066</v>
      </c>
      <c r="CN257" s="281"/>
      <c r="CO257" s="338">
        <v>6692</v>
      </c>
      <c r="CP257" s="281"/>
      <c r="CQ257" s="338">
        <v>8929</v>
      </c>
      <c r="CR257" s="281"/>
      <c r="CS257" s="338">
        <v>5660</v>
      </c>
      <c r="CT257" s="281"/>
      <c r="CU257" s="338">
        <v>6211</v>
      </c>
      <c r="CV257" s="281"/>
      <c r="CW257" s="338">
        <v>6978</v>
      </c>
      <c r="CX257" s="281"/>
      <c r="CY257" s="338">
        <v>11813</v>
      </c>
      <c r="CZ257" s="281"/>
      <c r="DA257" s="338">
        <v>5355</v>
      </c>
      <c r="DB257" s="281"/>
      <c r="DC257" s="338">
        <v>4305.13</v>
      </c>
      <c r="DD257" s="281"/>
      <c r="DE257" s="338">
        <v>2061</v>
      </c>
      <c r="DF257" s="281"/>
      <c r="DG257" s="338">
        <v>1827</v>
      </c>
      <c r="DH257" s="281"/>
      <c r="DI257" s="356">
        <v>12713.88</v>
      </c>
      <c r="DJ257" s="350"/>
      <c r="DK257" s="356">
        <v>9842.33</v>
      </c>
      <c r="DL257" s="350"/>
      <c r="DM257" s="356">
        <v>7184.5</v>
      </c>
      <c r="DN257" s="350"/>
      <c r="DO257" s="356">
        <v>2840.6</v>
      </c>
      <c r="DP257" s="350"/>
      <c r="DQ257" s="356">
        <v>2840.6</v>
      </c>
      <c r="DR257" s="350"/>
      <c r="DS257" s="356">
        <v>2840.6</v>
      </c>
      <c r="DT257" s="350"/>
      <c r="DU257" s="122"/>
      <c r="DV257" s="122"/>
      <c r="DW257" s="122"/>
      <c r="DX257" s="122"/>
      <c r="DY257" s="122"/>
      <c r="DZ257" s="122"/>
      <c r="EA257" s="122"/>
      <c r="EB257" s="122"/>
      <c r="EC257" s="122"/>
      <c r="ED257" s="122"/>
      <c r="EE257" s="122"/>
      <c r="EF257" s="122"/>
      <c r="EG257" s="122"/>
      <c r="EH257" s="122"/>
      <c r="EI257" s="122"/>
      <c r="EJ257" s="122"/>
      <c r="EK257" s="122"/>
      <c r="EL257" s="122"/>
      <c r="EM257" s="122"/>
      <c r="EN257" s="356">
        <v>2840.6</v>
      </c>
      <c r="EO257" s="350"/>
      <c r="EP257" s="356">
        <v>2841.6</v>
      </c>
      <c r="EQ257" s="350"/>
      <c r="ER257" s="356">
        <v>2841.6</v>
      </c>
      <c r="ES257" s="350"/>
      <c r="ET257" s="356">
        <v>4826.9399999999996</v>
      </c>
      <c r="EU257" s="350"/>
      <c r="EV257" s="356">
        <v>4826.9399999999996</v>
      </c>
      <c r="EW257" s="350"/>
      <c r="EX257" s="356">
        <v>4826.9399999999996</v>
      </c>
      <c r="EY257" s="350"/>
      <c r="EZ257" s="356">
        <v>4826.9399999999996</v>
      </c>
      <c r="FA257" s="350"/>
      <c r="FB257" s="356">
        <v>4826.9399999999996</v>
      </c>
      <c r="FC257" s="350"/>
      <c r="FD257" s="356">
        <v>4826.9399999999996</v>
      </c>
      <c r="FE257" s="350"/>
      <c r="FF257" s="356">
        <v>4826.9399999999996</v>
      </c>
      <c r="FG257" s="350"/>
      <c r="FH257" s="356">
        <v>4826.9399999999996</v>
      </c>
      <c r="FI257" s="350"/>
      <c r="FJ257" s="356">
        <v>4826.9399999999996</v>
      </c>
      <c r="FK257" s="350"/>
      <c r="FL257" s="338">
        <v>4826.9399999999996</v>
      </c>
      <c r="FM257" s="281"/>
      <c r="FN257" s="338">
        <v>3674.51</v>
      </c>
      <c r="FO257" s="281"/>
      <c r="FP257" s="338"/>
      <c r="FQ257" s="281"/>
      <c r="FR257" s="122"/>
      <c r="FS257" s="122"/>
      <c r="FT257" s="122"/>
      <c r="FU257" s="122"/>
      <c r="FV257" s="122"/>
      <c r="FW257" s="122"/>
      <c r="FX257" s="233"/>
      <c r="FY257" s="233"/>
      <c r="FZ257" s="233"/>
      <c r="GA257" s="233"/>
      <c r="GB257" s="233"/>
      <c r="GC257" s="233"/>
      <c r="GD257" s="233"/>
      <c r="GE257" s="233"/>
      <c r="GF257" s="233"/>
      <c r="GG257" s="233"/>
    </row>
    <row r="258" spans="1:189" ht="8.25" customHeight="1" outlineLevel="1" x14ac:dyDescent="0.3">
      <c r="A258" s="1"/>
      <c r="B258" s="18"/>
      <c r="C258" s="18"/>
      <c r="D258" s="18"/>
      <c r="E258" s="18"/>
      <c r="F258" s="18"/>
      <c r="G258" s="3"/>
      <c r="H258" s="3"/>
      <c r="I258" s="19"/>
      <c r="J258" s="20"/>
      <c r="K258" s="19"/>
      <c r="L258" s="20"/>
      <c r="M258" s="19"/>
      <c r="N258" s="20"/>
      <c r="O258" s="19"/>
      <c r="P258" s="20"/>
      <c r="Q258" s="19"/>
      <c r="R258" s="20"/>
      <c r="S258" s="19"/>
      <c r="T258" s="20"/>
      <c r="U258" s="19"/>
      <c r="V258" s="20"/>
      <c r="W258" s="19"/>
      <c r="X258" s="20"/>
      <c r="Y258" s="19"/>
      <c r="Z258" s="20"/>
      <c r="AA258" s="19"/>
      <c r="AB258" s="20"/>
      <c r="AC258" s="19"/>
      <c r="AD258" s="20"/>
      <c r="AE258" s="19"/>
      <c r="AF258" s="20"/>
      <c r="AG258" s="19"/>
      <c r="AH258" s="20"/>
      <c r="AI258" s="19"/>
      <c r="AJ258" s="20"/>
      <c r="AK258" s="19"/>
      <c r="AL258" s="20"/>
      <c r="AM258" s="19"/>
      <c r="AN258" s="20"/>
      <c r="AO258" s="19"/>
      <c r="AP258" s="20"/>
      <c r="AQ258" s="19"/>
      <c r="AR258" s="20"/>
      <c r="AS258" s="19"/>
      <c r="AT258" s="20"/>
      <c r="AU258" s="19"/>
      <c r="AV258" s="20"/>
      <c r="AW258" s="19"/>
      <c r="AX258" s="20"/>
      <c r="AY258" s="19"/>
      <c r="AZ258" s="20"/>
      <c r="BA258" s="19"/>
      <c r="BB258" s="20"/>
      <c r="BC258" s="19"/>
      <c r="BD258" s="20"/>
      <c r="BE258" s="19"/>
      <c r="BF258" s="20"/>
      <c r="BG258" s="19"/>
      <c r="BH258" s="20"/>
      <c r="BI258" s="19"/>
      <c r="BJ258" s="20"/>
      <c r="BK258" s="19"/>
      <c r="BL258" s="20"/>
      <c r="BM258" s="19"/>
      <c r="BN258" s="20"/>
      <c r="BO258" s="19"/>
      <c r="BP258" s="20"/>
      <c r="BQ258" s="19"/>
      <c r="BR258" s="20"/>
      <c r="BS258" s="19"/>
      <c r="BT258" s="20"/>
      <c r="BU258" s="19"/>
      <c r="BV258" s="20"/>
      <c r="BW258" s="19"/>
      <c r="BX258" s="20"/>
      <c r="BY258" s="19"/>
      <c r="BZ258" s="20"/>
      <c r="CA258" s="19"/>
      <c r="CB258" s="20"/>
      <c r="CC258" s="19"/>
      <c r="CD258" s="20"/>
      <c r="CE258" s="19"/>
      <c r="CF258" s="20"/>
      <c r="CG258" s="19"/>
      <c r="CH258" s="20"/>
      <c r="CI258" s="19"/>
      <c r="CJ258" s="20"/>
      <c r="CK258" s="19"/>
      <c r="CL258" s="20"/>
      <c r="CM258" s="19"/>
      <c r="CN258" s="20"/>
      <c r="CO258" s="19"/>
      <c r="CP258" s="20"/>
      <c r="CQ258" s="19"/>
      <c r="CR258" s="20"/>
      <c r="CS258" s="19"/>
      <c r="CT258" s="20"/>
      <c r="CU258" s="19"/>
      <c r="CV258" s="20"/>
      <c r="CW258" s="19"/>
      <c r="CX258" s="20"/>
      <c r="CY258" s="19"/>
      <c r="CZ258" s="20"/>
      <c r="DA258" s="19"/>
      <c r="DB258" s="20"/>
      <c r="DC258" s="19"/>
      <c r="DD258" s="20"/>
      <c r="DE258" s="19"/>
      <c r="DF258" s="20"/>
      <c r="DG258" s="19"/>
      <c r="DH258" s="20"/>
      <c r="DI258" s="19"/>
      <c r="DJ258" s="20"/>
      <c r="DK258" s="19"/>
      <c r="DL258" s="20"/>
      <c r="DM258" s="19"/>
      <c r="DN258" s="20"/>
      <c r="DO258" s="19"/>
      <c r="DP258" s="20"/>
      <c r="DQ258" s="19"/>
      <c r="DR258" s="20"/>
      <c r="DS258" s="19"/>
      <c r="DT258" s="20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19"/>
      <c r="EO258" s="20"/>
      <c r="EP258" s="19"/>
      <c r="EQ258" s="20"/>
      <c r="ER258" s="19"/>
      <c r="ES258" s="20"/>
      <c r="ET258" s="19"/>
      <c r="EU258" s="20"/>
      <c r="EV258" s="19"/>
      <c r="EW258" s="20"/>
      <c r="EX258" s="19"/>
      <c r="EY258" s="20"/>
      <c r="EZ258" s="19"/>
      <c r="FA258" s="20"/>
      <c r="FB258" s="19"/>
      <c r="FC258" s="20"/>
      <c r="FD258" s="19"/>
      <c r="FE258" s="20"/>
      <c r="FF258" s="19"/>
      <c r="FG258" s="20"/>
      <c r="FH258" s="19"/>
      <c r="FI258" s="20"/>
      <c r="FJ258" s="19"/>
      <c r="FK258" s="20"/>
      <c r="FL258" s="19"/>
      <c r="FM258" s="20"/>
      <c r="FN258" s="19"/>
      <c r="FO258" s="20"/>
      <c r="FP258" s="19"/>
      <c r="FQ258" s="20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</row>
    <row r="259" spans="1:189" ht="15" customHeight="1" outlineLevel="1" x14ac:dyDescent="0.3">
      <c r="A259" s="63"/>
      <c r="B259" s="455" t="s">
        <v>200</v>
      </c>
      <c r="C259" s="313" t="s">
        <v>80</v>
      </c>
      <c r="D259" s="313" t="s">
        <v>25</v>
      </c>
      <c r="E259" s="313" t="s">
        <v>201</v>
      </c>
      <c r="F259" s="313" t="s">
        <v>27</v>
      </c>
      <c r="G259" s="5" t="s">
        <v>30</v>
      </c>
      <c r="H259" s="5"/>
      <c r="I259" s="283">
        <f>AVERAGE(K259:AH259)</f>
        <v>4.2754545454545455E-2</v>
      </c>
      <c r="J259" s="281"/>
      <c r="K259" s="336">
        <v>5.1200000000000002E-2</v>
      </c>
      <c r="L259" s="281"/>
      <c r="M259" s="336">
        <v>7.8600000000000003E-2</v>
      </c>
      <c r="N259" s="281"/>
      <c r="O259" s="336" t="s">
        <v>202</v>
      </c>
      <c r="P259" s="281"/>
      <c r="Q259" s="336">
        <v>5.5E-2</v>
      </c>
      <c r="R259" s="281"/>
      <c r="S259" s="336">
        <v>5.8599999999999999E-2</v>
      </c>
      <c r="T259" s="281"/>
      <c r="U259" s="336">
        <v>0.108</v>
      </c>
      <c r="V259" s="281"/>
      <c r="W259" s="336">
        <v>1.61E-2</v>
      </c>
      <c r="X259" s="281"/>
      <c r="Y259" s="336">
        <v>2.0400000000000001E-2</v>
      </c>
      <c r="Z259" s="281"/>
      <c r="AA259" s="336">
        <v>3.5400000000000001E-2</v>
      </c>
      <c r="AB259" s="281"/>
      <c r="AC259" s="336">
        <v>2.9399999999999999E-2</v>
      </c>
      <c r="AD259" s="281"/>
      <c r="AE259" s="336">
        <v>5.1000000000000004E-3</v>
      </c>
      <c r="AF259" s="281"/>
      <c r="AG259" s="336">
        <v>1.2500000000000001E-2</v>
      </c>
      <c r="AH259" s="281"/>
      <c r="AI259" s="283">
        <v>0.02</v>
      </c>
      <c r="AJ259" s="281"/>
      <c r="AK259" s="283">
        <v>5.8000000000000003E-2</v>
      </c>
      <c r="AL259" s="281"/>
      <c r="AM259" s="283">
        <v>5.0000000000000001E-3</v>
      </c>
      <c r="AN259" s="281"/>
      <c r="AO259" s="283">
        <v>0</v>
      </c>
      <c r="AP259" s="281"/>
      <c r="AQ259" s="283">
        <v>0</v>
      </c>
      <c r="AR259" s="281"/>
      <c r="AS259" s="283">
        <v>4.7300000000000002E-2</v>
      </c>
      <c r="AT259" s="281"/>
      <c r="AU259" s="283">
        <v>3.4700000000000002E-2</v>
      </c>
      <c r="AV259" s="281"/>
      <c r="AW259" s="283">
        <v>2.0799999999999999E-2</v>
      </c>
      <c r="AX259" s="281"/>
      <c r="AY259" s="283">
        <v>6.3200000000000006E-2</v>
      </c>
      <c r="AZ259" s="281"/>
      <c r="BA259" s="283">
        <v>2.1100000000000001E-2</v>
      </c>
      <c r="BB259" s="281"/>
      <c r="BC259" s="283"/>
      <c r="BD259" s="281"/>
      <c r="BE259" s="283">
        <v>0.05</v>
      </c>
      <c r="BF259" s="281"/>
      <c r="BG259" s="283">
        <v>4.0000000000000001E-3</v>
      </c>
      <c r="BH259" s="281"/>
      <c r="BI259" s="283">
        <v>0.02</v>
      </c>
      <c r="BJ259" s="281"/>
      <c r="BK259" s="283">
        <v>0.01</v>
      </c>
      <c r="BL259" s="281"/>
      <c r="BM259" s="283">
        <v>0.01</v>
      </c>
      <c r="BN259" s="281"/>
      <c r="BO259" s="283">
        <v>0.01</v>
      </c>
      <c r="BP259" s="281"/>
      <c r="BQ259" s="339">
        <v>0.01</v>
      </c>
      <c r="BR259" s="281"/>
      <c r="BS259" s="339">
        <v>3.0000000000000001E-3</v>
      </c>
      <c r="BT259" s="281"/>
      <c r="BU259" s="339">
        <v>0</v>
      </c>
      <c r="BV259" s="281"/>
      <c r="BW259" s="339">
        <v>0.01</v>
      </c>
      <c r="BX259" s="281"/>
      <c r="BY259" s="339">
        <v>5.0000000000000001E-3</v>
      </c>
      <c r="BZ259" s="281"/>
      <c r="CA259" s="339"/>
      <c r="CB259" s="281"/>
      <c r="CC259" s="339"/>
      <c r="CD259" s="281"/>
      <c r="CE259" s="339">
        <v>8.0000000000000002E-3</v>
      </c>
      <c r="CF259" s="281"/>
      <c r="CG259" s="339">
        <v>2E-3</v>
      </c>
      <c r="CH259" s="281"/>
      <c r="CI259" s="339">
        <v>0</v>
      </c>
      <c r="CJ259" s="281"/>
      <c r="CK259" s="339">
        <v>5.0000000000000001E-3</v>
      </c>
      <c r="CL259" s="281"/>
      <c r="CM259" s="339">
        <v>5.0000000000000001E-3</v>
      </c>
      <c r="CN259" s="281"/>
      <c r="CO259" s="339">
        <v>0</v>
      </c>
      <c r="CP259" s="281"/>
      <c r="CQ259" s="339">
        <v>1E-3</v>
      </c>
      <c r="CR259" s="281"/>
      <c r="CS259" s="339">
        <v>2E-3</v>
      </c>
      <c r="CT259" s="281"/>
      <c r="CU259" s="339">
        <v>7.0000000000000001E-3</v>
      </c>
      <c r="CV259" s="281"/>
      <c r="CW259" s="339">
        <v>4.0000000000000001E-3</v>
      </c>
      <c r="CX259" s="281"/>
      <c r="CY259" s="339">
        <v>1.2999999999999999E-2</v>
      </c>
      <c r="CZ259" s="281"/>
      <c r="DA259" s="339">
        <v>1E-3</v>
      </c>
      <c r="DB259" s="281"/>
      <c r="DC259" s="339">
        <v>4.0000000000000001E-3</v>
      </c>
      <c r="DD259" s="281"/>
      <c r="DE259" s="339">
        <v>5.0000000000000001E-3</v>
      </c>
      <c r="DF259" s="281"/>
      <c r="DG259" s="339">
        <v>1.1904761904761904E-2</v>
      </c>
      <c r="DH259" s="281"/>
      <c r="DI259" s="339">
        <v>1.375515818431912E-3</v>
      </c>
      <c r="DJ259" s="281"/>
      <c r="DK259" s="339">
        <v>6.2814070351758797E-3</v>
      </c>
      <c r="DL259" s="281"/>
      <c r="DM259" s="339">
        <v>2E-3</v>
      </c>
      <c r="DN259" s="281"/>
      <c r="DO259" s="339">
        <v>8.9999999999999993E-3</v>
      </c>
      <c r="DP259" s="281"/>
      <c r="DQ259" s="339">
        <v>1E-3</v>
      </c>
      <c r="DR259" s="340"/>
      <c r="DS259" s="339">
        <v>1.7999999999999999E-2</v>
      </c>
      <c r="DT259" s="340"/>
      <c r="DU259" s="123"/>
      <c r="DV259" s="124"/>
      <c r="DW259" s="124"/>
      <c r="DX259" s="124"/>
      <c r="DY259" s="124"/>
      <c r="DZ259" s="124"/>
      <c r="EA259" s="124"/>
      <c r="EB259" s="124"/>
      <c r="EC259" s="124"/>
      <c r="ED259" s="124"/>
      <c r="EE259" s="124"/>
      <c r="EF259" s="124"/>
      <c r="EG259" s="124"/>
      <c r="EH259" s="124"/>
      <c r="EI259" s="124"/>
      <c r="EJ259" s="124"/>
      <c r="EK259" s="124"/>
      <c r="EL259" s="124"/>
      <c r="EM259" s="124"/>
      <c r="EN259" s="339">
        <v>0</v>
      </c>
      <c r="EO259" s="340"/>
      <c r="EP259" s="339">
        <v>0</v>
      </c>
      <c r="EQ259" s="340"/>
      <c r="ER259" s="339">
        <v>5.0000000000000001E-3</v>
      </c>
      <c r="ES259" s="340"/>
      <c r="ET259" s="339">
        <v>4.0000000000000001E-3</v>
      </c>
      <c r="EU259" s="340"/>
      <c r="EV259" s="339">
        <v>3.3000000000000002E-2</v>
      </c>
      <c r="EW259" s="340"/>
      <c r="EX259" s="339">
        <v>9.9000000000000005E-2</v>
      </c>
      <c r="EY259" s="340"/>
      <c r="EZ259" s="339">
        <v>0.08</v>
      </c>
      <c r="FA259" s="340"/>
      <c r="FB259" s="339">
        <v>0</v>
      </c>
      <c r="FC259" s="340"/>
      <c r="FD259" s="339">
        <v>0</v>
      </c>
      <c r="FE259" s="340"/>
      <c r="FF259" s="339">
        <v>2.7E-2</v>
      </c>
      <c r="FG259" s="340"/>
      <c r="FH259" s="339">
        <v>0.01</v>
      </c>
      <c r="FI259" s="340"/>
      <c r="FJ259" s="339">
        <v>3.0000000000000001E-3</v>
      </c>
      <c r="FK259" s="340"/>
      <c r="FL259" s="339">
        <v>0</v>
      </c>
      <c r="FM259" s="340"/>
      <c r="FN259" s="339">
        <f>FN260/FN262/22</f>
        <v>3.4965034965034965E-3</v>
      </c>
      <c r="FO259" s="340"/>
      <c r="FP259" s="339">
        <f>FP260/FP262/22</f>
        <v>0</v>
      </c>
      <c r="FQ259" s="340"/>
      <c r="FR259" s="124"/>
      <c r="FS259" s="124"/>
      <c r="FT259" s="124"/>
      <c r="FU259" s="124"/>
      <c r="FV259" s="124"/>
      <c r="FW259" s="124"/>
      <c r="FX259" s="124"/>
      <c r="FY259" s="124"/>
      <c r="FZ259" s="124"/>
      <c r="GA259" s="124"/>
      <c r="GB259" s="124"/>
      <c r="GC259" s="124"/>
      <c r="GD259" s="124"/>
      <c r="GE259" s="124"/>
      <c r="GF259" s="256"/>
      <c r="GG259" s="256"/>
    </row>
    <row r="260" spans="1:189" ht="15" customHeight="1" outlineLevel="1" x14ac:dyDescent="0.3">
      <c r="A260" s="1"/>
      <c r="B260" s="450"/>
      <c r="C260" s="301"/>
      <c r="D260" s="301"/>
      <c r="E260" s="301"/>
      <c r="F260" s="301"/>
      <c r="G260" s="5" t="s">
        <v>203</v>
      </c>
      <c r="H260" s="5"/>
      <c r="I260" s="7">
        <f t="shared" ref="I260:J260" si="532">AG260+AE260+AC260+AA260+Y260+W260+U260+S260+O260+M260+K260</f>
        <v>345</v>
      </c>
      <c r="J260" s="23">
        <f t="shared" si="532"/>
        <v>111</v>
      </c>
      <c r="K260" s="23">
        <v>35</v>
      </c>
      <c r="L260" s="23">
        <v>9</v>
      </c>
      <c r="M260" s="23">
        <v>46</v>
      </c>
      <c r="N260" s="23">
        <v>14</v>
      </c>
      <c r="O260" s="23">
        <v>76</v>
      </c>
      <c r="P260" s="23">
        <v>13</v>
      </c>
      <c r="Q260" s="23">
        <v>33</v>
      </c>
      <c r="R260" s="23">
        <v>12</v>
      </c>
      <c r="S260" s="23">
        <v>42</v>
      </c>
      <c r="T260" s="23">
        <v>16</v>
      </c>
      <c r="U260" s="23">
        <v>60</v>
      </c>
      <c r="V260" s="23">
        <v>13</v>
      </c>
      <c r="W260" s="23">
        <v>12</v>
      </c>
      <c r="X260" s="23">
        <v>9</v>
      </c>
      <c r="Y260" s="23">
        <v>16</v>
      </c>
      <c r="Z260" s="23">
        <v>11</v>
      </c>
      <c r="AA260" s="23">
        <v>24</v>
      </c>
      <c r="AB260" s="23">
        <v>6</v>
      </c>
      <c r="AC260" s="23">
        <v>23</v>
      </c>
      <c r="AD260" s="23">
        <v>10</v>
      </c>
      <c r="AE260" s="23">
        <v>4</v>
      </c>
      <c r="AF260" s="23">
        <v>4</v>
      </c>
      <c r="AG260" s="23">
        <v>7</v>
      </c>
      <c r="AH260" s="23">
        <v>6</v>
      </c>
      <c r="AI260" s="23">
        <v>11</v>
      </c>
      <c r="AJ260" s="23">
        <v>5</v>
      </c>
      <c r="AK260" s="23">
        <v>28</v>
      </c>
      <c r="AL260" s="23">
        <v>7</v>
      </c>
      <c r="AM260" s="23">
        <v>3</v>
      </c>
      <c r="AN260" s="23">
        <v>1</v>
      </c>
      <c r="AO260" s="23">
        <v>0</v>
      </c>
      <c r="AP260" s="23">
        <v>0</v>
      </c>
      <c r="AQ260" s="23">
        <v>2</v>
      </c>
      <c r="AR260" s="23">
        <v>2</v>
      </c>
      <c r="AS260" s="23">
        <v>20</v>
      </c>
      <c r="AT260" s="23">
        <v>2</v>
      </c>
      <c r="AU260" s="23">
        <v>16</v>
      </c>
      <c r="AV260" s="23">
        <v>2</v>
      </c>
      <c r="AW260" s="23">
        <v>11</v>
      </c>
      <c r="AX260" s="23">
        <v>3</v>
      </c>
      <c r="AY260" s="23">
        <v>33</v>
      </c>
      <c r="AZ260" s="23">
        <v>2</v>
      </c>
      <c r="BA260" s="23">
        <v>11</v>
      </c>
      <c r="BB260" s="23">
        <v>4</v>
      </c>
      <c r="BC260" s="23"/>
      <c r="BD260" s="23"/>
      <c r="BE260" s="23">
        <v>17</v>
      </c>
      <c r="BF260" s="23">
        <v>5</v>
      </c>
      <c r="BG260" s="23">
        <v>2</v>
      </c>
      <c r="BH260" s="23">
        <v>1</v>
      </c>
      <c r="BI260" s="23">
        <v>8</v>
      </c>
      <c r="BJ260" s="23">
        <v>1</v>
      </c>
      <c r="BK260" s="23">
        <v>6</v>
      </c>
      <c r="BL260" s="23">
        <v>1</v>
      </c>
      <c r="BM260" s="28">
        <v>14</v>
      </c>
      <c r="BN260" s="28">
        <v>4</v>
      </c>
      <c r="BO260" s="28">
        <v>7</v>
      </c>
      <c r="BP260" s="28">
        <v>2</v>
      </c>
      <c r="BQ260" s="28">
        <v>7</v>
      </c>
      <c r="BR260" s="28">
        <v>1</v>
      </c>
      <c r="BS260" s="28">
        <v>2</v>
      </c>
      <c r="BT260" s="28">
        <v>1</v>
      </c>
      <c r="BU260" s="28">
        <v>0</v>
      </c>
      <c r="BV260" s="28">
        <v>0</v>
      </c>
      <c r="BW260" s="28">
        <v>4</v>
      </c>
      <c r="BX260" s="28">
        <v>3</v>
      </c>
      <c r="BY260" s="28">
        <v>4</v>
      </c>
      <c r="BZ260" s="28">
        <v>2</v>
      </c>
      <c r="CA260" s="28">
        <v>1</v>
      </c>
      <c r="CB260" s="28">
        <v>1</v>
      </c>
      <c r="CC260" s="28"/>
      <c r="CD260" s="28"/>
      <c r="CE260" s="28">
        <v>4</v>
      </c>
      <c r="CF260" s="28">
        <v>2</v>
      </c>
      <c r="CG260" s="28">
        <v>1</v>
      </c>
      <c r="CH260" s="28">
        <v>1</v>
      </c>
      <c r="CI260" s="28">
        <v>0</v>
      </c>
      <c r="CJ260" s="28">
        <v>0</v>
      </c>
      <c r="CK260" s="28">
        <v>3</v>
      </c>
      <c r="CL260" s="28">
        <v>2</v>
      </c>
      <c r="CM260" s="28">
        <v>3</v>
      </c>
      <c r="CN260" s="28">
        <v>3</v>
      </c>
      <c r="CO260" s="28">
        <v>0</v>
      </c>
      <c r="CP260" s="28">
        <v>0</v>
      </c>
      <c r="CQ260" s="28">
        <v>1</v>
      </c>
      <c r="CR260" s="28">
        <v>1</v>
      </c>
      <c r="CS260" s="28">
        <v>2</v>
      </c>
      <c r="CT260" s="28">
        <v>2</v>
      </c>
      <c r="CU260" s="28">
        <v>5</v>
      </c>
      <c r="CV260" s="28">
        <v>2</v>
      </c>
      <c r="CW260" s="28">
        <v>2</v>
      </c>
      <c r="CX260" s="28">
        <v>2</v>
      </c>
      <c r="CY260" s="28">
        <v>9</v>
      </c>
      <c r="CZ260" s="28">
        <v>2</v>
      </c>
      <c r="DA260" s="28">
        <v>1</v>
      </c>
      <c r="DB260" s="28">
        <v>1</v>
      </c>
      <c r="DC260" s="28">
        <v>3</v>
      </c>
      <c r="DD260" s="28">
        <v>3</v>
      </c>
      <c r="DE260" s="28">
        <v>3</v>
      </c>
      <c r="DF260" s="28">
        <v>3</v>
      </c>
      <c r="DG260" s="28">
        <v>8</v>
      </c>
      <c r="DH260" s="28">
        <v>2</v>
      </c>
      <c r="DI260" s="28">
        <v>1</v>
      </c>
      <c r="DJ260" s="28">
        <v>1</v>
      </c>
      <c r="DK260" s="28">
        <v>5</v>
      </c>
      <c r="DL260" s="28">
        <v>1</v>
      </c>
      <c r="DM260" s="28">
        <v>2</v>
      </c>
      <c r="DN260" s="28">
        <v>2</v>
      </c>
      <c r="DO260" s="28">
        <v>7</v>
      </c>
      <c r="DP260" s="28">
        <v>5</v>
      </c>
      <c r="DQ260" s="28">
        <v>1</v>
      </c>
      <c r="DR260" s="28">
        <v>1</v>
      </c>
      <c r="DS260" s="28">
        <v>8</v>
      </c>
      <c r="DT260" s="28">
        <v>3</v>
      </c>
      <c r="DU260" s="123"/>
      <c r="DV260" s="124"/>
      <c r="DW260" s="124"/>
      <c r="DX260" s="124"/>
      <c r="DY260" s="124"/>
      <c r="DZ260" s="124"/>
      <c r="EA260" s="124"/>
      <c r="EB260" s="124"/>
      <c r="EC260" s="124"/>
      <c r="ED260" s="124"/>
      <c r="EE260" s="124"/>
      <c r="EF260" s="124"/>
      <c r="EG260" s="124"/>
      <c r="EH260" s="124"/>
      <c r="EI260" s="124"/>
      <c r="EJ260" s="124"/>
      <c r="EK260" s="124"/>
      <c r="EL260" s="124"/>
      <c r="EM260" s="124"/>
      <c r="EN260" s="28">
        <v>0</v>
      </c>
      <c r="EO260" s="28">
        <v>0</v>
      </c>
      <c r="EP260" s="28">
        <v>0</v>
      </c>
      <c r="EQ260" s="28">
        <v>0</v>
      </c>
      <c r="ER260" s="28">
        <v>2</v>
      </c>
      <c r="ES260" s="28">
        <v>2</v>
      </c>
      <c r="ET260" s="28">
        <v>2</v>
      </c>
      <c r="EU260" s="28">
        <v>1</v>
      </c>
      <c r="EV260" s="28">
        <v>15</v>
      </c>
      <c r="EW260" s="28">
        <v>4</v>
      </c>
      <c r="EX260" s="28">
        <v>42</v>
      </c>
      <c r="EY260" s="28">
        <v>4</v>
      </c>
      <c r="EZ260" s="28">
        <v>32</v>
      </c>
      <c r="FA260" s="28">
        <v>9</v>
      </c>
      <c r="FB260" s="28">
        <v>0</v>
      </c>
      <c r="FC260" s="28">
        <v>0</v>
      </c>
      <c r="FD260" s="28">
        <v>0</v>
      </c>
      <c r="FE260" s="28">
        <v>0</v>
      </c>
      <c r="FF260" s="28">
        <v>21</v>
      </c>
      <c r="FG260" s="28">
        <v>5</v>
      </c>
      <c r="FH260" s="28">
        <v>5</v>
      </c>
      <c r="FI260" s="28">
        <v>3</v>
      </c>
      <c r="FJ260" s="28">
        <v>1</v>
      </c>
      <c r="FK260" s="28">
        <v>1</v>
      </c>
      <c r="FL260" s="28">
        <v>0</v>
      </c>
      <c r="FM260" s="28">
        <v>0</v>
      </c>
      <c r="FN260" s="28">
        <v>1</v>
      </c>
      <c r="FO260" s="28">
        <v>1</v>
      </c>
      <c r="FP260" s="28"/>
      <c r="FQ260" s="28">
        <v>1</v>
      </c>
      <c r="FR260" s="124"/>
      <c r="FS260" s="124"/>
      <c r="FT260" s="124"/>
      <c r="FU260" s="124"/>
      <c r="FV260" s="124"/>
      <c r="FW260" s="124"/>
      <c r="FX260" s="124"/>
      <c r="FY260" s="124"/>
      <c r="FZ260" s="124"/>
      <c r="GA260" s="124"/>
      <c r="GB260" s="124"/>
      <c r="GC260" s="124"/>
      <c r="GD260" s="124"/>
      <c r="GE260" s="124"/>
      <c r="GF260" s="256"/>
      <c r="GG260" s="256"/>
    </row>
    <row r="261" spans="1:189" ht="15" customHeight="1" outlineLevel="1" x14ac:dyDescent="0.3">
      <c r="A261" s="1"/>
      <c r="B261" s="450"/>
      <c r="C261" s="301"/>
      <c r="D261" s="301"/>
      <c r="E261" s="301"/>
      <c r="F261" s="301"/>
      <c r="G261" s="5" t="s">
        <v>204</v>
      </c>
      <c r="H261" s="449"/>
      <c r="I261" s="450"/>
      <c r="J261" s="417"/>
      <c r="K261" s="451">
        <v>34</v>
      </c>
      <c r="L261" s="452"/>
      <c r="M261" s="453">
        <v>33</v>
      </c>
      <c r="N261" s="452"/>
      <c r="O261" s="453">
        <v>36</v>
      </c>
      <c r="P261" s="281"/>
      <c r="Q261" s="284">
        <v>38</v>
      </c>
      <c r="R261" s="281"/>
      <c r="S261" s="284">
        <v>33</v>
      </c>
      <c r="T261" s="281"/>
      <c r="U261" s="284">
        <v>36</v>
      </c>
      <c r="V261" s="281"/>
      <c r="W261" s="435">
        <v>33</v>
      </c>
      <c r="X261" s="417"/>
      <c r="Y261" s="435">
        <v>35</v>
      </c>
      <c r="Z261" s="417"/>
      <c r="AA261" s="435">
        <v>35</v>
      </c>
      <c r="AB261" s="417"/>
      <c r="AC261" s="435">
        <v>35</v>
      </c>
      <c r="AD261" s="417"/>
      <c r="AE261" s="435">
        <v>34</v>
      </c>
      <c r="AF261" s="417"/>
      <c r="AG261" s="435">
        <v>33</v>
      </c>
      <c r="AH261" s="417"/>
      <c r="AI261" s="435">
        <v>28</v>
      </c>
      <c r="AJ261" s="417"/>
      <c r="AK261" s="435">
        <v>29</v>
      </c>
      <c r="AL261" s="417"/>
      <c r="AM261" s="435">
        <v>23</v>
      </c>
      <c r="AN261" s="417"/>
      <c r="AO261" s="435">
        <v>24</v>
      </c>
      <c r="AP261" s="417"/>
      <c r="AQ261" s="435">
        <v>22</v>
      </c>
      <c r="AR261" s="417"/>
      <c r="AS261" s="435">
        <v>20</v>
      </c>
      <c r="AT261" s="417"/>
      <c r="AU261" s="435">
        <v>23</v>
      </c>
      <c r="AV261" s="417"/>
      <c r="AW261" s="435">
        <v>25</v>
      </c>
      <c r="AX261" s="417"/>
      <c r="AY261" s="435">
        <v>25</v>
      </c>
      <c r="AZ261" s="417"/>
      <c r="BA261" s="435">
        <v>24</v>
      </c>
      <c r="BB261" s="417"/>
      <c r="BC261" s="435">
        <v>27</v>
      </c>
      <c r="BD261" s="417"/>
      <c r="BE261" s="435">
        <v>27</v>
      </c>
      <c r="BF261" s="417"/>
      <c r="BG261" s="284">
        <v>25</v>
      </c>
      <c r="BH261" s="281"/>
      <c r="BI261" s="284">
        <v>25</v>
      </c>
      <c r="BJ261" s="281"/>
      <c r="BK261" s="284">
        <v>26</v>
      </c>
      <c r="BL261" s="281"/>
      <c r="BM261" s="284">
        <v>26</v>
      </c>
      <c r="BN261" s="281"/>
      <c r="BO261" s="284">
        <v>31</v>
      </c>
      <c r="BP261" s="281"/>
      <c r="BQ261" s="284">
        <v>31</v>
      </c>
      <c r="BR261" s="281"/>
      <c r="BS261" s="284">
        <v>26</v>
      </c>
      <c r="BT261" s="281"/>
      <c r="BU261" s="284">
        <v>26</v>
      </c>
      <c r="BV261" s="281"/>
      <c r="BW261" s="284">
        <v>26</v>
      </c>
      <c r="BX261" s="281"/>
      <c r="BY261" s="284">
        <v>26</v>
      </c>
      <c r="BZ261" s="281"/>
      <c r="CA261" s="284">
        <v>23</v>
      </c>
      <c r="CB261" s="281"/>
      <c r="CC261" s="284">
        <v>26</v>
      </c>
      <c r="CD261" s="281"/>
      <c r="CE261" s="284">
        <v>26</v>
      </c>
      <c r="CF261" s="281"/>
      <c r="CG261" s="284">
        <v>26</v>
      </c>
      <c r="CH261" s="281"/>
      <c r="CI261" s="284">
        <v>32</v>
      </c>
      <c r="CJ261" s="281"/>
      <c r="CK261" s="401">
        <v>32</v>
      </c>
      <c r="CL261" s="281"/>
      <c r="CM261" s="284">
        <v>30</v>
      </c>
      <c r="CN261" s="281"/>
      <c r="CO261" s="284">
        <v>33</v>
      </c>
      <c r="CP261" s="281"/>
      <c r="CQ261" s="284">
        <v>28</v>
      </c>
      <c r="CR261" s="281"/>
      <c r="CS261" s="284">
        <v>26</v>
      </c>
      <c r="CT261" s="281"/>
      <c r="CU261" s="284">
        <v>26</v>
      </c>
      <c r="CV261" s="281"/>
      <c r="CW261" s="284">
        <v>26</v>
      </c>
      <c r="CX261" s="281"/>
      <c r="CY261" s="284">
        <v>26</v>
      </c>
      <c r="CZ261" s="281"/>
      <c r="DA261" s="284">
        <v>26</v>
      </c>
      <c r="DB261" s="281"/>
      <c r="DC261" s="424">
        <v>25</v>
      </c>
      <c r="DD261" s="340"/>
      <c r="DE261" s="424">
        <v>25</v>
      </c>
      <c r="DF261" s="340"/>
      <c r="DG261" s="424">
        <v>25</v>
      </c>
      <c r="DH261" s="340"/>
      <c r="DI261" s="424">
        <v>25</v>
      </c>
      <c r="DJ261" s="340"/>
      <c r="DK261" s="424">
        <v>27</v>
      </c>
      <c r="DL261" s="340"/>
      <c r="DM261" s="284">
        <v>24</v>
      </c>
      <c r="DN261" s="281"/>
      <c r="DO261" s="284">
        <v>24</v>
      </c>
      <c r="DP261" s="281"/>
      <c r="DQ261" s="284">
        <v>26</v>
      </c>
      <c r="DR261" s="281"/>
      <c r="DS261" s="284">
        <v>26</v>
      </c>
      <c r="DT261" s="281"/>
      <c r="DU261" s="123"/>
      <c r="DV261" s="124"/>
      <c r="DW261" s="124"/>
      <c r="DX261" s="124"/>
      <c r="DY261" s="124"/>
      <c r="DZ261" s="124"/>
      <c r="EA261" s="124"/>
      <c r="EB261" s="124"/>
      <c r="EC261" s="124"/>
      <c r="ED261" s="124"/>
      <c r="EE261" s="124" t="s">
        <v>29</v>
      </c>
      <c r="EF261" s="124" t="s">
        <v>29</v>
      </c>
      <c r="EG261" s="124" t="s">
        <v>29</v>
      </c>
      <c r="EH261" s="124" t="s">
        <v>29</v>
      </c>
      <c r="EI261" s="124" t="s">
        <v>29</v>
      </c>
      <c r="EJ261" s="124" t="s">
        <v>29</v>
      </c>
      <c r="EK261" s="124" t="s">
        <v>29</v>
      </c>
      <c r="EL261" s="124" t="s">
        <v>29</v>
      </c>
      <c r="EM261" s="124" t="s">
        <v>29</v>
      </c>
      <c r="EN261" s="284">
        <v>24</v>
      </c>
      <c r="EO261" s="281"/>
      <c r="EP261" s="284">
        <v>24</v>
      </c>
      <c r="EQ261" s="281"/>
      <c r="ER261" s="284">
        <v>24</v>
      </c>
      <c r="ES261" s="281"/>
      <c r="ET261" s="284">
        <v>23</v>
      </c>
      <c r="EU261" s="281"/>
      <c r="EV261" s="284">
        <v>23</v>
      </c>
      <c r="EW261" s="281"/>
      <c r="EX261" s="284">
        <v>23</v>
      </c>
      <c r="EY261" s="281"/>
      <c r="EZ261" s="284">
        <v>22</v>
      </c>
      <c r="FA261" s="281"/>
      <c r="FB261" s="284">
        <v>21</v>
      </c>
      <c r="FC261" s="281"/>
      <c r="FD261" s="284">
        <v>21</v>
      </c>
      <c r="FE261" s="281"/>
      <c r="FF261" s="284">
        <v>20</v>
      </c>
      <c r="FG261" s="281"/>
      <c r="FH261" s="284">
        <v>20</v>
      </c>
      <c r="FI261" s="281"/>
      <c r="FJ261" s="284">
        <v>20</v>
      </c>
      <c r="FK261" s="281"/>
      <c r="FL261" s="284">
        <v>15</v>
      </c>
      <c r="FM261" s="281"/>
      <c r="FN261" s="284">
        <v>9</v>
      </c>
      <c r="FO261" s="281"/>
      <c r="FP261" s="284">
        <v>9</v>
      </c>
      <c r="FQ261" s="281"/>
      <c r="FR261" s="124" t="s">
        <v>29</v>
      </c>
      <c r="FS261" s="124" t="s">
        <v>29</v>
      </c>
      <c r="FT261" s="124" t="s">
        <v>29</v>
      </c>
      <c r="FU261" s="124" t="s">
        <v>29</v>
      </c>
      <c r="FV261" s="124" t="s">
        <v>29</v>
      </c>
      <c r="FW261" s="124" t="s">
        <v>29</v>
      </c>
      <c r="FX261" s="124" t="s">
        <v>29</v>
      </c>
      <c r="FY261" s="124" t="s">
        <v>29</v>
      </c>
      <c r="FZ261" s="124" t="s">
        <v>29</v>
      </c>
      <c r="GA261" s="124" t="s">
        <v>29</v>
      </c>
      <c r="GB261" s="124" t="s">
        <v>29</v>
      </c>
      <c r="GC261" s="124" t="s">
        <v>29</v>
      </c>
      <c r="GD261" s="124" t="s">
        <v>29</v>
      </c>
      <c r="GE261" s="124" t="s">
        <v>29</v>
      </c>
      <c r="GF261" s="256"/>
      <c r="GG261" s="256"/>
    </row>
    <row r="262" spans="1:189" ht="15" customHeight="1" outlineLevel="1" x14ac:dyDescent="0.3">
      <c r="A262" s="1"/>
      <c r="B262" s="450"/>
      <c r="C262" s="302"/>
      <c r="D262" s="302"/>
      <c r="E262" s="302"/>
      <c r="F262" s="302"/>
      <c r="G262" s="5" t="s">
        <v>205</v>
      </c>
      <c r="H262" s="5"/>
      <c r="I262" s="284"/>
      <c r="J262" s="281"/>
      <c r="K262" s="358">
        <v>42</v>
      </c>
      <c r="L262" s="281"/>
      <c r="M262" s="358">
        <v>41</v>
      </c>
      <c r="N262" s="281"/>
      <c r="O262" s="358">
        <v>38</v>
      </c>
      <c r="P262" s="281"/>
      <c r="Q262" s="358">
        <v>45</v>
      </c>
      <c r="R262" s="281"/>
      <c r="S262" s="358">
        <v>42</v>
      </c>
      <c r="T262" s="281"/>
      <c r="U262" s="358">
        <v>43</v>
      </c>
      <c r="V262" s="281"/>
      <c r="W262" s="358">
        <v>40</v>
      </c>
      <c r="X262" s="281"/>
      <c r="Y262" s="358">
        <v>43</v>
      </c>
      <c r="Z262" s="281"/>
      <c r="AA262" s="358">
        <v>43</v>
      </c>
      <c r="AB262" s="281"/>
      <c r="AC262" s="358">
        <v>43</v>
      </c>
      <c r="AD262" s="281"/>
      <c r="AE262" s="358">
        <v>42</v>
      </c>
      <c r="AF262" s="281"/>
      <c r="AG262" s="358">
        <v>41</v>
      </c>
      <c r="AH262" s="281"/>
      <c r="AI262" s="358">
        <v>36</v>
      </c>
      <c r="AJ262" s="281"/>
      <c r="AK262" s="358">
        <v>33</v>
      </c>
      <c r="AL262" s="281"/>
      <c r="AM262" s="358">
        <v>33</v>
      </c>
      <c r="AN262" s="281"/>
      <c r="AO262" s="358">
        <v>32</v>
      </c>
      <c r="AP262" s="281"/>
      <c r="AQ262" s="358">
        <v>30</v>
      </c>
      <c r="AR262" s="281"/>
      <c r="AS262" s="358">
        <v>27</v>
      </c>
      <c r="AT262" s="281"/>
      <c r="AU262" s="358">
        <v>30</v>
      </c>
      <c r="AV262" s="281"/>
      <c r="AW262" s="358">
        <v>33</v>
      </c>
      <c r="AX262" s="281"/>
      <c r="AY262" s="358">
        <v>31</v>
      </c>
      <c r="AZ262" s="281"/>
      <c r="BA262" s="358">
        <v>31</v>
      </c>
      <c r="BB262" s="281"/>
      <c r="BC262" s="358">
        <v>34</v>
      </c>
      <c r="BD262" s="281"/>
      <c r="BE262" s="358">
        <v>34</v>
      </c>
      <c r="BF262" s="281"/>
      <c r="BG262" s="358">
        <v>32</v>
      </c>
      <c r="BH262" s="281"/>
      <c r="BI262" s="358">
        <v>32</v>
      </c>
      <c r="BJ262" s="281"/>
      <c r="BK262" s="358">
        <v>36</v>
      </c>
      <c r="BL262" s="281"/>
      <c r="BM262" s="454">
        <v>30</v>
      </c>
      <c r="BN262" s="281"/>
      <c r="BO262" s="358">
        <v>39</v>
      </c>
      <c r="BP262" s="281"/>
      <c r="BQ262" s="284">
        <v>38</v>
      </c>
      <c r="BR262" s="281"/>
      <c r="BS262" s="335">
        <v>33</v>
      </c>
      <c r="BT262" s="281"/>
      <c r="BU262" s="335">
        <v>34</v>
      </c>
      <c r="BV262" s="281"/>
      <c r="BW262" s="335">
        <v>33</v>
      </c>
      <c r="BX262" s="281"/>
      <c r="BY262" s="335">
        <v>36</v>
      </c>
      <c r="BZ262" s="281"/>
      <c r="CA262" s="349">
        <v>35</v>
      </c>
      <c r="CB262" s="281"/>
      <c r="CC262" s="349">
        <v>30</v>
      </c>
      <c r="CD262" s="281"/>
      <c r="CE262" s="335">
        <v>34</v>
      </c>
      <c r="CF262" s="281"/>
      <c r="CG262" s="335">
        <v>34</v>
      </c>
      <c r="CH262" s="281"/>
      <c r="CI262" s="335">
        <v>40</v>
      </c>
      <c r="CJ262" s="281"/>
      <c r="CK262" s="335">
        <v>38</v>
      </c>
      <c r="CL262" s="281"/>
      <c r="CM262" s="335">
        <v>36</v>
      </c>
      <c r="CN262" s="281"/>
      <c r="CO262" s="335">
        <v>39</v>
      </c>
      <c r="CP262" s="281"/>
      <c r="CQ262" s="335">
        <v>34</v>
      </c>
      <c r="CR262" s="281"/>
      <c r="CS262" s="335">
        <v>34</v>
      </c>
      <c r="CT262" s="281"/>
      <c r="CU262" s="335">
        <v>38</v>
      </c>
      <c r="CV262" s="281"/>
      <c r="CW262" s="335">
        <v>32</v>
      </c>
      <c r="CX262" s="281"/>
      <c r="CY262" s="335">
        <v>32</v>
      </c>
      <c r="CZ262" s="281"/>
      <c r="DA262" s="335">
        <v>32</v>
      </c>
      <c r="DB262" s="281"/>
      <c r="DC262" s="335">
        <v>31</v>
      </c>
      <c r="DD262" s="340"/>
      <c r="DE262" s="335">
        <v>31</v>
      </c>
      <c r="DF262" s="340"/>
      <c r="DG262" s="335">
        <v>31</v>
      </c>
      <c r="DH262" s="340"/>
      <c r="DI262" s="335">
        <v>31</v>
      </c>
      <c r="DJ262" s="340"/>
      <c r="DK262" s="335">
        <v>31</v>
      </c>
      <c r="DL262" s="340"/>
      <c r="DM262" s="335">
        <v>29</v>
      </c>
      <c r="DN262" s="281"/>
      <c r="DO262" s="335">
        <v>29</v>
      </c>
      <c r="DP262" s="281"/>
      <c r="DQ262" s="335">
        <v>31</v>
      </c>
      <c r="DR262" s="281"/>
      <c r="DS262" s="335">
        <v>32</v>
      </c>
      <c r="DT262" s="281"/>
      <c r="DU262" s="123"/>
      <c r="DV262" s="124"/>
      <c r="DW262" s="124"/>
      <c r="DX262" s="124"/>
      <c r="DY262" s="124"/>
      <c r="DZ262" s="124"/>
      <c r="EA262" s="124"/>
      <c r="EB262" s="124"/>
      <c r="EC262" s="124"/>
      <c r="ED262" s="124"/>
      <c r="EE262" s="124"/>
      <c r="EF262" s="124"/>
      <c r="EG262" s="124"/>
      <c r="EH262" s="124"/>
      <c r="EI262" s="124"/>
      <c r="EJ262" s="124"/>
      <c r="EK262" s="124"/>
      <c r="EL262" s="124"/>
      <c r="EM262" s="124"/>
      <c r="EN262" s="335">
        <v>29</v>
      </c>
      <c r="EO262" s="281"/>
      <c r="EP262" s="335">
        <v>29</v>
      </c>
      <c r="EQ262" s="281"/>
      <c r="ER262" s="335">
        <v>29</v>
      </c>
      <c r="ES262" s="281"/>
      <c r="ET262" s="335">
        <v>29</v>
      </c>
      <c r="EU262" s="281"/>
      <c r="EV262" s="335">
        <v>29</v>
      </c>
      <c r="EW262" s="281"/>
      <c r="EX262" s="335">
        <v>27</v>
      </c>
      <c r="EY262" s="281"/>
      <c r="EZ262" s="335">
        <v>26</v>
      </c>
      <c r="FA262" s="281"/>
      <c r="FB262" s="335">
        <v>25</v>
      </c>
      <c r="FC262" s="281"/>
      <c r="FD262" s="335">
        <v>26</v>
      </c>
      <c r="FE262" s="281"/>
      <c r="FF262" s="335">
        <v>25</v>
      </c>
      <c r="FG262" s="281"/>
      <c r="FH262" s="335">
        <v>25</v>
      </c>
      <c r="FI262" s="281"/>
      <c r="FJ262" s="335">
        <v>25</v>
      </c>
      <c r="FK262" s="281"/>
      <c r="FL262" s="335">
        <v>20</v>
      </c>
      <c r="FM262" s="281"/>
      <c r="FN262" s="335">
        <v>13</v>
      </c>
      <c r="FO262" s="281"/>
      <c r="FP262" s="335">
        <v>13</v>
      </c>
      <c r="FQ262" s="281"/>
      <c r="FR262" s="124"/>
      <c r="FS262" s="124"/>
      <c r="FT262" s="124"/>
      <c r="FU262" s="124"/>
      <c r="FV262" s="124"/>
      <c r="FW262" s="124"/>
      <c r="FX262" s="124"/>
      <c r="FY262" s="124"/>
      <c r="FZ262" s="124"/>
      <c r="GA262" s="124"/>
      <c r="GB262" s="124"/>
      <c r="GC262" s="124"/>
      <c r="GD262" s="124"/>
      <c r="GE262" s="124"/>
      <c r="GF262" s="256"/>
      <c r="GG262" s="256"/>
    </row>
    <row r="263" spans="1:189" ht="15" customHeight="1" outlineLevel="1" x14ac:dyDescent="0.3">
      <c r="A263" s="1"/>
      <c r="B263" s="450"/>
      <c r="C263" s="18"/>
      <c r="D263" s="18"/>
      <c r="E263" s="18"/>
      <c r="F263" s="18"/>
      <c r="G263" s="5" t="s">
        <v>206</v>
      </c>
      <c r="H263" s="5"/>
      <c r="I263" s="335" t="e">
        <f>I64/I262</f>
        <v>#DIV/0!</v>
      </c>
      <c r="J263" s="281"/>
      <c r="K263" s="335">
        <f>K64/K262</f>
        <v>3705.5238095238096</v>
      </c>
      <c r="L263" s="281"/>
      <c r="M263" s="335">
        <f>M64/M262</f>
        <v>3798.0731707317073</v>
      </c>
      <c r="N263" s="281"/>
      <c r="O263" s="335">
        <f>O64/O262</f>
        <v>4166.7631578947367</v>
      </c>
      <c r="P263" s="281"/>
      <c r="Q263" s="335">
        <f>Q64/Q262</f>
        <v>3341.7333333333331</v>
      </c>
      <c r="R263" s="281"/>
      <c r="S263" s="335">
        <f>S64/S262</f>
        <v>3417.3809523809523</v>
      </c>
      <c r="T263" s="281"/>
      <c r="U263" s="335">
        <f>U64/U262</f>
        <v>3262.3720930232557</v>
      </c>
      <c r="V263" s="281"/>
      <c r="W263" s="335">
        <f>W64/W262</f>
        <v>3728.3522499999999</v>
      </c>
      <c r="X263" s="281"/>
      <c r="Y263" s="335">
        <f>Y64/Y262</f>
        <v>3818.8125798136684</v>
      </c>
      <c r="Z263" s="281"/>
      <c r="AA263" s="335">
        <f>AA64/AA262</f>
        <v>3819.6279069767443</v>
      </c>
      <c r="AB263" s="281"/>
      <c r="AC263" s="335">
        <f>AC64/AC262</f>
        <v>3178.0697674418607</v>
      </c>
      <c r="AD263" s="281"/>
      <c r="AE263" s="335">
        <f>AE64/AE262</f>
        <v>4056.2142857142858</v>
      </c>
      <c r="AF263" s="281"/>
      <c r="AG263" s="335">
        <f>AG64/AG262</f>
        <v>3879.2926829268295</v>
      </c>
      <c r="AH263" s="281"/>
      <c r="AI263" s="335">
        <f>AI64/AI262</f>
        <v>3661.4722222222222</v>
      </c>
      <c r="AJ263" s="281"/>
      <c r="AK263" s="335">
        <f>AK64/AK262</f>
        <v>3517</v>
      </c>
      <c r="AL263" s="281"/>
      <c r="AM263" s="335">
        <f>AM64/AM262</f>
        <v>3532.121212121212</v>
      </c>
      <c r="AN263" s="281"/>
      <c r="AO263" s="335">
        <f>AO64/AO262</f>
        <v>2707.6875</v>
      </c>
      <c r="AP263" s="281"/>
      <c r="AQ263" s="335">
        <f>AQ64/AQ262</f>
        <v>2989.4333333333334</v>
      </c>
      <c r="AR263" s="281"/>
      <c r="AS263" s="335">
        <f>AS64/AS262</f>
        <v>3161.7037037037039</v>
      </c>
      <c r="AT263" s="281"/>
      <c r="AU263" s="335">
        <f>AU64/AU262</f>
        <v>3794</v>
      </c>
      <c r="AV263" s="281"/>
      <c r="AW263" s="335">
        <f>AW64/AW262</f>
        <v>3438.3030303030305</v>
      </c>
      <c r="AX263" s="281"/>
      <c r="AY263" s="335">
        <f>AY64/AY262</f>
        <v>3202.8709677419356</v>
      </c>
      <c r="AZ263" s="281"/>
      <c r="BA263" s="335">
        <f>BA64/BA262</f>
        <v>3500.6129032258063</v>
      </c>
      <c r="BB263" s="281"/>
      <c r="BC263" s="335">
        <f>BC64/BC262</f>
        <v>3876.3823529411766</v>
      </c>
      <c r="BD263" s="281"/>
      <c r="BE263" s="335">
        <f>BE64/BE262</f>
        <v>3611.205882352941</v>
      </c>
      <c r="BF263" s="281"/>
      <c r="BG263" s="335">
        <f>BG64/BG262</f>
        <v>3302.875</v>
      </c>
      <c r="BH263" s="281"/>
      <c r="BI263" s="335">
        <f>BI64/BI262</f>
        <v>3356.8125</v>
      </c>
      <c r="BJ263" s="281"/>
      <c r="BK263" s="335">
        <f>BK64/BK262</f>
        <v>3576.1944444444443</v>
      </c>
      <c r="BL263" s="281"/>
      <c r="BM263" s="335">
        <f>BM64/BM262</f>
        <v>3738.5</v>
      </c>
      <c r="BN263" s="281"/>
      <c r="BO263" s="335">
        <f>BO64/BO262</f>
        <v>3203</v>
      </c>
      <c r="BP263" s="281"/>
      <c r="BQ263" s="335">
        <f>BQ64/BQ262</f>
        <v>3335.0263157894738</v>
      </c>
      <c r="BR263" s="281"/>
      <c r="BS263" s="335">
        <f>BS64/BS262</f>
        <v>3852.181818181818</v>
      </c>
      <c r="BT263" s="281"/>
      <c r="BU263" s="335">
        <f>BU64/BU262</f>
        <v>3355.9705882352941</v>
      </c>
      <c r="BV263" s="281"/>
      <c r="BW263" s="335">
        <f>BW64/BW262</f>
        <v>3451.6666666666665</v>
      </c>
      <c r="BX263" s="281"/>
      <c r="BY263" s="335">
        <f>BY64/BY262</f>
        <v>3770.3888888888887</v>
      </c>
      <c r="BZ263" s="281"/>
      <c r="CA263" s="335">
        <f>CA64/CA262</f>
        <v>4371.6571428571433</v>
      </c>
      <c r="CB263" s="281"/>
      <c r="CC263" s="335">
        <f>CC64/CC262</f>
        <v>3596.2</v>
      </c>
      <c r="CD263" s="281"/>
      <c r="CE263" s="335">
        <f>CE64/CE262</f>
        <v>3271.5588235294117</v>
      </c>
      <c r="CF263" s="281"/>
      <c r="CG263" s="335">
        <f>CG64/CG262</f>
        <v>4094.8823529411766</v>
      </c>
      <c r="CH263" s="281"/>
      <c r="CI263" s="335">
        <f>CI64/CI262</f>
        <v>3888.1750000000002</v>
      </c>
      <c r="CJ263" s="281"/>
      <c r="CK263" s="335">
        <f>CK64/CK262</f>
        <v>4206.7631578947367</v>
      </c>
      <c r="CL263" s="281"/>
      <c r="CM263" s="335">
        <f>CM64/CM262</f>
        <v>4109.1111111111113</v>
      </c>
      <c r="CN263" s="281"/>
      <c r="CO263" s="335">
        <f>CO64/CO262</f>
        <v>3669.2051282051284</v>
      </c>
      <c r="CP263" s="281"/>
      <c r="CQ263" s="335">
        <f>CQ64/CQ262</f>
        <v>4109.4411764705883</v>
      </c>
      <c r="CR263" s="281"/>
      <c r="CS263" s="335">
        <f>CS64/CS262</f>
        <v>4228.2647058823532</v>
      </c>
      <c r="CT263" s="281"/>
      <c r="CU263" s="335">
        <f>CU64/CU262</f>
        <v>4056.0526315789475</v>
      </c>
      <c r="CV263" s="281"/>
      <c r="CW263" s="335">
        <f>CW64/CW262</f>
        <v>4625.34375</v>
      </c>
      <c r="CX263" s="281"/>
      <c r="CY263" s="335">
        <f>CY64/CY262</f>
        <v>4577.28125</v>
      </c>
      <c r="CZ263" s="281"/>
      <c r="DA263" s="335">
        <f>DA64/DA262</f>
        <v>4282.1875</v>
      </c>
      <c r="DB263" s="281"/>
      <c r="DC263" s="335">
        <f>DC64/DC262</f>
        <v>5422.2645161290329</v>
      </c>
      <c r="DD263" s="340"/>
      <c r="DE263" s="335">
        <f>DE64/DE262</f>
        <v>4555.4838709677415</v>
      </c>
      <c r="DF263" s="340"/>
      <c r="DG263" s="335">
        <f>DG64/DG262</f>
        <v>4937.8064516129034</v>
      </c>
      <c r="DH263" s="340"/>
      <c r="DI263" s="335">
        <f>DI64/DI262</f>
        <v>5908.1025806451607</v>
      </c>
      <c r="DJ263" s="340"/>
      <c r="DK263" s="335">
        <f>DK64/DK262</f>
        <v>5789.0770967741937</v>
      </c>
      <c r="DL263" s="340"/>
      <c r="DM263" s="335">
        <f>DM64/DM262</f>
        <v>5862.5720689655172</v>
      </c>
      <c r="DN263" s="281"/>
      <c r="DO263" s="335">
        <f>DO64/DO262</f>
        <v>5632.3103448275861</v>
      </c>
      <c r="DP263" s="281"/>
      <c r="DQ263" s="335">
        <f>DQ64/DQ262</f>
        <v>5268.9354838709678</v>
      </c>
      <c r="DR263" s="281"/>
      <c r="DS263" s="335">
        <f>DS64/DS262</f>
        <v>5104.28125</v>
      </c>
      <c r="DT263" s="281"/>
      <c r="DU263" s="123"/>
      <c r="DV263" s="124"/>
      <c r="DW263" s="124"/>
      <c r="DX263" s="124"/>
      <c r="DY263" s="124"/>
      <c r="DZ263" s="124"/>
      <c r="EA263" s="124"/>
      <c r="EB263" s="124"/>
      <c r="EC263" s="124"/>
      <c r="ED263" s="124"/>
      <c r="EE263" s="124"/>
      <c r="EF263" s="124"/>
      <c r="EG263" s="124"/>
      <c r="EH263" s="124"/>
      <c r="EI263" s="124"/>
      <c r="EJ263" s="124"/>
      <c r="EK263" s="124"/>
      <c r="EL263" s="124"/>
      <c r="EM263" s="124"/>
      <c r="EN263" s="335">
        <f>EN64/EN262</f>
        <v>5632.3103448275861</v>
      </c>
      <c r="EO263" s="281"/>
      <c r="EP263" s="335">
        <f>EP64/EP262</f>
        <v>5632.3103448275861</v>
      </c>
      <c r="EQ263" s="281"/>
      <c r="ER263" s="335">
        <f>ER64/ER262</f>
        <v>5632.3103448275861</v>
      </c>
      <c r="ES263" s="281"/>
      <c r="ET263" s="335">
        <f>ET64/ET262</f>
        <v>5632.3103448275861</v>
      </c>
      <c r="EU263" s="281"/>
      <c r="EV263" s="335">
        <f>EV64/EV262</f>
        <v>5632.3103448275861</v>
      </c>
      <c r="EW263" s="281"/>
      <c r="EX263" s="335">
        <f>EX64/EX262</f>
        <v>6049.5185185185182</v>
      </c>
      <c r="EY263" s="281"/>
      <c r="EZ263" s="335">
        <f>EZ64/EZ262</f>
        <v>6282.1923076923076</v>
      </c>
      <c r="FA263" s="281"/>
      <c r="FB263" s="335">
        <f>FB64/FB262</f>
        <v>6533.48</v>
      </c>
      <c r="FC263" s="281"/>
      <c r="FD263" s="335">
        <f>FD64/FD262</f>
        <v>6282.1923076923076</v>
      </c>
      <c r="FE263" s="281"/>
      <c r="FF263" s="335">
        <f>FF64/FF262</f>
        <v>6533.48</v>
      </c>
      <c r="FG263" s="281"/>
      <c r="FH263" s="335">
        <f>FH64/FH262</f>
        <v>6533.48</v>
      </c>
      <c r="FI263" s="281"/>
      <c r="FJ263" s="335">
        <f>FJ64/FJ262</f>
        <v>3751.6559999999999</v>
      </c>
      <c r="FK263" s="281"/>
      <c r="FL263" s="335">
        <f>FL64/FL262</f>
        <v>4639.2401121111116</v>
      </c>
      <c r="FM263" s="281"/>
      <c r="FN263" s="335">
        <f>FN64/FN262</f>
        <v>4978.7398241025649</v>
      </c>
      <c r="FO263" s="281"/>
      <c r="FP263" s="335">
        <f>FP64/FP262</f>
        <v>0</v>
      </c>
      <c r="FQ263" s="281"/>
      <c r="FR263" s="124"/>
      <c r="FS263" s="124"/>
      <c r="FT263" s="124"/>
      <c r="FU263" s="124"/>
      <c r="FV263" s="124"/>
      <c r="FW263" s="124"/>
      <c r="FX263" s="124"/>
      <c r="FY263" s="124"/>
      <c r="FZ263" s="124"/>
      <c r="GA263" s="124"/>
      <c r="GB263" s="124"/>
      <c r="GC263" s="124"/>
      <c r="GD263" s="124"/>
      <c r="GE263" s="124"/>
      <c r="GF263" s="256"/>
      <c r="GG263" s="256"/>
    </row>
    <row r="264" spans="1:189" ht="8.25" customHeight="1" outlineLevel="1" x14ac:dyDescent="0.3">
      <c r="A264" s="1"/>
      <c r="B264" s="18"/>
      <c r="C264" s="18"/>
      <c r="D264" s="18"/>
      <c r="E264" s="18"/>
      <c r="F264" s="18"/>
      <c r="G264" s="3"/>
      <c r="H264" s="3"/>
      <c r="I264" s="19"/>
      <c r="J264" s="20"/>
      <c r="K264" s="19"/>
      <c r="L264" s="20"/>
      <c r="M264" s="19"/>
      <c r="N264" s="20"/>
      <c r="O264" s="19"/>
      <c r="P264" s="20"/>
      <c r="Q264" s="19"/>
      <c r="R264" s="20"/>
      <c r="S264" s="19"/>
      <c r="T264" s="20"/>
      <c r="U264" s="19"/>
      <c r="V264" s="20"/>
      <c r="W264" s="19"/>
      <c r="X264" s="20"/>
      <c r="Y264" s="19"/>
      <c r="Z264" s="20"/>
      <c r="AA264" s="19"/>
      <c r="AB264" s="20"/>
      <c r="AC264" s="19"/>
      <c r="AD264" s="20"/>
      <c r="AE264" s="19"/>
      <c r="AF264" s="20"/>
      <c r="AG264" s="19"/>
      <c r="AH264" s="20"/>
      <c r="AI264" s="19"/>
      <c r="AJ264" s="20"/>
      <c r="AK264" s="19"/>
      <c r="AL264" s="20"/>
      <c r="AM264" s="19"/>
      <c r="AN264" s="20"/>
      <c r="AO264" s="19"/>
      <c r="AP264" s="20"/>
      <c r="AQ264" s="19"/>
      <c r="AR264" s="20"/>
      <c r="AS264" s="19"/>
      <c r="AT264" s="20"/>
      <c r="AU264" s="19"/>
      <c r="AV264" s="20"/>
      <c r="AW264" s="19"/>
      <c r="AX264" s="20"/>
      <c r="AY264" s="19"/>
      <c r="AZ264" s="20"/>
      <c r="BA264" s="19"/>
      <c r="BB264" s="20"/>
      <c r="BC264" s="19"/>
      <c r="BD264" s="20"/>
      <c r="BE264" s="19"/>
      <c r="BF264" s="20"/>
      <c r="BG264" s="19"/>
      <c r="BH264" s="20"/>
      <c r="BI264" s="19"/>
      <c r="BJ264" s="20"/>
      <c r="BK264" s="19"/>
      <c r="BL264" s="20"/>
      <c r="BM264" s="19"/>
      <c r="BN264" s="20"/>
      <c r="BO264" s="19"/>
      <c r="BP264" s="20"/>
      <c r="BQ264" s="19"/>
      <c r="BR264" s="20"/>
      <c r="BS264" s="19"/>
      <c r="BT264" s="20"/>
      <c r="BU264" s="19"/>
      <c r="BV264" s="20"/>
      <c r="BW264" s="19"/>
      <c r="BX264" s="20"/>
      <c r="BY264" s="19"/>
      <c r="BZ264" s="20"/>
      <c r="CA264" s="19"/>
      <c r="CB264" s="20"/>
      <c r="CC264" s="19"/>
      <c r="CD264" s="20"/>
      <c r="CE264" s="19"/>
      <c r="CF264" s="20"/>
      <c r="CG264" s="19"/>
      <c r="CH264" s="20"/>
      <c r="CI264" s="19"/>
      <c r="CJ264" s="20"/>
      <c r="CK264" s="19"/>
      <c r="CL264" s="20"/>
      <c r="CM264" s="19"/>
      <c r="CN264" s="20"/>
      <c r="CO264" s="19"/>
      <c r="CP264" s="20"/>
      <c r="CQ264" s="19"/>
      <c r="CR264" s="20"/>
      <c r="CS264" s="19"/>
      <c r="CT264" s="20"/>
      <c r="CU264" s="19"/>
      <c r="CV264" s="20"/>
      <c r="CW264" s="19"/>
      <c r="CX264" s="20"/>
      <c r="CY264" s="19"/>
      <c r="CZ264" s="20"/>
      <c r="DA264" s="19"/>
      <c r="DB264" s="20"/>
      <c r="DC264" s="19"/>
      <c r="DD264" s="20"/>
      <c r="DE264" s="19"/>
      <c r="DF264" s="20"/>
      <c r="DG264" s="19"/>
      <c r="DH264" s="20"/>
      <c r="DI264" s="19"/>
      <c r="DJ264" s="20"/>
      <c r="DK264" s="19"/>
      <c r="DL264" s="20"/>
      <c r="DM264" s="19"/>
      <c r="DN264" s="20"/>
      <c r="DO264" s="19"/>
      <c r="DP264" s="20"/>
      <c r="DQ264" s="19"/>
      <c r="DR264" s="20"/>
      <c r="DS264" s="19"/>
      <c r="DT264" s="20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19"/>
      <c r="EO264" s="20"/>
      <c r="EP264" s="19"/>
      <c r="EQ264" s="20"/>
      <c r="ER264" s="19"/>
      <c r="ES264" s="20"/>
      <c r="ET264" s="19"/>
      <c r="EU264" s="20"/>
      <c r="EV264" s="19"/>
      <c r="EW264" s="20"/>
      <c r="EX264" s="19"/>
      <c r="EY264" s="20"/>
      <c r="EZ264" s="19"/>
      <c r="FA264" s="20"/>
      <c r="FB264" s="19"/>
      <c r="FC264" s="20"/>
      <c r="FD264" s="19"/>
      <c r="FE264" s="20"/>
      <c r="FF264" s="19"/>
      <c r="FG264" s="20"/>
      <c r="FH264" s="19"/>
      <c r="FI264" s="20"/>
      <c r="FJ264" s="19"/>
      <c r="FK264" s="20"/>
      <c r="FL264" s="19"/>
      <c r="FM264" s="20"/>
      <c r="FN264" s="19"/>
      <c r="FO264" s="20"/>
      <c r="FP264" s="19"/>
      <c r="FQ264" s="20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</row>
    <row r="265" spans="1:189" ht="15" hidden="1" customHeight="1" outlineLevel="1" x14ac:dyDescent="0.3">
      <c r="A265" s="63"/>
      <c r="B265" s="446" t="s">
        <v>207</v>
      </c>
      <c r="C265" s="313" t="s">
        <v>80</v>
      </c>
      <c r="D265" s="313" t="s">
        <v>96</v>
      </c>
      <c r="E265" s="313" t="s">
        <v>208</v>
      </c>
      <c r="F265" s="447" t="s">
        <v>114</v>
      </c>
      <c r="G265" s="5" t="s">
        <v>209</v>
      </c>
      <c r="H265" s="5"/>
      <c r="I265" s="284">
        <f>AVERAGE((K265:AH265))</f>
        <v>42663.416666666664</v>
      </c>
      <c r="J265" s="281"/>
      <c r="K265" s="284">
        <v>46456</v>
      </c>
      <c r="L265" s="281"/>
      <c r="M265" s="284">
        <v>42000</v>
      </c>
      <c r="N265" s="281"/>
      <c r="O265" s="284">
        <v>48510</v>
      </c>
      <c r="P265" s="281"/>
      <c r="Q265" s="284">
        <v>42630</v>
      </c>
      <c r="R265" s="281"/>
      <c r="S265" s="284">
        <v>41580</v>
      </c>
      <c r="T265" s="281"/>
      <c r="U265" s="284">
        <v>41580</v>
      </c>
      <c r="V265" s="281"/>
      <c r="W265" s="284">
        <v>40040</v>
      </c>
      <c r="X265" s="281"/>
      <c r="Y265" s="284">
        <v>44849</v>
      </c>
      <c r="Z265" s="281"/>
      <c r="AA265" s="284">
        <v>40104</v>
      </c>
      <c r="AB265" s="281"/>
      <c r="AC265" s="284">
        <v>43923</v>
      </c>
      <c r="AD265" s="281"/>
      <c r="AE265" s="284">
        <v>43923</v>
      </c>
      <c r="AF265" s="281"/>
      <c r="AG265" s="284">
        <f>33*58*19</f>
        <v>36366</v>
      </c>
      <c r="AH265" s="281"/>
      <c r="AI265" s="284">
        <v>31900</v>
      </c>
      <c r="AJ265" s="281"/>
      <c r="AK265" s="284">
        <f>64*24*19</f>
        <v>29184</v>
      </c>
      <c r="AL265" s="281"/>
      <c r="AM265" s="284">
        <f>64*24*22</f>
        <v>33792</v>
      </c>
      <c r="AN265" s="281"/>
      <c r="AO265" s="284">
        <f>18*67*20</f>
        <v>24120</v>
      </c>
      <c r="AP265" s="281"/>
      <c r="AQ265" s="284">
        <f>18*60*18</f>
        <v>19440</v>
      </c>
      <c r="AR265" s="281"/>
      <c r="AS265" s="284">
        <f>20*60*21</f>
        <v>25200</v>
      </c>
      <c r="AT265" s="281"/>
      <c r="AU265" s="349" t="s">
        <v>210</v>
      </c>
      <c r="AV265" s="281"/>
      <c r="AW265" s="349" t="s">
        <v>210</v>
      </c>
      <c r="AX265" s="281"/>
      <c r="AY265" s="284" t="s">
        <v>210</v>
      </c>
      <c r="AZ265" s="281"/>
      <c r="BA265" s="284" t="s">
        <v>210</v>
      </c>
      <c r="BB265" s="281"/>
      <c r="BC265" s="284" t="s">
        <v>210</v>
      </c>
      <c r="BD265" s="281"/>
      <c r="BE265" s="284" t="s">
        <v>210</v>
      </c>
      <c r="BF265" s="281"/>
      <c r="BG265" s="284" t="s">
        <v>210</v>
      </c>
      <c r="BH265" s="281"/>
      <c r="BI265" s="284" t="s">
        <v>210</v>
      </c>
      <c r="BJ265" s="281"/>
      <c r="BK265" s="284" t="s">
        <v>210</v>
      </c>
      <c r="BL265" s="281"/>
      <c r="BM265" s="284" t="s">
        <v>210</v>
      </c>
      <c r="BN265" s="281"/>
      <c r="BO265" s="284" t="s">
        <v>210</v>
      </c>
      <c r="BP265" s="281"/>
      <c r="BQ265" s="284" t="s">
        <v>210</v>
      </c>
      <c r="BR265" s="281"/>
      <c r="BS265" s="284" t="s">
        <v>210</v>
      </c>
      <c r="BT265" s="281"/>
      <c r="BU265" s="284" t="s">
        <v>210</v>
      </c>
      <c r="BV265" s="281"/>
      <c r="BW265" s="284" t="s">
        <v>210</v>
      </c>
      <c r="BX265" s="281"/>
      <c r="BY265" s="284" t="s">
        <v>210</v>
      </c>
      <c r="BZ265" s="281"/>
      <c r="CA265" s="284" t="s">
        <v>210</v>
      </c>
      <c r="CB265" s="281"/>
      <c r="CC265" s="284" t="s">
        <v>210</v>
      </c>
      <c r="CD265" s="281"/>
      <c r="CE265" s="284" t="s">
        <v>210</v>
      </c>
      <c r="CF265" s="281"/>
      <c r="CG265" s="284" t="s">
        <v>210</v>
      </c>
      <c r="CH265" s="281"/>
      <c r="CI265" s="284" t="s">
        <v>210</v>
      </c>
      <c r="CJ265" s="281"/>
      <c r="CK265" s="284" t="s">
        <v>210</v>
      </c>
      <c r="CL265" s="281"/>
      <c r="CM265" s="284" t="s">
        <v>210</v>
      </c>
      <c r="CN265" s="281"/>
      <c r="CO265" s="284" t="s">
        <v>210</v>
      </c>
      <c r="CP265" s="281"/>
      <c r="CQ265" s="284" t="s">
        <v>210</v>
      </c>
      <c r="CR265" s="281"/>
      <c r="CS265" s="284" t="s">
        <v>210</v>
      </c>
      <c r="CT265" s="281"/>
      <c r="CU265" s="284" t="s">
        <v>210</v>
      </c>
      <c r="CV265" s="281"/>
      <c r="CW265" s="284" t="s">
        <v>210</v>
      </c>
      <c r="CX265" s="281"/>
      <c r="CY265" s="284" t="s">
        <v>210</v>
      </c>
      <c r="CZ265" s="281"/>
      <c r="DA265" s="284" t="s">
        <v>210</v>
      </c>
      <c r="DB265" s="281"/>
      <c r="DC265" s="284" t="s">
        <v>210</v>
      </c>
      <c r="DD265" s="281"/>
      <c r="DE265" s="284" t="s">
        <v>210</v>
      </c>
      <c r="DF265" s="281"/>
      <c r="DG265" s="284" t="s">
        <v>210</v>
      </c>
      <c r="DH265" s="281"/>
      <c r="DI265" s="284" t="s">
        <v>210</v>
      </c>
      <c r="DJ265" s="281"/>
      <c r="DK265" s="284" t="s">
        <v>210</v>
      </c>
      <c r="DL265" s="281"/>
      <c r="DM265" s="284" t="s">
        <v>210</v>
      </c>
      <c r="DN265" s="281"/>
      <c r="DO265" s="284" t="s">
        <v>210</v>
      </c>
      <c r="DP265" s="281"/>
      <c r="DQ265" s="284" t="s">
        <v>210</v>
      </c>
      <c r="DR265" s="281"/>
      <c r="DS265" s="284" t="s">
        <v>210</v>
      </c>
      <c r="DT265" s="281"/>
      <c r="DU265" s="315"/>
      <c r="DV265" s="315"/>
      <c r="DW265" s="315"/>
      <c r="DX265" s="315"/>
      <c r="DY265" s="315"/>
      <c r="DZ265" s="315"/>
      <c r="EA265" s="315"/>
      <c r="EB265" s="315"/>
      <c r="EC265" s="315"/>
      <c r="ED265" s="315"/>
      <c r="EE265" s="315"/>
      <c r="EF265" s="315"/>
      <c r="EG265" s="315"/>
      <c r="EH265" s="315"/>
      <c r="EI265" s="315"/>
      <c r="EJ265" s="315"/>
      <c r="EK265" s="315"/>
      <c r="EL265" s="315"/>
      <c r="EM265" s="315"/>
      <c r="EN265" s="284" t="s">
        <v>210</v>
      </c>
      <c r="EO265" s="281"/>
      <c r="EP265" s="284" t="s">
        <v>210</v>
      </c>
      <c r="EQ265" s="281"/>
      <c r="ER265" s="284" t="s">
        <v>210</v>
      </c>
      <c r="ES265" s="281"/>
      <c r="ET265" s="284" t="s">
        <v>210</v>
      </c>
      <c r="EU265" s="281"/>
      <c r="EV265" s="284" t="s">
        <v>210</v>
      </c>
      <c r="EW265" s="281"/>
      <c r="EX265" s="284" t="s">
        <v>210</v>
      </c>
      <c r="EY265" s="281"/>
      <c r="EZ265" s="284" t="s">
        <v>210</v>
      </c>
      <c r="FA265" s="281"/>
      <c r="FB265" s="284" t="s">
        <v>210</v>
      </c>
      <c r="FC265" s="281"/>
      <c r="FD265" s="284" t="s">
        <v>210</v>
      </c>
      <c r="FE265" s="281"/>
      <c r="FF265" s="284" t="s">
        <v>210</v>
      </c>
      <c r="FG265" s="281"/>
      <c r="FH265" s="284" t="s">
        <v>210</v>
      </c>
      <c r="FI265" s="281"/>
      <c r="FJ265" s="284" t="s">
        <v>210</v>
      </c>
      <c r="FK265" s="281"/>
      <c r="FL265" s="284" t="s">
        <v>210</v>
      </c>
      <c r="FM265" s="281"/>
      <c r="FN265" s="284" t="s">
        <v>210</v>
      </c>
      <c r="FO265" s="281"/>
      <c r="FP265" s="284" t="s">
        <v>210</v>
      </c>
      <c r="FQ265" s="281"/>
      <c r="FR265" s="315"/>
      <c r="FS265" s="315"/>
      <c r="FT265" s="315"/>
      <c r="FU265" s="315"/>
      <c r="FV265" s="315"/>
      <c r="FW265" s="315"/>
      <c r="FX265" s="315"/>
      <c r="FY265" s="315"/>
      <c r="FZ265" s="315"/>
      <c r="GA265" s="315"/>
      <c r="GB265" s="315"/>
      <c r="GC265" s="315"/>
      <c r="GD265" s="315"/>
      <c r="GE265" s="315"/>
      <c r="GF265" s="315"/>
      <c r="GG265" s="315"/>
    </row>
    <row r="266" spans="1:189" ht="15" hidden="1" customHeight="1" outlineLevel="1" x14ac:dyDescent="0.3">
      <c r="A266" s="1"/>
      <c r="B266" s="302"/>
      <c r="C266" s="302"/>
      <c r="D266" s="302"/>
      <c r="E266" s="302"/>
      <c r="F266" s="302"/>
      <c r="G266" s="5" t="s">
        <v>211</v>
      </c>
      <c r="H266" s="5"/>
      <c r="I266" s="23">
        <f>AVERAGE(AG266,AE266,AC266,AA266,Y266,W266,U266,S266,O266,M266,K266)</f>
        <v>37656.454545454544</v>
      </c>
      <c r="J266" s="23">
        <f>(I266/(13+19))/23</f>
        <v>51.163661067193672</v>
      </c>
      <c r="K266" s="23">
        <v>50267</v>
      </c>
      <c r="L266" s="23">
        <f>(K266/31)/21</f>
        <v>77.215053763440864</v>
      </c>
      <c r="M266" s="23">
        <v>38178</v>
      </c>
      <c r="N266" s="23">
        <f>(M266/30)/20</f>
        <v>63.629999999999995</v>
      </c>
      <c r="O266" s="23">
        <v>38285</v>
      </c>
      <c r="P266" s="23">
        <f>(O266/30)/19</f>
        <v>67.166666666666671</v>
      </c>
      <c r="Q266" s="23">
        <v>47779</v>
      </c>
      <c r="R266" s="23">
        <f>(Q266/30)/21</f>
        <v>75.839682539682542</v>
      </c>
      <c r="S266" s="23">
        <v>37722</v>
      </c>
      <c r="T266" s="23">
        <f>(S266/30)/21</f>
        <v>59.87619047619048</v>
      </c>
      <c r="U266" s="23">
        <v>30366</v>
      </c>
      <c r="V266" s="23">
        <f>(U266/27)/19</f>
        <v>59.192982456140356</v>
      </c>
      <c r="W266" s="23">
        <v>36474</v>
      </c>
      <c r="X266" s="23">
        <f>(W266/27)/19</f>
        <v>71.099415204678365</v>
      </c>
      <c r="Y266" s="23">
        <v>35057</v>
      </c>
      <c r="Z266" s="23">
        <f>(Y266/34)/22</f>
        <v>46.867647058823529</v>
      </c>
      <c r="AA266" s="23">
        <v>37832</v>
      </c>
      <c r="AB266" s="23">
        <f>(AA266/(14+18)/21)</f>
        <v>56.297619047619051</v>
      </c>
      <c r="AC266" s="23">
        <v>41261</v>
      </c>
      <c r="AD266" s="23">
        <f>(AC266/(13+19))/23</f>
        <v>56.061141304347828</v>
      </c>
      <c r="AE266" s="23">
        <v>35479</v>
      </c>
      <c r="AF266" s="23">
        <f>(AE266/(13+19))/23</f>
        <v>48.205163043478258</v>
      </c>
      <c r="AG266" s="23">
        <v>33300</v>
      </c>
      <c r="AH266" s="23">
        <f>(AG266/33)/19</f>
        <v>53.110047846889955</v>
      </c>
      <c r="AI266" s="23">
        <v>47258</v>
      </c>
      <c r="AJ266" s="23">
        <f>(AI266/33)/22</f>
        <v>65.093663911845724</v>
      </c>
      <c r="AK266" s="23">
        <v>39175</v>
      </c>
      <c r="AL266" s="23">
        <f>(AK266/19)/24</f>
        <v>85.910087719298247</v>
      </c>
      <c r="AM266" s="23">
        <v>27184</v>
      </c>
      <c r="AN266" s="23">
        <f>(AM266/22)/24</f>
        <v>51.484848484848492</v>
      </c>
      <c r="AO266" s="23">
        <v>21911</v>
      </c>
      <c r="AP266" s="23">
        <f>(AO266/22)/24</f>
        <v>41.498106060606062</v>
      </c>
      <c r="AQ266" s="23">
        <v>20911</v>
      </c>
      <c r="AR266" s="23">
        <f>(AQ266/18)/18</f>
        <v>64.540123456790127</v>
      </c>
      <c r="AS266" s="23">
        <v>21603</v>
      </c>
      <c r="AT266" s="23">
        <f>(AS266/20)/21</f>
        <v>51.43571428571429</v>
      </c>
      <c r="AU266" s="23"/>
      <c r="AV266" s="81">
        <f>(AU266/20)/21</f>
        <v>0</v>
      </c>
      <c r="AW266" s="23"/>
      <c r="AX266" s="81">
        <f>(AW266/20)/21</f>
        <v>0</v>
      </c>
      <c r="AY266" s="23"/>
      <c r="AZ266" s="81">
        <f>(AY266/20)/21</f>
        <v>0</v>
      </c>
      <c r="BA266" s="23"/>
      <c r="BB266" s="81">
        <f>(BA266/20)/21</f>
        <v>0</v>
      </c>
      <c r="BC266" s="23"/>
      <c r="BD266" s="81">
        <f>(BC266/20)/21</f>
        <v>0</v>
      </c>
      <c r="BE266" s="23"/>
      <c r="BF266" s="81">
        <f>(BE266/20)/21</f>
        <v>0</v>
      </c>
      <c r="BG266" s="23"/>
      <c r="BH266" s="81">
        <f>(BG266/20)/21</f>
        <v>0</v>
      </c>
      <c r="BI266" s="23"/>
      <c r="BJ266" s="81">
        <f>(BI266/20)/21</f>
        <v>0</v>
      </c>
      <c r="BK266" s="23"/>
      <c r="BL266" s="81">
        <f>(BK266/20)/21</f>
        <v>0</v>
      </c>
      <c r="BM266" s="23"/>
      <c r="BN266" s="81">
        <f>(BM266/20)/21</f>
        <v>0</v>
      </c>
      <c r="BO266" s="23"/>
      <c r="BP266" s="81">
        <f>(BO266/20)/21</f>
        <v>0</v>
      </c>
      <c r="BQ266" s="23"/>
      <c r="BR266" s="81">
        <f>(BQ266/20)/21</f>
        <v>0</v>
      </c>
      <c r="BS266" s="23"/>
      <c r="BT266" s="81">
        <f>(BS266/20)/21</f>
        <v>0</v>
      </c>
      <c r="BU266" s="23"/>
      <c r="BV266" s="81">
        <f>(BU266/20)/21</f>
        <v>0</v>
      </c>
      <c r="BW266" s="23"/>
      <c r="BX266" s="81">
        <f>(BW266/20)/21</f>
        <v>0</v>
      </c>
      <c r="BY266" s="23"/>
      <c r="BZ266" s="81">
        <f>(BY266/20)/21</f>
        <v>0</v>
      </c>
      <c r="CA266" s="23"/>
      <c r="CB266" s="81">
        <f>(CA266/20)/21</f>
        <v>0</v>
      </c>
      <c r="CC266" s="23"/>
      <c r="CD266" s="81">
        <f>(CC266/20)/21</f>
        <v>0</v>
      </c>
      <c r="CE266" s="23"/>
      <c r="CF266" s="81">
        <f>(CE266/20)/21</f>
        <v>0</v>
      </c>
      <c r="CG266" s="23"/>
      <c r="CH266" s="81">
        <f>(CG266/20)/21</f>
        <v>0</v>
      </c>
      <c r="CI266" s="23"/>
      <c r="CJ266" s="81">
        <f>(CI266/20)/21</f>
        <v>0</v>
      </c>
      <c r="CK266" s="23"/>
      <c r="CL266" s="81">
        <f>(CK266/20)/21</f>
        <v>0</v>
      </c>
      <c r="CM266" s="23"/>
      <c r="CN266" s="81">
        <f>(CM266/20)/21</f>
        <v>0</v>
      </c>
      <c r="CO266" s="23"/>
      <c r="CP266" s="81">
        <f>(CO266/20)/21</f>
        <v>0</v>
      </c>
      <c r="CQ266" s="23"/>
      <c r="CR266" s="81">
        <f>(CQ266/20)/21</f>
        <v>0</v>
      </c>
      <c r="CS266" s="23"/>
      <c r="CT266" s="81">
        <f>(CS266/20)/21</f>
        <v>0</v>
      </c>
      <c r="CU266" s="23"/>
      <c r="CV266" s="81">
        <f>(CU266/20)/21</f>
        <v>0</v>
      </c>
      <c r="CW266" s="23"/>
      <c r="CX266" s="81">
        <f>(CW266/20)/21</f>
        <v>0</v>
      </c>
      <c r="CY266" s="23"/>
      <c r="CZ266" s="81">
        <f>(CY266/20)/21</f>
        <v>0</v>
      </c>
      <c r="DA266" s="23"/>
      <c r="DB266" s="81">
        <f>(DA266/20)/21</f>
        <v>0</v>
      </c>
      <c r="DC266" s="23"/>
      <c r="DD266" s="81">
        <f>(DC266/20)/21</f>
        <v>0</v>
      </c>
      <c r="DE266" s="23"/>
      <c r="DF266" s="81">
        <f>(DE266/20)/21</f>
        <v>0</v>
      </c>
      <c r="DG266" s="23"/>
      <c r="DH266" s="81">
        <f>(DG266/20)/21</f>
        <v>0</v>
      </c>
      <c r="DI266" s="23"/>
      <c r="DJ266" s="81">
        <f>(DI266/20)/21</f>
        <v>0</v>
      </c>
      <c r="DK266" s="23"/>
      <c r="DL266" s="81">
        <f>(DK266/20)/21</f>
        <v>0</v>
      </c>
      <c r="DM266" s="23"/>
      <c r="DN266" s="81">
        <f>(DM266/20)/21</f>
        <v>0</v>
      </c>
      <c r="DO266" s="23"/>
      <c r="DP266" s="81">
        <f>(DO266/20)/21</f>
        <v>0</v>
      </c>
      <c r="DQ266" s="23"/>
      <c r="DR266" s="81">
        <f>(DQ266/20)/21</f>
        <v>0</v>
      </c>
      <c r="DS266" s="23"/>
      <c r="DT266" s="81">
        <f>(DS266/20)/21</f>
        <v>0</v>
      </c>
      <c r="DU266" s="302"/>
      <c r="DV266" s="302"/>
      <c r="DW266" s="302"/>
      <c r="DX266" s="302"/>
      <c r="DY266" s="302"/>
      <c r="DZ266" s="302"/>
      <c r="EA266" s="302"/>
      <c r="EB266" s="302"/>
      <c r="EC266" s="302"/>
      <c r="ED266" s="302"/>
      <c r="EE266" s="302"/>
      <c r="EF266" s="302"/>
      <c r="EG266" s="302"/>
      <c r="EH266" s="302"/>
      <c r="EI266" s="302"/>
      <c r="EJ266" s="302"/>
      <c r="EK266" s="302"/>
      <c r="EL266" s="302"/>
      <c r="EM266" s="302"/>
      <c r="EN266" s="23"/>
      <c r="EO266" s="81">
        <f>(EN266/20)/21</f>
        <v>0</v>
      </c>
      <c r="EP266" s="23"/>
      <c r="EQ266" s="81">
        <f>(EP266/20)/21</f>
        <v>0</v>
      </c>
      <c r="ER266" s="23"/>
      <c r="ES266" s="81">
        <f>(ER266/20)/21</f>
        <v>0</v>
      </c>
      <c r="ET266" s="23"/>
      <c r="EU266" s="81">
        <f>(ET266/20)/21</f>
        <v>0</v>
      </c>
      <c r="EV266" s="23"/>
      <c r="EW266" s="81">
        <f>(EV266/20)/21</f>
        <v>0</v>
      </c>
      <c r="EX266" s="23"/>
      <c r="EY266" s="81">
        <f>(EX266/20)/21</f>
        <v>0</v>
      </c>
      <c r="EZ266" s="23"/>
      <c r="FA266" s="81">
        <f>(EZ266/20)/21</f>
        <v>0</v>
      </c>
      <c r="FB266" s="23"/>
      <c r="FC266" s="81">
        <f>(FB266/20)/21</f>
        <v>0</v>
      </c>
      <c r="FD266" s="23"/>
      <c r="FE266" s="81">
        <f>(FD266/20)/21</f>
        <v>0</v>
      </c>
      <c r="FF266" s="23"/>
      <c r="FG266" s="81">
        <f>(FF266/20)/21</f>
        <v>0</v>
      </c>
      <c r="FH266" s="23"/>
      <c r="FI266" s="81">
        <f>(FH266/20)/21</f>
        <v>0</v>
      </c>
      <c r="FJ266" s="23"/>
      <c r="FK266" s="81">
        <f>(FJ266/20)/21</f>
        <v>0</v>
      </c>
      <c r="FL266" s="23"/>
      <c r="FM266" s="81">
        <f>(FL266/20)/21</f>
        <v>0</v>
      </c>
      <c r="FN266" s="23"/>
      <c r="FO266" s="81">
        <f>(FN266/20)/21</f>
        <v>0</v>
      </c>
      <c r="FP266" s="23"/>
      <c r="FQ266" s="81">
        <f>(FP266/20)/21</f>
        <v>0</v>
      </c>
      <c r="FR266" s="302"/>
      <c r="FS266" s="302"/>
      <c r="FT266" s="302"/>
      <c r="FU266" s="302"/>
      <c r="FV266" s="302"/>
      <c r="FW266" s="302"/>
      <c r="FX266" s="302"/>
      <c r="FY266" s="302"/>
      <c r="FZ266" s="302"/>
      <c r="GA266" s="302"/>
      <c r="GB266" s="302"/>
      <c r="GC266" s="302"/>
      <c r="GD266" s="302"/>
      <c r="GE266" s="302"/>
      <c r="GF266" s="302"/>
      <c r="GG266" s="302"/>
    </row>
    <row r="267" spans="1:189" ht="8.25" hidden="1" customHeight="1" outlineLevel="1" x14ac:dyDescent="0.3">
      <c r="A267" s="1"/>
      <c r="B267" s="18"/>
      <c r="C267" s="18"/>
      <c r="D267" s="18"/>
      <c r="E267" s="18"/>
      <c r="F267" s="18"/>
      <c r="G267" s="3"/>
      <c r="H267" s="3"/>
      <c r="I267" s="19"/>
      <c r="J267" s="20"/>
      <c r="K267" s="19"/>
      <c r="L267" s="20"/>
      <c r="M267" s="19"/>
      <c r="N267" s="20"/>
      <c r="O267" s="19"/>
      <c r="P267" s="20"/>
      <c r="Q267" s="19"/>
      <c r="R267" s="20"/>
      <c r="S267" s="19"/>
      <c r="T267" s="20"/>
      <c r="U267" s="19"/>
      <c r="V267" s="20"/>
      <c r="W267" s="19"/>
      <c r="X267" s="20"/>
      <c r="Y267" s="19"/>
      <c r="Z267" s="20"/>
      <c r="AA267" s="19"/>
      <c r="AB267" s="20"/>
      <c r="AC267" s="19"/>
      <c r="AD267" s="20"/>
      <c r="AE267" s="19"/>
      <c r="AF267" s="20"/>
      <c r="AG267" s="19"/>
      <c r="AH267" s="20"/>
      <c r="AI267" s="19"/>
      <c r="AJ267" s="20"/>
      <c r="AK267" s="19"/>
      <c r="AL267" s="20"/>
      <c r="AM267" s="19"/>
      <c r="AN267" s="20"/>
      <c r="AO267" s="19"/>
      <c r="AP267" s="20"/>
      <c r="AQ267" s="19"/>
      <c r="AR267" s="20"/>
      <c r="AS267" s="19"/>
      <c r="AT267" s="20"/>
      <c r="AU267" s="19"/>
      <c r="AV267" s="20"/>
      <c r="AW267" s="19"/>
      <c r="AX267" s="20"/>
      <c r="AY267" s="19"/>
      <c r="AZ267" s="20"/>
      <c r="BA267" s="19"/>
      <c r="BB267" s="20"/>
      <c r="BC267" s="19"/>
      <c r="BD267" s="20"/>
      <c r="BE267" s="19"/>
      <c r="BF267" s="20"/>
      <c r="BG267" s="19"/>
      <c r="BH267" s="20"/>
      <c r="BI267" s="19"/>
      <c r="BJ267" s="20"/>
      <c r="BK267" s="19"/>
      <c r="BL267" s="20"/>
      <c r="BM267" s="19"/>
      <c r="BN267" s="20"/>
      <c r="BO267" s="19"/>
      <c r="BP267" s="20"/>
      <c r="BQ267" s="19"/>
      <c r="BR267" s="20"/>
      <c r="BS267" s="19"/>
      <c r="BT267" s="20"/>
      <c r="BU267" s="19"/>
      <c r="BV267" s="20"/>
      <c r="BW267" s="19"/>
      <c r="BX267" s="20"/>
      <c r="BY267" s="19"/>
      <c r="BZ267" s="20"/>
      <c r="CA267" s="19"/>
      <c r="CB267" s="20"/>
      <c r="CC267" s="19"/>
      <c r="CD267" s="20"/>
      <c r="CE267" s="19"/>
      <c r="CF267" s="20"/>
      <c r="CG267" s="19"/>
      <c r="CH267" s="20"/>
      <c r="CI267" s="19"/>
      <c r="CJ267" s="20"/>
      <c r="CK267" s="19"/>
      <c r="CL267" s="20"/>
      <c r="CM267" s="19"/>
      <c r="CN267" s="20"/>
      <c r="CO267" s="19"/>
      <c r="CP267" s="20"/>
      <c r="CQ267" s="19"/>
      <c r="CR267" s="20"/>
      <c r="CS267" s="19"/>
      <c r="CT267" s="20"/>
      <c r="CU267" s="19"/>
      <c r="CV267" s="20"/>
      <c r="CW267" s="19"/>
      <c r="CX267" s="20"/>
      <c r="CY267" s="19"/>
      <c r="CZ267" s="20"/>
      <c r="DA267" s="19"/>
      <c r="DB267" s="20"/>
      <c r="DC267" s="19"/>
      <c r="DD267" s="20"/>
      <c r="DE267" s="19"/>
      <c r="DF267" s="20"/>
      <c r="DG267" s="19"/>
      <c r="DH267" s="20"/>
      <c r="DI267" s="19"/>
      <c r="DJ267" s="20"/>
      <c r="DK267" s="19"/>
      <c r="DL267" s="20"/>
      <c r="DM267" s="19"/>
      <c r="DN267" s="20"/>
      <c r="DO267" s="19"/>
      <c r="DP267" s="20"/>
      <c r="DQ267" s="19"/>
      <c r="DR267" s="20"/>
      <c r="DS267" s="19"/>
      <c r="DT267" s="20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19"/>
      <c r="EO267" s="20"/>
      <c r="EP267" s="19"/>
      <c r="EQ267" s="20"/>
      <c r="ER267" s="19"/>
      <c r="ES267" s="20"/>
      <c r="ET267" s="19"/>
      <c r="EU267" s="20"/>
      <c r="EV267" s="19"/>
      <c r="EW267" s="20"/>
      <c r="EX267" s="19"/>
      <c r="EY267" s="20"/>
      <c r="EZ267" s="19"/>
      <c r="FA267" s="20"/>
      <c r="FB267" s="19"/>
      <c r="FC267" s="20"/>
      <c r="FD267" s="19"/>
      <c r="FE267" s="20"/>
      <c r="FF267" s="19"/>
      <c r="FG267" s="20"/>
      <c r="FH267" s="19"/>
      <c r="FI267" s="20"/>
      <c r="FJ267" s="19"/>
      <c r="FK267" s="20"/>
      <c r="FL267" s="19"/>
      <c r="FM267" s="20"/>
      <c r="FN267" s="19"/>
      <c r="FO267" s="20"/>
      <c r="FP267" s="19"/>
      <c r="FQ267" s="20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</row>
    <row r="268" spans="1:189" ht="12.75" hidden="1" customHeight="1" outlineLevel="1" x14ac:dyDescent="0.3">
      <c r="A268" s="63"/>
      <c r="B268" s="446" t="s">
        <v>212</v>
      </c>
      <c r="C268" s="313" t="s">
        <v>47</v>
      </c>
      <c r="D268" s="313" t="s">
        <v>96</v>
      </c>
      <c r="E268" s="313" t="s">
        <v>213</v>
      </c>
      <c r="F268" s="313" t="s">
        <v>27</v>
      </c>
      <c r="G268" s="71" t="s">
        <v>28</v>
      </c>
      <c r="H268" s="5"/>
      <c r="I268" s="334"/>
      <c r="J268" s="281"/>
      <c r="K268" s="334"/>
      <c r="L268" s="281"/>
      <c r="M268" s="334"/>
      <c r="N268" s="281"/>
      <c r="O268" s="334"/>
      <c r="P268" s="281"/>
      <c r="Q268" s="334"/>
      <c r="R268" s="281"/>
      <c r="S268" s="334"/>
      <c r="T268" s="281"/>
      <c r="U268" s="334"/>
      <c r="V268" s="281"/>
      <c r="W268" s="334"/>
      <c r="X268" s="281"/>
      <c r="Y268" s="334"/>
      <c r="Z268" s="281"/>
      <c r="AA268" s="334"/>
      <c r="AB268" s="281"/>
      <c r="AC268" s="334"/>
      <c r="AD268" s="281"/>
      <c r="AE268" s="334"/>
      <c r="AF268" s="281"/>
      <c r="AG268" s="334"/>
      <c r="AH268" s="281"/>
      <c r="AI268" s="334"/>
      <c r="AJ268" s="281"/>
      <c r="AK268" s="334"/>
      <c r="AL268" s="281"/>
      <c r="AM268" s="334"/>
      <c r="AN268" s="281"/>
      <c r="AO268" s="334"/>
      <c r="AP268" s="281"/>
      <c r="AQ268" s="327"/>
      <c r="AR268" s="281"/>
      <c r="AS268" s="327"/>
      <c r="AT268" s="281"/>
      <c r="AU268" s="327"/>
      <c r="AV268" s="281"/>
      <c r="AW268" s="327"/>
      <c r="AX268" s="281"/>
      <c r="AY268" s="327"/>
      <c r="AZ268" s="281"/>
      <c r="BA268" s="327"/>
      <c r="BB268" s="281"/>
      <c r="BC268" s="327"/>
      <c r="BD268" s="281"/>
      <c r="BE268" s="327"/>
      <c r="BF268" s="281"/>
      <c r="BG268" s="327"/>
      <c r="BH268" s="281"/>
      <c r="BI268" s="327"/>
      <c r="BJ268" s="281"/>
      <c r="BK268" s="327"/>
      <c r="BL268" s="281"/>
      <c r="BM268" s="327"/>
      <c r="BN268" s="281"/>
      <c r="BO268" s="327"/>
      <c r="BP268" s="281"/>
      <c r="BQ268" s="327"/>
      <c r="BR268" s="281"/>
      <c r="BS268" s="327"/>
      <c r="BT268" s="281"/>
      <c r="BU268" s="327"/>
      <c r="BV268" s="281"/>
      <c r="BW268" s="327"/>
      <c r="BX268" s="281"/>
      <c r="BY268" s="327"/>
      <c r="BZ268" s="281"/>
      <c r="CA268" s="327"/>
      <c r="CB268" s="281"/>
      <c r="CC268" s="327"/>
      <c r="CD268" s="281"/>
      <c r="CE268" s="327"/>
      <c r="CF268" s="281"/>
      <c r="CG268" s="327"/>
      <c r="CH268" s="281"/>
      <c r="CI268" s="327"/>
      <c r="CJ268" s="281"/>
      <c r="CK268" s="327"/>
      <c r="CL268" s="281"/>
      <c r="CM268" s="327"/>
      <c r="CN268" s="281"/>
      <c r="CO268" s="327"/>
      <c r="CP268" s="281"/>
      <c r="CQ268" s="327"/>
      <c r="CR268" s="281"/>
      <c r="CS268" s="327"/>
      <c r="CT268" s="281"/>
      <c r="CU268" s="327"/>
      <c r="CV268" s="281"/>
      <c r="CW268" s="327"/>
      <c r="CX268" s="281"/>
      <c r="CY268" s="327"/>
      <c r="CZ268" s="281"/>
      <c r="DA268" s="327"/>
      <c r="DB268" s="281"/>
      <c r="DC268" s="327"/>
      <c r="DD268" s="281"/>
      <c r="DE268" s="327"/>
      <c r="DF268" s="281"/>
      <c r="DG268" s="327"/>
      <c r="DH268" s="281"/>
      <c r="DI268" s="327"/>
      <c r="DJ268" s="281"/>
      <c r="DK268" s="327"/>
      <c r="DL268" s="281"/>
      <c r="DM268" s="327"/>
      <c r="DN268" s="281"/>
      <c r="DO268" s="327"/>
      <c r="DP268" s="281"/>
      <c r="DQ268" s="327"/>
      <c r="DR268" s="281"/>
      <c r="DS268" s="327"/>
      <c r="DT268" s="281"/>
      <c r="DU268" s="313"/>
      <c r="DV268" s="313"/>
      <c r="DW268" s="313"/>
      <c r="DX268" s="313"/>
      <c r="DY268" s="313"/>
      <c r="DZ268" s="313"/>
      <c r="EA268" s="313"/>
      <c r="EB268" s="313"/>
      <c r="EC268" s="313"/>
      <c r="ED268" s="313"/>
      <c r="EE268" s="313"/>
      <c r="EF268" s="313"/>
      <c r="EG268" s="313"/>
      <c r="EH268" s="313"/>
      <c r="EI268" s="313"/>
      <c r="EJ268" s="313"/>
      <c r="EK268" s="313"/>
      <c r="EL268" s="313"/>
      <c r="EM268" s="313"/>
      <c r="EN268" s="327"/>
      <c r="EO268" s="281"/>
      <c r="EP268" s="327"/>
      <c r="EQ268" s="281"/>
      <c r="ER268" s="327"/>
      <c r="ES268" s="281"/>
      <c r="ET268" s="327"/>
      <c r="EU268" s="281"/>
      <c r="EV268" s="327"/>
      <c r="EW268" s="281"/>
      <c r="EX268" s="327"/>
      <c r="EY268" s="281"/>
      <c r="EZ268" s="327"/>
      <c r="FA268" s="281"/>
      <c r="FB268" s="327"/>
      <c r="FC268" s="281"/>
      <c r="FD268" s="327"/>
      <c r="FE268" s="281"/>
      <c r="FF268" s="327"/>
      <c r="FG268" s="281"/>
      <c r="FH268" s="327"/>
      <c r="FI268" s="281"/>
      <c r="FJ268" s="327"/>
      <c r="FK268" s="281"/>
      <c r="FL268" s="327"/>
      <c r="FM268" s="281"/>
      <c r="FN268" s="327"/>
      <c r="FO268" s="281"/>
      <c r="FP268" s="327"/>
      <c r="FQ268" s="281"/>
      <c r="FR268" s="313"/>
      <c r="FS268" s="313"/>
      <c r="FT268" s="313"/>
      <c r="FU268" s="313"/>
      <c r="FV268" s="313"/>
      <c r="FW268" s="313"/>
      <c r="FX268" s="313"/>
      <c r="FY268" s="313"/>
      <c r="FZ268" s="313"/>
      <c r="GA268" s="313"/>
      <c r="GB268" s="313"/>
      <c r="GC268" s="313"/>
      <c r="GD268" s="313"/>
      <c r="GE268" s="313"/>
      <c r="GF268" s="313"/>
      <c r="GG268" s="313"/>
    </row>
    <row r="269" spans="1:189" ht="4.5" hidden="1" customHeight="1" outlineLevel="1" x14ac:dyDescent="0.3">
      <c r="A269" s="1"/>
      <c r="B269" s="301"/>
      <c r="C269" s="301"/>
      <c r="D269" s="301"/>
      <c r="E269" s="301"/>
      <c r="F269" s="301"/>
      <c r="G269" s="71"/>
      <c r="H269" s="5"/>
      <c r="I269" s="335"/>
      <c r="J269" s="281"/>
      <c r="K269" s="448"/>
      <c r="L269" s="281"/>
      <c r="M269" s="448"/>
      <c r="N269" s="281"/>
      <c r="O269" s="448"/>
      <c r="P269" s="281"/>
      <c r="Q269" s="448"/>
      <c r="R269" s="281"/>
      <c r="S269" s="448"/>
      <c r="T269" s="281"/>
      <c r="U269" s="335"/>
      <c r="V269" s="281"/>
      <c r="W269" s="335"/>
      <c r="X269" s="281"/>
      <c r="Y269" s="335"/>
      <c r="Z269" s="281"/>
      <c r="AA269" s="335"/>
      <c r="AB269" s="281"/>
      <c r="AC269" s="335"/>
      <c r="AD269" s="281"/>
      <c r="AE269" s="335"/>
      <c r="AF269" s="281"/>
      <c r="AG269" s="335"/>
      <c r="AH269" s="281"/>
      <c r="AI269" s="448"/>
      <c r="AJ269" s="281"/>
      <c r="AK269" s="335"/>
      <c r="AL269" s="281"/>
      <c r="AM269" s="335"/>
      <c r="AN269" s="281"/>
      <c r="AO269" s="335"/>
      <c r="AP269" s="281"/>
      <c r="AQ269" s="284"/>
      <c r="AR269" s="281"/>
      <c r="AS269" s="284"/>
      <c r="AT269" s="281"/>
      <c r="AU269" s="284"/>
      <c r="AV269" s="281"/>
      <c r="AW269" s="284"/>
      <c r="AX269" s="281"/>
      <c r="AY269" s="284"/>
      <c r="AZ269" s="281"/>
      <c r="BA269" s="284"/>
      <c r="BB269" s="281"/>
      <c r="BC269" s="284"/>
      <c r="BD269" s="281"/>
      <c r="BE269" s="284"/>
      <c r="BF269" s="281"/>
      <c r="BG269" s="284"/>
      <c r="BH269" s="281"/>
      <c r="BI269" s="284"/>
      <c r="BJ269" s="281"/>
      <c r="BK269" s="284"/>
      <c r="BL269" s="281"/>
      <c r="BM269" s="284"/>
      <c r="BN269" s="281"/>
      <c r="BO269" s="284"/>
      <c r="BP269" s="281"/>
      <c r="BQ269" s="284"/>
      <c r="BR269" s="281"/>
      <c r="BS269" s="284"/>
      <c r="BT269" s="281"/>
      <c r="BU269" s="284"/>
      <c r="BV269" s="281"/>
      <c r="BW269" s="284"/>
      <c r="BX269" s="281"/>
      <c r="BY269" s="284"/>
      <c r="BZ269" s="281"/>
      <c r="CA269" s="284"/>
      <c r="CB269" s="281"/>
      <c r="CC269" s="284"/>
      <c r="CD269" s="281"/>
      <c r="CE269" s="284"/>
      <c r="CF269" s="281"/>
      <c r="CG269" s="284"/>
      <c r="CH269" s="281"/>
      <c r="CI269" s="284"/>
      <c r="CJ269" s="281"/>
      <c r="CK269" s="284"/>
      <c r="CL269" s="281"/>
      <c r="CM269" s="284"/>
      <c r="CN269" s="281"/>
      <c r="CO269" s="284"/>
      <c r="CP269" s="281"/>
      <c r="CQ269" s="284"/>
      <c r="CR269" s="281"/>
      <c r="CS269" s="284"/>
      <c r="CT269" s="281"/>
      <c r="CU269" s="284"/>
      <c r="CV269" s="281"/>
      <c r="CW269" s="284"/>
      <c r="CX269" s="281"/>
      <c r="CY269" s="284"/>
      <c r="CZ269" s="281"/>
      <c r="DA269" s="284"/>
      <c r="DB269" s="281"/>
      <c r="DC269" s="284"/>
      <c r="DD269" s="281"/>
      <c r="DE269" s="284"/>
      <c r="DF269" s="281"/>
      <c r="DG269" s="284"/>
      <c r="DH269" s="281"/>
      <c r="DI269" s="284"/>
      <c r="DJ269" s="281"/>
      <c r="DK269" s="284"/>
      <c r="DL269" s="281"/>
      <c r="DM269" s="284"/>
      <c r="DN269" s="281"/>
      <c r="DO269" s="284"/>
      <c r="DP269" s="281"/>
      <c r="DQ269" s="284"/>
      <c r="DR269" s="281"/>
      <c r="DS269" s="284"/>
      <c r="DT269" s="281"/>
      <c r="DU269" s="301"/>
      <c r="DV269" s="301"/>
      <c r="DW269" s="301"/>
      <c r="DX269" s="301"/>
      <c r="DY269" s="301"/>
      <c r="DZ269" s="301"/>
      <c r="EA269" s="301"/>
      <c r="EB269" s="301"/>
      <c r="EC269" s="301"/>
      <c r="ED269" s="301"/>
      <c r="EE269" s="301"/>
      <c r="EF269" s="301"/>
      <c r="EG269" s="301"/>
      <c r="EH269" s="301"/>
      <c r="EI269" s="301"/>
      <c r="EJ269" s="301"/>
      <c r="EK269" s="301"/>
      <c r="EL269" s="301"/>
      <c r="EM269" s="301"/>
      <c r="EN269" s="284"/>
      <c r="EO269" s="281"/>
      <c r="EP269" s="284"/>
      <c r="EQ269" s="281"/>
      <c r="ER269" s="284"/>
      <c r="ES269" s="281"/>
      <c r="ET269" s="284"/>
      <c r="EU269" s="281"/>
      <c r="EV269" s="284"/>
      <c r="EW269" s="281"/>
      <c r="EX269" s="284"/>
      <c r="EY269" s="281"/>
      <c r="EZ269" s="284"/>
      <c r="FA269" s="281"/>
      <c r="FB269" s="284"/>
      <c r="FC269" s="281"/>
      <c r="FD269" s="284"/>
      <c r="FE269" s="281"/>
      <c r="FF269" s="284"/>
      <c r="FG269" s="281"/>
      <c r="FH269" s="284"/>
      <c r="FI269" s="281"/>
      <c r="FJ269" s="284"/>
      <c r="FK269" s="281"/>
      <c r="FL269" s="284"/>
      <c r="FM269" s="281"/>
      <c r="FN269" s="284"/>
      <c r="FO269" s="281"/>
      <c r="FP269" s="284"/>
      <c r="FQ269" s="281"/>
      <c r="FR269" s="301"/>
      <c r="FS269" s="301"/>
      <c r="FT269" s="301"/>
      <c r="FU269" s="301"/>
      <c r="FV269" s="301"/>
      <c r="FW269" s="301"/>
      <c r="FX269" s="301"/>
      <c r="FY269" s="301"/>
      <c r="FZ269" s="301"/>
      <c r="GA269" s="301"/>
      <c r="GB269" s="301"/>
      <c r="GC269" s="301"/>
      <c r="GD269" s="301"/>
      <c r="GE269" s="301"/>
      <c r="GF269" s="301"/>
      <c r="GG269" s="301"/>
    </row>
    <row r="270" spans="1:189" ht="15" hidden="1" customHeight="1" outlineLevel="1" x14ac:dyDescent="0.3">
      <c r="A270" s="1"/>
      <c r="B270" s="301"/>
      <c r="C270" s="301"/>
      <c r="D270" s="301"/>
      <c r="E270" s="301"/>
      <c r="F270" s="301"/>
      <c r="G270" s="5" t="s">
        <v>30</v>
      </c>
      <c r="H270" s="5"/>
      <c r="I270" s="327">
        <f>I271/I4</f>
        <v>0.21239535511747232</v>
      </c>
      <c r="J270" s="281"/>
      <c r="K270" s="327">
        <f>K271/K4</f>
        <v>0.46470113085621972</v>
      </c>
      <c r="L270" s="281"/>
      <c r="M270" s="327">
        <f>M271/M4</f>
        <v>0.38360304152856306</v>
      </c>
      <c r="N270" s="281"/>
      <c r="O270" s="327">
        <f>O271/O4</f>
        <v>0.45486518171160611</v>
      </c>
      <c r="P270" s="281"/>
      <c r="Q270" s="327">
        <f>Q271/Q4</f>
        <v>0.50459825750242016</v>
      </c>
      <c r="R270" s="281"/>
      <c r="S270" s="327">
        <f>S271/S4</f>
        <v>0.4634959634959635</v>
      </c>
      <c r="T270" s="281"/>
      <c r="U270" s="327">
        <f>U271/U4</f>
        <v>0.16432628097110405</v>
      </c>
      <c r="V270" s="281"/>
      <c r="W270" s="327">
        <f>W271/W4</f>
        <v>0.12771129394166045</v>
      </c>
      <c r="X270" s="281"/>
      <c r="Y270" s="327">
        <f>Y271/Y4</f>
        <v>8.184242215723378E-2</v>
      </c>
      <c r="Z270" s="281"/>
      <c r="AA270" s="327">
        <f>AA271/AA4</f>
        <v>0.1380813953488372</v>
      </c>
      <c r="AB270" s="281"/>
      <c r="AC270" s="327">
        <f>AC271/AC4</f>
        <v>0.21300414046925317</v>
      </c>
      <c r="AD270" s="281"/>
      <c r="AE270" s="327">
        <f>AE271/AE4</f>
        <v>0.1588793140778591</v>
      </c>
      <c r="AF270" s="281"/>
      <c r="AG270" s="327">
        <f>AG271/AG4</f>
        <v>0.26261204533669158</v>
      </c>
      <c r="AH270" s="281"/>
      <c r="AI270" s="327">
        <f>AI271/AI4</f>
        <v>0.37131645194728269</v>
      </c>
      <c r="AJ270" s="281"/>
      <c r="AK270" s="327">
        <f>AK271/AK4</f>
        <v>0.22859321916383554</v>
      </c>
      <c r="AL270" s="281"/>
      <c r="AM270" s="327">
        <f>AM271/AM4</f>
        <v>0.21479767059877558</v>
      </c>
      <c r="AN270" s="281"/>
      <c r="AO270" s="327">
        <f>AO271/AO4</f>
        <v>4.360323227940778E-2</v>
      </c>
      <c r="AP270" s="281"/>
      <c r="AQ270" s="327">
        <f>AQ271/AQ4</f>
        <v>6.9484451237434602E-2</v>
      </c>
      <c r="AR270" s="281"/>
      <c r="AS270" s="327">
        <f>AS271/AS4</f>
        <v>7.4603174603174602E-2</v>
      </c>
      <c r="AT270" s="281"/>
      <c r="AU270" s="327">
        <f>AU271/AU4</f>
        <v>0</v>
      </c>
      <c r="AV270" s="281"/>
      <c r="AW270" s="327">
        <f>AW271/AW4</f>
        <v>0</v>
      </c>
      <c r="AX270" s="281"/>
      <c r="AY270" s="327">
        <f>AY271/AY4</f>
        <v>0</v>
      </c>
      <c r="AZ270" s="281"/>
      <c r="BA270" s="327">
        <f>BA271/BA4</f>
        <v>0</v>
      </c>
      <c r="BB270" s="281"/>
      <c r="BC270" s="327">
        <f>BC271/BC4</f>
        <v>0</v>
      </c>
      <c r="BD270" s="281"/>
      <c r="BE270" s="327">
        <f>BE271/BE4</f>
        <v>0</v>
      </c>
      <c r="BF270" s="281"/>
      <c r="BG270" s="327">
        <f>BG271/BG4</f>
        <v>0</v>
      </c>
      <c r="BH270" s="281"/>
      <c r="BI270" s="327">
        <f>BI271/BI4</f>
        <v>0</v>
      </c>
      <c r="BJ270" s="281"/>
      <c r="BK270" s="327">
        <f>BK271/BK4</f>
        <v>0</v>
      </c>
      <c r="BL270" s="281"/>
      <c r="BM270" s="327">
        <f>BM271/BM4</f>
        <v>0</v>
      </c>
      <c r="BN270" s="281"/>
      <c r="BO270" s="327">
        <f>BO271/BO4</f>
        <v>0</v>
      </c>
      <c r="BP270" s="281"/>
      <c r="BQ270" s="327">
        <f>BQ271/BQ4</f>
        <v>0</v>
      </c>
      <c r="BR270" s="281"/>
      <c r="BS270" s="327">
        <f>BS271/BS4</f>
        <v>0</v>
      </c>
      <c r="BT270" s="281"/>
      <c r="BU270" s="327">
        <f>BU271/BU4</f>
        <v>0</v>
      </c>
      <c r="BV270" s="281"/>
      <c r="BW270" s="327">
        <f>BW271/BW4</f>
        <v>0</v>
      </c>
      <c r="BX270" s="281"/>
      <c r="BY270" s="327">
        <f>BY271/BY4</f>
        <v>0</v>
      </c>
      <c r="BZ270" s="281"/>
      <c r="CA270" s="327">
        <f>CA271/CA4</f>
        <v>0</v>
      </c>
      <c r="CB270" s="281"/>
      <c r="CC270" s="327">
        <f>CC271/CC4</f>
        <v>0</v>
      </c>
      <c r="CD270" s="281"/>
      <c r="CE270" s="327">
        <f>CE271/CE4</f>
        <v>0</v>
      </c>
      <c r="CF270" s="281"/>
      <c r="CG270" s="327">
        <f>CG271/CG4</f>
        <v>0</v>
      </c>
      <c r="CH270" s="281"/>
      <c r="CI270" s="327">
        <f>CI271/CI4</f>
        <v>0</v>
      </c>
      <c r="CJ270" s="281"/>
      <c r="CK270" s="327">
        <f>CK271/CK4</f>
        <v>0</v>
      </c>
      <c r="CL270" s="281"/>
      <c r="CM270" s="327">
        <f>CM271/CM4</f>
        <v>0</v>
      </c>
      <c r="CN270" s="281"/>
      <c r="CO270" s="327">
        <f>CO271/CO4</f>
        <v>0</v>
      </c>
      <c r="CP270" s="281"/>
      <c r="CQ270" s="327">
        <f>CQ271/CQ4</f>
        <v>0</v>
      </c>
      <c r="CR270" s="281"/>
      <c r="CS270" s="327">
        <f>CS271/CS4</f>
        <v>0</v>
      </c>
      <c r="CT270" s="281"/>
      <c r="CU270" s="327">
        <f>CU271/CU4</f>
        <v>0</v>
      </c>
      <c r="CV270" s="281"/>
      <c r="CW270" s="327">
        <f>CW271/CW4</f>
        <v>0</v>
      </c>
      <c r="CX270" s="281"/>
      <c r="CY270" s="327">
        <f>CY271/CY4</f>
        <v>0</v>
      </c>
      <c r="CZ270" s="281"/>
      <c r="DA270" s="327">
        <f>DA271/DA4</f>
        <v>0</v>
      </c>
      <c r="DB270" s="281"/>
      <c r="DC270" s="327">
        <f>DC271/DC4</f>
        <v>0</v>
      </c>
      <c r="DD270" s="281"/>
      <c r="DE270" s="327">
        <f>DE271/DE4</f>
        <v>0</v>
      </c>
      <c r="DF270" s="281"/>
      <c r="DG270" s="327">
        <f>DG271/DG4</f>
        <v>0</v>
      </c>
      <c r="DH270" s="281"/>
      <c r="DI270" s="327">
        <f>DI271/DI4</f>
        <v>0</v>
      </c>
      <c r="DJ270" s="281"/>
      <c r="DK270" s="327">
        <f>DK271/DK4</f>
        <v>0</v>
      </c>
      <c r="DL270" s="281"/>
      <c r="DM270" s="327">
        <f>DM271/DM4</f>
        <v>0</v>
      </c>
      <c r="DN270" s="281"/>
      <c r="DO270" s="327">
        <f>DO271/DO4</f>
        <v>0</v>
      </c>
      <c r="DP270" s="281"/>
      <c r="DQ270" s="327">
        <f>DQ271/DQ4</f>
        <v>0</v>
      </c>
      <c r="DR270" s="281"/>
      <c r="DS270" s="327">
        <f>DS271/DS4</f>
        <v>0</v>
      </c>
      <c r="DT270" s="281"/>
      <c r="DU270" s="301"/>
      <c r="DV270" s="301"/>
      <c r="DW270" s="301"/>
      <c r="DX270" s="301"/>
      <c r="DY270" s="301"/>
      <c r="DZ270" s="301"/>
      <c r="EA270" s="301"/>
      <c r="EB270" s="301"/>
      <c r="EC270" s="301"/>
      <c r="ED270" s="301"/>
      <c r="EE270" s="301"/>
      <c r="EF270" s="301"/>
      <c r="EG270" s="301"/>
      <c r="EH270" s="301"/>
      <c r="EI270" s="301"/>
      <c r="EJ270" s="301"/>
      <c r="EK270" s="301"/>
      <c r="EL270" s="301"/>
      <c r="EM270" s="301"/>
      <c r="EN270" s="327">
        <f>EN271/EN4</f>
        <v>0</v>
      </c>
      <c r="EO270" s="281"/>
      <c r="EP270" s="327">
        <f>EP271/EP4</f>
        <v>0</v>
      </c>
      <c r="EQ270" s="281"/>
      <c r="ER270" s="327">
        <f>ER271/ER4</f>
        <v>0</v>
      </c>
      <c r="ES270" s="281"/>
      <c r="ET270" s="327">
        <f>ET271/ET4</f>
        <v>0</v>
      </c>
      <c r="EU270" s="281"/>
      <c r="EV270" s="327">
        <f>EV271/EV4</f>
        <v>0</v>
      </c>
      <c r="EW270" s="281"/>
      <c r="EX270" s="327">
        <f>EX271/EX4</f>
        <v>0</v>
      </c>
      <c r="EY270" s="281"/>
      <c r="EZ270" s="327">
        <f>EZ271/EZ4</f>
        <v>0</v>
      </c>
      <c r="FA270" s="281"/>
      <c r="FB270" s="327">
        <f>FB271/FB4</f>
        <v>0</v>
      </c>
      <c r="FC270" s="281"/>
      <c r="FD270" s="327">
        <f>FD271/FD4</f>
        <v>0</v>
      </c>
      <c r="FE270" s="281"/>
      <c r="FF270" s="327">
        <f>FF271/FF4</f>
        <v>0</v>
      </c>
      <c r="FG270" s="281"/>
      <c r="FH270" s="327">
        <f>FH271/FH4</f>
        <v>0</v>
      </c>
      <c r="FI270" s="281"/>
      <c r="FJ270" s="327">
        <f>FJ271/FJ4</f>
        <v>0</v>
      </c>
      <c r="FK270" s="281"/>
      <c r="FL270" s="327">
        <f>FL271/FL4</f>
        <v>0</v>
      </c>
      <c r="FM270" s="281"/>
      <c r="FN270" s="327">
        <f>FN271/FN4</f>
        <v>0</v>
      </c>
      <c r="FO270" s="281"/>
      <c r="FP270" s="327">
        <f>FP271/FP4</f>
        <v>0</v>
      </c>
      <c r="FQ270" s="281"/>
      <c r="FR270" s="301"/>
      <c r="FS270" s="301"/>
      <c r="FT270" s="301"/>
      <c r="FU270" s="301"/>
      <c r="FV270" s="301"/>
      <c r="FW270" s="301"/>
      <c r="FX270" s="301"/>
      <c r="FY270" s="301"/>
      <c r="FZ270" s="301"/>
      <c r="GA270" s="301"/>
      <c r="GB270" s="301"/>
      <c r="GC270" s="301"/>
      <c r="GD270" s="301"/>
      <c r="GE270" s="301"/>
      <c r="GF270" s="301"/>
      <c r="GG270" s="301"/>
    </row>
    <row r="271" spans="1:189" ht="15" hidden="1" customHeight="1" outlineLevel="1" x14ac:dyDescent="0.3">
      <c r="A271" s="1"/>
      <c r="B271" s="301"/>
      <c r="C271" s="301"/>
      <c r="D271" s="301"/>
      <c r="E271" s="302"/>
      <c r="F271" s="302"/>
      <c r="G271" s="5" t="s">
        <v>214</v>
      </c>
      <c r="H271" s="5"/>
      <c r="I271" s="284">
        <f>SUM(I272:I275)</f>
        <v>42471</v>
      </c>
      <c r="J271" s="281"/>
      <c r="K271" s="284">
        <v>5753</v>
      </c>
      <c r="L271" s="281"/>
      <c r="M271" s="284">
        <v>3935</v>
      </c>
      <c r="N271" s="281"/>
      <c r="O271" s="284">
        <v>5432</v>
      </c>
      <c r="P271" s="281"/>
      <c r="Q271" s="284">
        <v>6255</v>
      </c>
      <c r="R271" s="281"/>
      <c r="S271" s="284">
        <v>5282</v>
      </c>
      <c r="T271" s="281"/>
      <c r="U271" s="284">
        <v>2633</v>
      </c>
      <c r="V271" s="281"/>
      <c r="W271" s="284">
        <v>2732</v>
      </c>
      <c r="X271" s="281"/>
      <c r="Y271" s="284">
        <v>1903</v>
      </c>
      <c r="Z271" s="281"/>
      <c r="AA271" s="284">
        <v>3420</v>
      </c>
      <c r="AB271" s="281"/>
      <c r="AC271" s="284">
        <v>4167</v>
      </c>
      <c r="AD271" s="281"/>
      <c r="AE271" s="284">
        <f>SUM(AE272:AE275)</f>
        <v>3669</v>
      </c>
      <c r="AF271" s="281"/>
      <c r="AG271" s="284">
        <f>SUM(AG272:AG275)</f>
        <v>3545</v>
      </c>
      <c r="AH271" s="281"/>
      <c r="AI271" s="284">
        <f>SUM(AI272:AI275)</f>
        <v>5015</v>
      </c>
      <c r="AJ271" s="281"/>
      <c r="AK271" s="284">
        <f>SUM(AK272:AK275)</f>
        <v>3297</v>
      </c>
      <c r="AL271" s="281"/>
      <c r="AM271" s="284">
        <f>SUM(AM272:AM275)</f>
        <v>2877</v>
      </c>
      <c r="AN271" s="281"/>
      <c r="AO271" s="284">
        <f>SUM(AO272:AO275)</f>
        <v>804</v>
      </c>
      <c r="AP271" s="281"/>
      <c r="AQ271" s="284">
        <f>SUM(AQ272:AQ275)</f>
        <v>1182</v>
      </c>
      <c r="AR271" s="281"/>
      <c r="AS271" s="284">
        <f>SUM(AS272:AS275)</f>
        <v>1034</v>
      </c>
      <c r="AT271" s="281"/>
      <c r="AU271" s="349">
        <f>SUM(AU272:AU275)</f>
        <v>0</v>
      </c>
      <c r="AV271" s="281"/>
      <c r="AW271" s="349">
        <f>SUM(AW272:AW275)</f>
        <v>0</v>
      </c>
      <c r="AX271" s="281"/>
      <c r="AY271" s="284">
        <f>SUM(AY272:AY275)</f>
        <v>0</v>
      </c>
      <c r="AZ271" s="281"/>
      <c r="BA271" s="284">
        <f>SUM(BA272:BA275)</f>
        <v>0</v>
      </c>
      <c r="BB271" s="281"/>
      <c r="BC271" s="284">
        <f>SUM(BC272:BC275)</f>
        <v>0</v>
      </c>
      <c r="BD271" s="281"/>
      <c r="BE271" s="284">
        <f>SUM(BE272:BE275)</f>
        <v>0</v>
      </c>
      <c r="BF271" s="281"/>
      <c r="BG271" s="284">
        <f>SUM(BG272:BG275)</f>
        <v>0</v>
      </c>
      <c r="BH271" s="281"/>
      <c r="BI271" s="284">
        <f>SUM(BI272:BI275)</f>
        <v>0</v>
      </c>
      <c r="BJ271" s="281"/>
      <c r="BK271" s="284">
        <f>SUM(BK272:BK275)</f>
        <v>0</v>
      </c>
      <c r="BL271" s="281"/>
      <c r="BM271" s="284">
        <f>SUM(BM272:BM275)</f>
        <v>0</v>
      </c>
      <c r="BN271" s="281"/>
      <c r="BO271" s="284">
        <f>SUM(BO272:BO275)</f>
        <v>0</v>
      </c>
      <c r="BP271" s="281"/>
      <c r="BQ271" s="284">
        <f>SUM(BQ272:BQ275)</f>
        <v>0</v>
      </c>
      <c r="BR271" s="281"/>
      <c r="BS271" s="284">
        <f>SUM(BS272:BS275)</f>
        <v>0</v>
      </c>
      <c r="BT271" s="281"/>
      <c r="BU271" s="284">
        <f>SUM(BU272:BU275)</f>
        <v>0</v>
      </c>
      <c r="BV271" s="281"/>
      <c r="BW271" s="284">
        <f>SUM(BW272:BW275)</f>
        <v>0</v>
      </c>
      <c r="BX271" s="281"/>
      <c r="BY271" s="284">
        <f>SUM(BY272:BY275)</f>
        <v>0</v>
      </c>
      <c r="BZ271" s="281"/>
      <c r="CA271" s="284">
        <f>SUM(CA272:CA275)</f>
        <v>0</v>
      </c>
      <c r="CB271" s="281"/>
      <c r="CC271" s="284">
        <f>SUM(CC272:CC275)</f>
        <v>0</v>
      </c>
      <c r="CD271" s="281"/>
      <c r="CE271" s="284">
        <f>SUM(CE272:CE275)</f>
        <v>0</v>
      </c>
      <c r="CF271" s="281"/>
      <c r="CG271" s="284">
        <f>SUM(CG272:CG275)</f>
        <v>0</v>
      </c>
      <c r="CH271" s="281"/>
      <c r="CI271" s="284">
        <f>SUM(CI272:CI275)</f>
        <v>0</v>
      </c>
      <c r="CJ271" s="281"/>
      <c r="CK271" s="284">
        <f>SUM(CK272:CK275)</f>
        <v>0</v>
      </c>
      <c r="CL271" s="281"/>
      <c r="CM271" s="284">
        <f>SUM(CM272:CM275)</f>
        <v>0</v>
      </c>
      <c r="CN271" s="281"/>
      <c r="CO271" s="284">
        <f>SUM(CO272:CO275)</f>
        <v>0</v>
      </c>
      <c r="CP271" s="281"/>
      <c r="CQ271" s="284">
        <f>SUM(CQ272:CQ275)</f>
        <v>0</v>
      </c>
      <c r="CR271" s="281"/>
      <c r="CS271" s="284">
        <f>SUM(CS272:CS275)</f>
        <v>0</v>
      </c>
      <c r="CT271" s="281"/>
      <c r="CU271" s="284">
        <f>SUM(CU272:CU275)</f>
        <v>0</v>
      </c>
      <c r="CV271" s="281"/>
      <c r="CW271" s="284">
        <f>SUM(CW272:CW275)</f>
        <v>0</v>
      </c>
      <c r="CX271" s="281"/>
      <c r="CY271" s="284">
        <f>SUM(CY272:CY275)</f>
        <v>0</v>
      </c>
      <c r="CZ271" s="281"/>
      <c r="DA271" s="284">
        <f>SUM(DA272:DA275)</f>
        <v>0</v>
      </c>
      <c r="DB271" s="281"/>
      <c r="DC271" s="284">
        <f>SUM(DC272:DC275)</f>
        <v>0</v>
      </c>
      <c r="DD271" s="281"/>
      <c r="DE271" s="284">
        <f>SUM(DE272:DE275)</f>
        <v>0</v>
      </c>
      <c r="DF271" s="281"/>
      <c r="DG271" s="284">
        <f>SUM(DG272:DG275)</f>
        <v>0</v>
      </c>
      <c r="DH271" s="281"/>
      <c r="DI271" s="284">
        <f>SUM(DI272:DI275)</f>
        <v>0</v>
      </c>
      <c r="DJ271" s="281"/>
      <c r="DK271" s="284">
        <f>SUM(DK272:DK275)</f>
        <v>0</v>
      </c>
      <c r="DL271" s="281"/>
      <c r="DM271" s="284">
        <f>SUM(DM272:DM275)</f>
        <v>0</v>
      </c>
      <c r="DN271" s="281"/>
      <c r="DO271" s="284">
        <f>SUM(DO272:DO275)</f>
        <v>0</v>
      </c>
      <c r="DP271" s="281"/>
      <c r="DQ271" s="284">
        <f>SUM(DQ272:DQ275)</f>
        <v>0</v>
      </c>
      <c r="DR271" s="281"/>
      <c r="DS271" s="284">
        <f>SUM(DS272:DS275)</f>
        <v>0</v>
      </c>
      <c r="DT271" s="281"/>
      <c r="DU271" s="301"/>
      <c r="DV271" s="301"/>
      <c r="DW271" s="301"/>
      <c r="DX271" s="301"/>
      <c r="DY271" s="301"/>
      <c r="DZ271" s="301"/>
      <c r="EA271" s="301"/>
      <c r="EB271" s="301"/>
      <c r="EC271" s="301"/>
      <c r="ED271" s="301"/>
      <c r="EE271" s="301"/>
      <c r="EF271" s="301"/>
      <c r="EG271" s="301"/>
      <c r="EH271" s="301"/>
      <c r="EI271" s="301"/>
      <c r="EJ271" s="301"/>
      <c r="EK271" s="301"/>
      <c r="EL271" s="301"/>
      <c r="EM271" s="301"/>
      <c r="EN271" s="284">
        <f>SUM(EN272:EN275)</f>
        <v>0</v>
      </c>
      <c r="EO271" s="281"/>
      <c r="EP271" s="284">
        <f>SUM(EP272:EP275)</f>
        <v>0</v>
      </c>
      <c r="EQ271" s="281"/>
      <c r="ER271" s="284">
        <f>SUM(ER272:ER275)</f>
        <v>0</v>
      </c>
      <c r="ES271" s="281"/>
      <c r="ET271" s="284">
        <f>SUM(ET272:ET275)</f>
        <v>0</v>
      </c>
      <c r="EU271" s="281"/>
      <c r="EV271" s="284">
        <f>SUM(EV272:EV275)</f>
        <v>0</v>
      </c>
      <c r="EW271" s="281"/>
      <c r="EX271" s="284">
        <f>SUM(EX272:EX275)</f>
        <v>0</v>
      </c>
      <c r="EY271" s="281"/>
      <c r="EZ271" s="284">
        <f>SUM(EZ272:EZ275)</f>
        <v>0</v>
      </c>
      <c r="FA271" s="281"/>
      <c r="FB271" s="284">
        <f>SUM(FB272:FB275)</f>
        <v>0</v>
      </c>
      <c r="FC271" s="281"/>
      <c r="FD271" s="284">
        <f>SUM(FD272:FD275)</f>
        <v>0</v>
      </c>
      <c r="FE271" s="281"/>
      <c r="FF271" s="284">
        <f>SUM(FF272:FF275)</f>
        <v>0</v>
      </c>
      <c r="FG271" s="281"/>
      <c r="FH271" s="284">
        <f>SUM(FH272:FH275)</f>
        <v>0</v>
      </c>
      <c r="FI271" s="281"/>
      <c r="FJ271" s="284">
        <f>SUM(FJ272:FJ275)</f>
        <v>0</v>
      </c>
      <c r="FK271" s="281"/>
      <c r="FL271" s="284">
        <f>SUM(FL272:FL275)</f>
        <v>0</v>
      </c>
      <c r="FM271" s="281"/>
      <c r="FN271" s="284">
        <f>SUM(FN272:FN275)</f>
        <v>0</v>
      </c>
      <c r="FO271" s="281"/>
      <c r="FP271" s="284">
        <f>SUM(FP272:FP275)</f>
        <v>0</v>
      </c>
      <c r="FQ271" s="281"/>
      <c r="FR271" s="301"/>
      <c r="FS271" s="301"/>
      <c r="FT271" s="301"/>
      <c r="FU271" s="301"/>
      <c r="FV271" s="301"/>
      <c r="FW271" s="301"/>
      <c r="FX271" s="301"/>
      <c r="FY271" s="301"/>
      <c r="FZ271" s="301"/>
      <c r="GA271" s="301"/>
      <c r="GB271" s="301"/>
      <c r="GC271" s="301"/>
      <c r="GD271" s="301"/>
      <c r="GE271" s="301"/>
      <c r="GF271" s="301"/>
      <c r="GG271" s="301"/>
    </row>
    <row r="272" spans="1:189" ht="15" hidden="1" customHeight="1" outlineLevel="2" x14ac:dyDescent="0.3">
      <c r="A272" s="1"/>
      <c r="B272" s="301"/>
      <c r="C272" s="301"/>
      <c r="D272" s="301"/>
      <c r="E272" s="313" t="s">
        <v>215</v>
      </c>
      <c r="F272" s="313" t="s">
        <v>216</v>
      </c>
      <c r="G272" s="5" t="s">
        <v>217</v>
      </c>
      <c r="H272" s="5"/>
      <c r="I272" s="23">
        <f t="shared" ref="I272:I275" si="533">AG272+AE272+AC272+AA272+Y272+W272+U272+S272+O272+M272+K272</f>
        <v>22109</v>
      </c>
      <c r="J272" s="30">
        <f t="shared" ref="J272:J275" si="534">I272/$U$271</f>
        <v>8.3968856817318649</v>
      </c>
      <c r="K272" s="23">
        <v>2524</v>
      </c>
      <c r="L272" s="30">
        <f t="shared" ref="L272:L275" si="535">K272/$K$271</f>
        <v>0.43872762037197982</v>
      </c>
      <c r="M272" s="23">
        <v>2000</v>
      </c>
      <c r="N272" s="30">
        <f t="shared" ref="N272:N275" si="536">M272/$M$271</f>
        <v>0.50825921219822112</v>
      </c>
      <c r="O272" s="23">
        <v>2152</v>
      </c>
      <c r="P272" s="30">
        <f t="shared" ref="P272:P275" si="537">O272/$O$271</f>
        <v>0.39617083946980852</v>
      </c>
      <c r="Q272" s="23">
        <v>2857</v>
      </c>
      <c r="R272" s="30">
        <f t="shared" ref="R272:R275" si="538">Q272/$Q$271</f>
        <v>0.45675459632294163</v>
      </c>
      <c r="S272" s="23">
        <v>2555</v>
      </c>
      <c r="T272" s="30">
        <f t="shared" ref="T272:T275" si="539">S272/$Q$271</f>
        <v>0.40847322142286169</v>
      </c>
      <c r="U272" s="23">
        <v>1311</v>
      </c>
      <c r="V272" s="30">
        <f t="shared" ref="V272:V275" si="540">U272/$U$271</f>
        <v>0.49791112799088494</v>
      </c>
      <c r="W272" s="23">
        <v>1374</v>
      </c>
      <c r="X272" s="30">
        <f t="shared" ref="X272:X275" si="541">W272/$U$271</f>
        <v>0.52183820736802122</v>
      </c>
      <c r="Y272" s="23">
        <v>1160</v>
      </c>
      <c r="Z272" s="30">
        <f t="shared" ref="Z272:Z275" si="542">Y272/$U$271</f>
        <v>0.44056209646790734</v>
      </c>
      <c r="AA272" s="23">
        <v>1939</v>
      </c>
      <c r="AB272" s="30">
        <f t="shared" ref="AB272:AB275" si="543">AA272/$U$271</f>
        <v>0.73642233194075202</v>
      </c>
      <c r="AC272" s="23">
        <v>2682</v>
      </c>
      <c r="AD272" s="30">
        <f t="shared" ref="AD272:AD275" si="544">AC272/$U$271</f>
        <v>1.0186099506266617</v>
      </c>
      <c r="AE272" s="23">
        <v>2462</v>
      </c>
      <c r="AF272" s="30">
        <f t="shared" ref="AF272:AF275" si="545">AE272/$U$271</f>
        <v>0.93505507026205847</v>
      </c>
      <c r="AG272" s="23">
        <v>1950</v>
      </c>
      <c r="AH272" s="30">
        <f t="shared" ref="AH272:AH275" si="546">AG272/$U$271</f>
        <v>0.74060007595898214</v>
      </c>
      <c r="AI272" s="23">
        <v>2884</v>
      </c>
      <c r="AJ272" s="30">
        <f t="shared" ref="AJ272:AJ275" si="547">AI272/$U$271</f>
        <v>1.0953285225977971</v>
      </c>
      <c r="AK272" s="23">
        <v>1784</v>
      </c>
      <c r="AL272" s="30">
        <f t="shared" ref="AL272:AL275" si="548">AK272/$U$271</f>
        <v>0.67755412077478161</v>
      </c>
      <c r="AM272" s="23">
        <v>1639</v>
      </c>
      <c r="AN272" s="30">
        <f t="shared" ref="AN272:AN275" si="549">AM272/$U$271</f>
        <v>0.62248385871629319</v>
      </c>
      <c r="AO272" s="23">
        <v>242</v>
      </c>
      <c r="AP272" s="30">
        <f t="shared" ref="AP272:AP275" si="550">AO272/$U$271</f>
        <v>9.1910368401063425E-2</v>
      </c>
      <c r="AQ272" s="23">
        <v>308</v>
      </c>
      <c r="AR272" s="30">
        <f t="shared" ref="AR272:AR275" si="551">AQ272/$U$271</f>
        <v>0.11697683251044436</v>
      </c>
      <c r="AS272" s="23">
        <v>188</v>
      </c>
      <c r="AT272" s="30">
        <f t="shared" ref="AT272:AT275" si="552">AS272/$U$271</f>
        <v>7.1401443220660846E-2</v>
      </c>
      <c r="AU272" s="96" t="s">
        <v>218</v>
      </c>
      <c r="AV272" s="125" t="e">
        <f t="shared" ref="AV272:AV275" si="553">AU272/$U$271</f>
        <v>#VALUE!</v>
      </c>
      <c r="AW272" s="96" t="s">
        <v>218</v>
      </c>
      <c r="AX272" s="125" t="e">
        <f t="shared" ref="AX272:AX275" si="554">AW272/$U$271</f>
        <v>#VALUE!</v>
      </c>
      <c r="AY272" s="23" t="s">
        <v>218</v>
      </c>
      <c r="AZ272" s="125" t="e">
        <f t="shared" ref="AZ272:AZ275" si="555">AY272/$U$271</f>
        <v>#VALUE!</v>
      </c>
      <c r="BA272" s="23" t="s">
        <v>218</v>
      </c>
      <c r="BB272" s="125" t="e">
        <f t="shared" ref="BB272:BB275" si="556">BA272/$U$271</f>
        <v>#VALUE!</v>
      </c>
      <c r="BC272" s="23" t="s">
        <v>218</v>
      </c>
      <c r="BD272" s="125" t="e">
        <f t="shared" ref="BD272:BD275" si="557">BC272/$U$271</f>
        <v>#VALUE!</v>
      </c>
      <c r="BE272" s="23" t="s">
        <v>218</v>
      </c>
      <c r="BF272" s="125" t="e">
        <f t="shared" ref="BF272:BF275" si="558">BE272/$U$271</f>
        <v>#VALUE!</v>
      </c>
      <c r="BG272" s="23" t="s">
        <v>218</v>
      </c>
      <c r="BH272" s="125" t="e">
        <f t="shared" ref="BH272:BH275" si="559">BG272/$U$271</f>
        <v>#VALUE!</v>
      </c>
      <c r="BI272" s="23" t="s">
        <v>218</v>
      </c>
      <c r="BJ272" s="125" t="e">
        <f t="shared" ref="BJ272:BJ275" si="560">BI272/$U$271</f>
        <v>#VALUE!</v>
      </c>
      <c r="BK272" s="23" t="s">
        <v>218</v>
      </c>
      <c r="BL272" s="125" t="e">
        <f t="shared" ref="BL272:BL275" si="561">BK272/$U$271</f>
        <v>#VALUE!</v>
      </c>
      <c r="BM272" s="23" t="s">
        <v>218</v>
      </c>
      <c r="BN272" s="125" t="e">
        <f t="shared" ref="BN272:BN275" si="562">BM272/$U$271</f>
        <v>#VALUE!</v>
      </c>
      <c r="BO272" s="23" t="s">
        <v>218</v>
      </c>
      <c r="BP272" s="125" t="e">
        <f t="shared" ref="BP272:BP275" si="563">BO272/$U$271</f>
        <v>#VALUE!</v>
      </c>
      <c r="BQ272" s="23" t="s">
        <v>218</v>
      </c>
      <c r="BR272" s="125" t="e">
        <f t="shared" ref="BR272:BR275" si="564">BQ272/$U$271</f>
        <v>#VALUE!</v>
      </c>
      <c r="BS272" s="23" t="s">
        <v>218</v>
      </c>
      <c r="BT272" s="125" t="e">
        <f t="shared" ref="BT272:BT275" si="565">BS272/$U$271</f>
        <v>#VALUE!</v>
      </c>
      <c r="BU272" s="23" t="s">
        <v>218</v>
      </c>
      <c r="BV272" s="125" t="e">
        <f t="shared" ref="BV272:BV275" si="566">BU272/$U$271</f>
        <v>#VALUE!</v>
      </c>
      <c r="BW272" s="23" t="s">
        <v>218</v>
      </c>
      <c r="BX272" s="125" t="e">
        <f t="shared" ref="BX272:BX275" si="567">BW272/$U$271</f>
        <v>#VALUE!</v>
      </c>
      <c r="BY272" s="23" t="s">
        <v>218</v>
      </c>
      <c r="BZ272" s="125" t="e">
        <f t="shared" ref="BZ272:BZ275" si="568">BY272/$U$271</f>
        <v>#VALUE!</v>
      </c>
      <c r="CA272" s="23" t="s">
        <v>218</v>
      </c>
      <c r="CB272" s="125" t="e">
        <f t="shared" ref="CB272:CB275" si="569">CA272/$U$271</f>
        <v>#VALUE!</v>
      </c>
      <c r="CC272" s="23" t="s">
        <v>218</v>
      </c>
      <c r="CD272" s="125" t="e">
        <f t="shared" ref="CD272:CD275" si="570">CC272/$U$271</f>
        <v>#VALUE!</v>
      </c>
      <c r="CE272" s="23" t="s">
        <v>218</v>
      </c>
      <c r="CF272" s="125" t="e">
        <f t="shared" ref="CF272:CF275" si="571">CE272/$U$271</f>
        <v>#VALUE!</v>
      </c>
      <c r="CG272" s="23" t="s">
        <v>218</v>
      </c>
      <c r="CH272" s="125" t="e">
        <f t="shared" ref="CH272:CH275" si="572">CG272/$U$271</f>
        <v>#VALUE!</v>
      </c>
      <c r="CI272" s="23" t="s">
        <v>218</v>
      </c>
      <c r="CJ272" s="125" t="e">
        <f t="shared" ref="CJ272:CJ275" si="573">CI272/$U$271</f>
        <v>#VALUE!</v>
      </c>
      <c r="CK272" s="23" t="s">
        <v>218</v>
      </c>
      <c r="CL272" s="125" t="e">
        <f t="shared" ref="CL272:CL275" si="574">CK272/$U$271</f>
        <v>#VALUE!</v>
      </c>
      <c r="CM272" s="23" t="s">
        <v>218</v>
      </c>
      <c r="CN272" s="125" t="e">
        <f t="shared" ref="CN272:CN275" si="575">CM272/$U$271</f>
        <v>#VALUE!</v>
      </c>
      <c r="CO272" s="23" t="s">
        <v>218</v>
      </c>
      <c r="CP272" s="125" t="e">
        <f t="shared" ref="CP272:CP275" si="576">CO272/$U$271</f>
        <v>#VALUE!</v>
      </c>
      <c r="CQ272" s="23" t="s">
        <v>218</v>
      </c>
      <c r="CR272" s="125" t="e">
        <f t="shared" ref="CR272:CR275" si="577">CQ272/$U$271</f>
        <v>#VALUE!</v>
      </c>
      <c r="CS272" s="23" t="s">
        <v>218</v>
      </c>
      <c r="CT272" s="125" t="e">
        <f t="shared" ref="CT272:CT275" si="578">CS272/$U$271</f>
        <v>#VALUE!</v>
      </c>
      <c r="CU272" s="23" t="s">
        <v>218</v>
      </c>
      <c r="CV272" s="125" t="e">
        <f t="shared" ref="CV272:CV275" si="579">CU272/$U$271</f>
        <v>#VALUE!</v>
      </c>
      <c r="CW272" s="23" t="s">
        <v>218</v>
      </c>
      <c r="CX272" s="125" t="e">
        <f t="shared" ref="CX272:CX275" si="580">CW272/$U$271</f>
        <v>#VALUE!</v>
      </c>
      <c r="CY272" s="23" t="s">
        <v>218</v>
      </c>
      <c r="CZ272" s="125" t="e">
        <f t="shared" ref="CZ272:CZ275" si="581">CY272/$U$271</f>
        <v>#VALUE!</v>
      </c>
      <c r="DA272" s="23" t="s">
        <v>218</v>
      </c>
      <c r="DB272" s="125" t="e">
        <f t="shared" ref="DB272:DB275" si="582">DA272/$U$271</f>
        <v>#VALUE!</v>
      </c>
      <c r="DC272" s="23" t="s">
        <v>218</v>
      </c>
      <c r="DD272" s="125" t="e">
        <f t="shared" ref="DD272:DD275" si="583">DC272/$U$271</f>
        <v>#VALUE!</v>
      </c>
      <c r="DE272" s="23" t="s">
        <v>218</v>
      </c>
      <c r="DF272" s="125" t="e">
        <f t="shared" ref="DF272:DF275" si="584">DE272/$U$271</f>
        <v>#VALUE!</v>
      </c>
      <c r="DG272" s="23" t="s">
        <v>218</v>
      </c>
      <c r="DH272" s="125" t="e">
        <f t="shared" ref="DH272:DH275" si="585">DG272/$U$271</f>
        <v>#VALUE!</v>
      </c>
      <c r="DI272" s="23" t="s">
        <v>218</v>
      </c>
      <c r="DJ272" s="125" t="e">
        <f t="shared" ref="DJ272:DJ275" si="586">DI272/$U$271</f>
        <v>#VALUE!</v>
      </c>
      <c r="DK272" s="23" t="s">
        <v>218</v>
      </c>
      <c r="DL272" s="125" t="e">
        <f t="shared" ref="DL272:DL275" si="587">DK272/$U$271</f>
        <v>#VALUE!</v>
      </c>
      <c r="DM272" s="23" t="s">
        <v>218</v>
      </c>
      <c r="DN272" s="125" t="e">
        <f t="shared" ref="DN272:DN275" si="588">DM272/$U$271</f>
        <v>#VALUE!</v>
      </c>
      <c r="DO272" s="23" t="s">
        <v>218</v>
      </c>
      <c r="DP272" s="125" t="e">
        <f t="shared" ref="DP272:DP275" si="589">DO272/$U$271</f>
        <v>#VALUE!</v>
      </c>
      <c r="DQ272" s="23" t="s">
        <v>218</v>
      </c>
      <c r="DR272" s="125" t="e">
        <f t="shared" ref="DR272:DR275" si="590">DQ272/$U$271</f>
        <v>#VALUE!</v>
      </c>
      <c r="DS272" s="23" t="s">
        <v>218</v>
      </c>
      <c r="DT272" s="125" t="e">
        <f t="shared" ref="DT272:DT275" si="591">DS272/$U$271</f>
        <v>#VALUE!</v>
      </c>
      <c r="DU272" s="301"/>
      <c r="DV272" s="301"/>
      <c r="DW272" s="301"/>
      <c r="DX272" s="301"/>
      <c r="DY272" s="301"/>
      <c r="DZ272" s="301"/>
      <c r="EA272" s="301"/>
      <c r="EB272" s="301"/>
      <c r="EC272" s="301"/>
      <c r="ED272" s="301"/>
      <c r="EE272" s="301"/>
      <c r="EF272" s="301"/>
      <c r="EG272" s="301"/>
      <c r="EH272" s="301"/>
      <c r="EI272" s="301"/>
      <c r="EJ272" s="301"/>
      <c r="EK272" s="301"/>
      <c r="EL272" s="301"/>
      <c r="EM272" s="301"/>
      <c r="EN272" s="23" t="s">
        <v>218</v>
      </c>
      <c r="EO272" s="125" t="e">
        <f t="shared" ref="EO272:EO275" si="592">EN272/$U$271</f>
        <v>#VALUE!</v>
      </c>
      <c r="EP272" s="23" t="s">
        <v>218</v>
      </c>
      <c r="EQ272" s="125" t="e">
        <f t="shared" ref="EQ272:EQ275" si="593">EP272/$U$271</f>
        <v>#VALUE!</v>
      </c>
      <c r="ER272" s="23" t="s">
        <v>218</v>
      </c>
      <c r="ES272" s="125" t="e">
        <f t="shared" ref="ES272:ES275" si="594">ER272/$U$271</f>
        <v>#VALUE!</v>
      </c>
      <c r="ET272" s="23" t="s">
        <v>218</v>
      </c>
      <c r="EU272" s="125" t="e">
        <f t="shared" ref="EU272:EU275" si="595">ET272/$U$271</f>
        <v>#VALUE!</v>
      </c>
      <c r="EV272" s="23" t="s">
        <v>218</v>
      </c>
      <c r="EW272" s="125" t="e">
        <f t="shared" ref="EW272:EW275" si="596">EV272/$U$271</f>
        <v>#VALUE!</v>
      </c>
      <c r="EX272" s="23" t="s">
        <v>218</v>
      </c>
      <c r="EY272" s="125" t="e">
        <f t="shared" ref="EY272:EY275" si="597">EX272/$U$271</f>
        <v>#VALUE!</v>
      </c>
      <c r="EZ272" s="23" t="s">
        <v>218</v>
      </c>
      <c r="FA272" s="125" t="e">
        <f t="shared" ref="FA272:FA275" si="598">EZ272/$U$271</f>
        <v>#VALUE!</v>
      </c>
      <c r="FB272" s="23" t="s">
        <v>218</v>
      </c>
      <c r="FC272" s="125" t="e">
        <f t="shared" ref="FC272:FC275" si="599">FB272/$U$271</f>
        <v>#VALUE!</v>
      </c>
      <c r="FD272" s="23" t="s">
        <v>218</v>
      </c>
      <c r="FE272" s="125" t="e">
        <f t="shared" ref="FE272:FE275" si="600">FD272/$U$271</f>
        <v>#VALUE!</v>
      </c>
      <c r="FF272" s="23" t="s">
        <v>218</v>
      </c>
      <c r="FG272" s="125" t="e">
        <f t="shared" ref="FG272:FG275" si="601">FF272/$U$271</f>
        <v>#VALUE!</v>
      </c>
      <c r="FH272" s="23" t="s">
        <v>218</v>
      </c>
      <c r="FI272" s="125" t="e">
        <f t="shared" ref="FI272:FI275" si="602">FH272/$U$271</f>
        <v>#VALUE!</v>
      </c>
      <c r="FJ272" s="23" t="s">
        <v>218</v>
      </c>
      <c r="FK272" s="125" t="e">
        <f t="shared" ref="FK272:FK275" si="603">FJ272/$U$271</f>
        <v>#VALUE!</v>
      </c>
      <c r="FL272" s="23" t="s">
        <v>218</v>
      </c>
      <c r="FM272" s="125" t="e">
        <f t="shared" ref="FM272:FM275" si="604">FL272/$U$271</f>
        <v>#VALUE!</v>
      </c>
      <c r="FN272" s="23" t="s">
        <v>218</v>
      </c>
      <c r="FO272" s="125" t="e">
        <f t="shared" ref="FO272:FO275" si="605">FN272/$U$271</f>
        <v>#VALUE!</v>
      </c>
      <c r="FP272" s="23" t="s">
        <v>218</v>
      </c>
      <c r="FQ272" s="125" t="e">
        <f t="shared" ref="FQ272:FQ275" si="606">FP272/$U$271</f>
        <v>#VALUE!</v>
      </c>
      <c r="FR272" s="301"/>
      <c r="FS272" s="301"/>
      <c r="FT272" s="301"/>
      <c r="FU272" s="301"/>
      <c r="FV272" s="301"/>
      <c r="FW272" s="301"/>
      <c r="FX272" s="301"/>
      <c r="FY272" s="301"/>
      <c r="FZ272" s="301"/>
      <c r="GA272" s="301"/>
      <c r="GB272" s="301"/>
      <c r="GC272" s="301"/>
      <c r="GD272" s="301"/>
      <c r="GE272" s="301"/>
      <c r="GF272" s="301"/>
      <c r="GG272" s="301"/>
    </row>
    <row r="273" spans="1:189" ht="15" hidden="1" customHeight="1" outlineLevel="2" x14ac:dyDescent="0.3">
      <c r="A273" s="1"/>
      <c r="B273" s="301"/>
      <c r="C273" s="301"/>
      <c r="D273" s="301"/>
      <c r="E273" s="301"/>
      <c r="F273" s="301"/>
      <c r="G273" s="5" t="s">
        <v>219</v>
      </c>
      <c r="H273" s="5"/>
      <c r="I273" s="23">
        <f t="shared" si="533"/>
        <v>9388</v>
      </c>
      <c r="J273" s="30">
        <f t="shared" si="534"/>
        <v>3.5655146221040637</v>
      </c>
      <c r="K273" s="23">
        <v>2749</v>
      </c>
      <c r="L273" s="30">
        <f t="shared" si="535"/>
        <v>0.47783764992177996</v>
      </c>
      <c r="M273" s="23">
        <v>1451</v>
      </c>
      <c r="N273" s="30">
        <f t="shared" si="536"/>
        <v>0.3687420584498094</v>
      </c>
      <c r="O273" s="23">
        <v>1821</v>
      </c>
      <c r="P273" s="30">
        <f t="shared" si="537"/>
        <v>0.33523564064801176</v>
      </c>
      <c r="Q273" s="23">
        <v>1187</v>
      </c>
      <c r="R273" s="30">
        <f t="shared" si="538"/>
        <v>0.18976818545163868</v>
      </c>
      <c r="S273" s="23">
        <v>916</v>
      </c>
      <c r="T273" s="30">
        <f t="shared" si="539"/>
        <v>0.14644284572342126</v>
      </c>
      <c r="U273" s="23">
        <v>388</v>
      </c>
      <c r="V273" s="30">
        <f t="shared" si="540"/>
        <v>0.14736042537030003</v>
      </c>
      <c r="W273" s="23">
        <v>310</v>
      </c>
      <c r="X273" s="30">
        <f t="shared" si="541"/>
        <v>0.11773642233194075</v>
      </c>
      <c r="Y273" s="23">
        <v>218</v>
      </c>
      <c r="Z273" s="30">
        <f t="shared" si="542"/>
        <v>8.279529054310672E-2</v>
      </c>
      <c r="AA273" s="23">
        <v>501</v>
      </c>
      <c r="AB273" s="30">
        <f t="shared" si="543"/>
        <v>0.19027725028484618</v>
      </c>
      <c r="AC273" s="23">
        <v>646</v>
      </c>
      <c r="AD273" s="30">
        <f t="shared" si="544"/>
        <v>0.2453475123433346</v>
      </c>
      <c r="AE273" s="23">
        <v>145</v>
      </c>
      <c r="AF273" s="30">
        <f t="shared" si="545"/>
        <v>5.5070262058488417E-2</v>
      </c>
      <c r="AG273" s="23">
        <v>243</v>
      </c>
      <c r="AH273" s="30">
        <f t="shared" si="546"/>
        <v>9.2290163311811627E-2</v>
      </c>
      <c r="AI273" s="23">
        <v>485</v>
      </c>
      <c r="AJ273" s="30">
        <f t="shared" si="547"/>
        <v>0.18420053171287504</v>
      </c>
      <c r="AK273" s="23">
        <v>380</v>
      </c>
      <c r="AL273" s="30">
        <f t="shared" si="548"/>
        <v>0.14432206608431447</v>
      </c>
      <c r="AM273" s="23">
        <v>282</v>
      </c>
      <c r="AN273" s="30">
        <f t="shared" si="549"/>
        <v>0.10710216483099126</v>
      </c>
      <c r="AO273" s="23">
        <v>222</v>
      </c>
      <c r="AP273" s="30">
        <f t="shared" si="550"/>
        <v>8.4314470186099499E-2</v>
      </c>
      <c r="AQ273" s="23">
        <v>277</v>
      </c>
      <c r="AR273" s="30">
        <f t="shared" si="551"/>
        <v>0.10520319027725028</v>
      </c>
      <c r="AS273" s="23">
        <v>46</v>
      </c>
      <c r="AT273" s="30">
        <f t="shared" si="552"/>
        <v>1.7470565894417017E-2</v>
      </c>
      <c r="AU273" s="96"/>
      <c r="AV273" s="125">
        <f t="shared" si="553"/>
        <v>0</v>
      </c>
      <c r="AW273" s="96"/>
      <c r="AX273" s="125">
        <f t="shared" si="554"/>
        <v>0</v>
      </c>
      <c r="AY273" s="23"/>
      <c r="AZ273" s="125">
        <f t="shared" si="555"/>
        <v>0</v>
      </c>
      <c r="BA273" s="23"/>
      <c r="BB273" s="125">
        <f t="shared" si="556"/>
        <v>0</v>
      </c>
      <c r="BC273" s="23"/>
      <c r="BD273" s="125">
        <f t="shared" si="557"/>
        <v>0</v>
      </c>
      <c r="BE273" s="23"/>
      <c r="BF273" s="125">
        <f t="shared" si="558"/>
        <v>0</v>
      </c>
      <c r="BG273" s="23"/>
      <c r="BH273" s="125">
        <f t="shared" si="559"/>
        <v>0</v>
      </c>
      <c r="BI273" s="23"/>
      <c r="BJ273" s="125">
        <f t="shared" si="560"/>
        <v>0</v>
      </c>
      <c r="BK273" s="23"/>
      <c r="BL273" s="125">
        <f t="shared" si="561"/>
        <v>0</v>
      </c>
      <c r="BM273" s="23"/>
      <c r="BN273" s="125">
        <f t="shared" si="562"/>
        <v>0</v>
      </c>
      <c r="BO273" s="23"/>
      <c r="BP273" s="125">
        <f t="shared" si="563"/>
        <v>0</v>
      </c>
      <c r="BQ273" s="23"/>
      <c r="BR273" s="125">
        <f t="shared" si="564"/>
        <v>0</v>
      </c>
      <c r="BS273" s="23"/>
      <c r="BT273" s="125">
        <f t="shared" si="565"/>
        <v>0</v>
      </c>
      <c r="BU273" s="23"/>
      <c r="BV273" s="125">
        <f t="shared" si="566"/>
        <v>0</v>
      </c>
      <c r="BW273" s="23"/>
      <c r="BX273" s="125">
        <f t="shared" si="567"/>
        <v>0</v>
      </c>
      <c r="BY273" s="23"/>
      <c r="BZ273" s="125">
        <f t="shared" si="568"/>
        <v>0</v>
      </c>
      <c r="CA273" s="23"/>
      <c r="CB273" s="125">
        <f t="shared" si="569"/>
        <v>0</v>
      </c>
      <c r="CC273" s="23"/>
      <c r="CD273" s="125">
        <f t="shared" si="570"/>
        <v>0</v>
      </c>
      <c r="CE273" s="23"/>
      <c r="CF273" s="125">
        <f t="shared" si="571"/>
        <v>0</v>
      </c>
      <c r="CG273" s="23"/>
      <c r="CH273" s="125">
        <f t="shared" si="572"/>
        <v>0</v>
      </c>
      <c r="CI273" s="23"/>
      <c r="CJ273" s="125">
        <f t="shared" si="573"/>
        <v>0</v>
      </c>
      <c r="CK273" s="23"/>
      <c r="CL273" s="125">
        <f t="shared" si="574"/>
        <v>0</v>
      </c>
      <c r="CM273" s="23"/>
      <c r="CN273" s="125">
        <f t="shared" si="575"/>
        <v>0</v>
      </c>
      <c r="CO273" s="23"/>
      <c r="CP273" s="125">
        <f t="shared" si="576"/>
        <v>0</v>
      </c>
      <c r="CQ273" s="23"/>
      <c r="CR273" s="125">
        <f t="shared" si="577"/>
        <v>0</v>
      </c>
      <c r="CS273" s="23"/>
      <c r="CT273" s="125">
        <f t="shared" si="578"/>
        <v>0</v>
      </c>
      <c r="CU273" s="23"/>
      <c r="CV273" s="125">
        <f t="shared" si="579"/>
        <v>0</v>
      </c>
      <c r="CW273" s="23"/>
      <c r="CX273" s="125">
        <f t="shared" si="580"/>
        <v>0</v>
      </c>
      <c r="CY273" s="23"/>
      <c r="CZ273" s="125">
        <f t="shared" si="581"/>
        <v>0</v>
      </c>
      <c r="DA273" s="23"/>
      <c r="DB273" s="125">
        <f t="shared" si="582"/>
        <v>0</v>
      </c>
      <c r="DC273" s="23"/>
      <c r="DD273" s="125">
        <f t="shared" si="583"/>
        <v>0</v>
      </c>
      <c r="DE273" s="23"/>
      <c r="DF273" s="125">
        <f t="shared" si="584"/>
        <v>0</v>
      </c>
      <c r="DG273" s="23"/>
      <c r="DH273" s="125">
        <f t="shared" si="585"/>
        <v>0</v>
      </c>
      <c r="DI273" s="23"/>
      <c r="DJ273" s="125">
        <f t="shared" si="586"/>
        <v>0</v>
      </c>
      <c r="DK273" s="23"/>
      <c r="DL273" s="125">
        <f t="shared" si="587"/>
        <v>0</v>
      </c>
      <c r="DM273" s="23"/>
      <c r="DN273" s="125">
        <f t="shared" si="588"/>
        <v>0</v>
      </c>
      <c r="DO273" s="23"/>
      <c r="DP273" s="125">
        <f t="shared" si="589"/>
        <v>0</v>
      </c>
      <c r="DQ273" s="23"/>
      <c r="DR273" s="125">
        <f t="shared" si="590"/>
        <v>0</v>
      </c>
      <c r="DS273" s="23"/>
      <c r="DT273" s="125">
        <f t="shared" si="591"/>
        <v>0</v>
      </c>
      <c r="DU273" s="301"/>
      <c r="DV273" s="301"/>
      <c r="DW273" s="301"/>
      <c r="DX273" s="301"/>
      <c r="DY273" s="301"/>
      <c r="DZ273" s="301"/>
      <c r="EA273" s="301"/>
      <c r="EB273" s="301"/>
      <c r="EC273" s="301"/>
      <c r="ED273" s="301"/>
      <c r="EE273" s="301"/>
      <c r="EF273" s="301"/>
      <c r="EG273" s="301"/>
      <c r="EH273" s="301"/>
      <c r="EI273" s="301"/>
      <c r="EJ273" s="301"/>
      <c r="EK273" s="301"/>
      <c r="EL273" s="301"/>
      <c r="EM273" s="301"/>
      <c r="EN273" s="23"/>
      <c r="EO273" s="125">
        <f t="shared" si="592"/>
        <v>0</v>
      </c>
      <c r="EP273" s="23"/>
      <c r="EQ273" s="125">
        <f t="shared" si="593"/>
        <v>0</v>
      </c>
      <c r="ER273" s="23"/>
      <c r="ES273" s="125">
        <f t="shared" si="594"/>
        <v>0</v>
      </c>
      <c r="ET273" s="23"/>
      <c r="EU273" s="125">
        <f t="shared" si="595"/>
        <v>0</v>
      </c>
      <c r="EV273" s="23"/>
      <c r="EW273" s="125">
        <f t="shared" si="596"/>
        <v>0</v>
      </c>
      <c r="EX273" s="23"/>
      <c r="EY273" s="125">
        <f t="shared" si="597"/>
        <v>0</v>
      </c>
      <c r="EZ273" s="23"/>
      <c r="FA273" s="125">
        <f t="shared" si="598"/>
        <v>0</v>
      </c>
      <c r="FB273" s="23"/>
      <c r="FC273" s="125">
        <f t="shared" si="599"/>
        <v>0</v>
      </c>
      <c r="FD273" s="23"/>
      <c r="FE273" s="125">
        <f t="shared" si="600"/>
        <v>0</v>
      </c>
      <c r="FF273" s="23"/>
      <c r="FG273" s="125">
        <f t="shared" si="601"/>
        <v>0</v>
      </c>
      <c r="FH273" s="23"/>
      <c r="FI273" s="125">
        <f t="shared" si="602"/>
        <v>0</v>
      </c>
      <c r="FJ273" s="23"/>
      <c r="FK273" s="125">
        <f t="shared" si="603"/>
        <v>0</v>
      </c>
      <c r="FL273" s="23"/>
      <c r="FM273" s="125">
        <f t="shared" si="604"/>
        <v>0</v>
      </c>
      <c r="FN273" s="23"/>
      <c r="FO273" s="125">
        <f t="shared" si="605"/>
        <v>0</v>
      </c>
      <c r="FP273" s="23"/>
      <c r="FQ273" s="125">
        <f t="shared" si="606"/>
        <v>0</v>
      </c>
      <c r="FR273" s="301"/>
      <c r="FS273" s="301"/>
      <c r="FT273" s="301"/>
      <c r="FU273" s="301"/>
      <c r="FV273" s="301"/>
      <c r="FW273" s="301"/>
      <c r="FX273" s="301"/>
      <c r="FY273" s="301"/>
      <c r="FZ273" s="301"/>
      <c r="GA273" s="301"/>
      <c r="GB273" s="301"/>
      <c r="GC273" s="301"/>
      <c r="GD273" s="301"/>
      <c r="GE273" s="301"/>
      <c r="GF273" s="301"/>
      <c r="GG273" s="301"/>
    </row>
    <row r="274" spans="1:189" ht="15" hidden="1" customHeight="1" outlineLevel="2" x14ac:dyDescent="0.3">
      <c r="A274" s="1"/>
      <c r="B274" s="301"/>
      <c r="C274" s="301"/>
      <c r="D274" s="301"/>
      <c r="E274" s="301"/>
      <c r="F274" s="301"/>
      <c r="G274" s="5" t="s">
        <v>220</v>
      </c>
      <c r="H274" s="5"/>
      <c r="I274" s="23">
        <f t="shared" si="533"/>
        <v>7348</v>
      </c>
      <c r="J274" s="30">
        <f t="shared" si="534"/>
        <v>2.7907330041777438</v>
      </c>
      <c r="K274" s="23">
        <v>76</v>
      </c>
      <c r="L274" s="30">
        <f t="shared" si="535"/>
        <v>1.3210498870154701E-2</v>
      </c>
      <c r="M274" s="23">
        <v>170</v>
      </c>
      <c r="N274" s="30">
        <f t="shared" si="536"/>
        <v>4.3202033036848796E-2</v>
      </c>
      <c r="O274" s="23">
        <v>1095</v>
      </c>
      <c r="P274" s="30">
        <f t="shared" si="537"/>
        <v>0.20158321060382917</v>
      </c>
      <c r="Q274" s="23">
        <v>1731</v>
      </c>
      <c r="R274" s="30">
        <f t="shared" si="538"/>
        <v>0.27673860911270981</v>
      </c>
      <c r="S274" s="23">
        <v>1422</v>
      </c>
      <c r="T274" s="30">
        <f t="shared" si="539"/>
        <v>0.22733812949640289</v>
      </c>
      <c r="U274" s="23">
        <v>587</v>
      </c>
      <c r="V274" s="30">
        <f t="shared" si="540"/>
        <v>0.22293961260919104</v>
      </c>
      <c r="W274" s="23">
        <v>573</v>
      </c>
      <c r="X274" s="30">
        <f t="shared" si="541"/>
        <v>0.2176224838587163</v>
      </c>
      <c r="Y274" s="23">
        <v>234</v>
      </c>
      <c r="Z274" s="30">
        <f t="shared" si="542"/>
        <v>8.8872009115077852E-2</v>
      </c>
      <c r="AA274" s="23">
        <v>703</v>
      </c>
      <c r="AB274" s="30">
        <f t="shared" si="543"/>
        <v>0.26699582225598179</v>
      </c>
      <c r="AC274" s="23">
        <v>601</v>
      </c>
      <c r="AD274" s="30">
        <f t="shared" si="544"/>
        <v>0.22825674135966578</v>
      </c>
      <c r="AE274" s="23">
        <v>753</v>
      </c>
      <c r="AF274" s="30">
        <f t="shared" si="545"/>
        <v>0.28598556779339157</v>
      </c>
      <c r="AG274" s="23">
        <v>1134</v>
      </c>
      <c r="AH274" s="30">
        <f t="shared" si="546"/>
        <v>0.43068742878845423</v>
      </c>
      <c r="AI274" s="23">
        <v>1480</v>
      </c>
      <c r="AJ274" s="30">
        <f t="shared" si="547"/>
        <v>0.56209646790733003</v>
      </c>
      <c r="AK274" s="23">
        <v>874</v>
      </c>
      <c r="AL274" s="30">
        <f t="shared" si="548"/>
        <v>0.33194075199392326</v>
      </c>
      <c r="AM274" s="23">
        <v>756</v>
      </c>
      <c r="AN274" s="30">
        <f t="shared" si="549"/>
        <v>0.28712495252563613</v>
      </c>
      <c r="AO274" s="23">
        <v>54</v>
      </c>
      <c r="AP274" s="30">
        <f t="shared" si="550"/>
        <v>2.0508925180402583E-2</v>
      </c>
      <c r="AQ274" s="23">
        <v>68</v>
      </c>
      <c r="AR274" s="30">
        <f t="shared" si="551"/>
        <v>2.5826053930877325E-2</v>
      </c>
      <c r="AS274" s="23">
        <v>18</v>
      </c>
      <c r="AT274" s="30">
        <f t="shared" si="552"/>
        <v>6.8363083934675278E-3</v>
      </c>
      <c r="AU274" s="96"/>
      <c r="AV274" s="125">
        <f t="shared" si="553"/>
        <v>0</v>
      </c>
      <c r="AW274" s="96"/>
      <c r="AX274" s="125">
        <f t="shared" si="554"/>
        <v>0</v>
      </c>
      <c r="AY274" s="23"/>
      <c r="AZ274" s="125">
        <f t="shared" si="555"/>
        <v>0</v>
      </c>
      <c r="BA274" s="23"/>
      <c r="BB274" s="125">
        <f t="shared" si="556"/>
        <v>0</v>
      </c>
      <c r="BC274" s="23"/>
      <c r="BD274" s="125">
        <f t="shared" si="557"/>
        <v>0</v>
      </c>
      <c r="BE274" s="23"/>
      <c r="BF274" s="125">
        <f t="shared" si="558"/>
        <v>0</v>
      </c>
      <c r="BG274" s="23"/>
      <c r="BH274" s="125">
        <f t="shared" si="559"/>
        <v>0</v>
      </c>
      <c r="BI274" s="23"/>
      <c r="BJ274" s="125">
        <f t="shared" si="560"/>
        <v>0</v>
      </c>
      <c r="BK274" s="23"/>
      <c r="BL274" s="125">
        <f t="shared" si="561"/>
        <v>0</v>
      </c>
      <c r="BM274" s="23"/>
      <c r="BN274" s="125">
        <f t="shared" si="562"/>
        <v>0</v>
      </c>
      <c r="BO274" s="23"/>
      <c r="BP274" s="125">
        <f t="shared" si="563"/>
        <v>0</v>
      </c>
      <c r="BQ274" s="23"/>
      <c r="BR274" s="125">
        <f t="shared" si="564"/>
        <v>0</v>
      </c>
      <c r="BS274" s="23"/>
      <c r="BT274" s="125">
        <f t="shared" si="565"/>
        <v>0</v>
      </c>
      <c r="BU274" s="23"/>
      <c r="BV274" s="125">
        <f t="shared" si="566"/>
        <v>0</v>
      </c>
      <c r="BW274" s="23"/>
      <c r="BX274" s="125">
        <f t="shared" si="567"/>
        <v>0</v>
      </c>
      <c r="BY274" s="23"/>
      <c r="BZ274" s="125">
        <f t="shared" si="568"/>
        <v>0</v>
      </c>
      <c r="CA274" s="23"/>
      <c r="CB274" s="125">
        <f t="shared" si="569"/>
        <v>0</v>
      </c>
      <c r="CC274" s="23"/>
      <c r="CD274" s="125">
        <f t="shared" si="570"/>
        <v>0</v>
      </c>
      <c r="CE274" s="23"/>
      <c r="CF274" s="125">
        <f t="shared" si="571"/>
        <v>0</v>
      </c>
      <c r="CG274" s="23"/>
      <c r="CH274" s="125">
        <f t="shared" si="572"/>
        <v>0</v>
      </c>
      <c r="CI274" s="23"/>
      <c r="CJ274" s="125">
        <f t="shared" si="573"/>
        <v>0</v>
      </c>
      <c r="CK274" s="23"/>
      <c r="CL274" s="125">
        <f t="shared" si="574"/>
        <v>0</v>
      </c>
      <c r="CM274" s="23"/>
      <c r="CN274" s="125">
        <f t="shared" si="575"/>
        <v>0</v>
      </c>
      <c r="CO274" s="23"/>
      <c r="CP274" s="125">
        <f t="shared" si="576"/>
        <v>0</v>
      </c>
      <c r="CQ274" s="23"/>
      <c r="CR274" s="125">
        <f t="shared" si="577"/>
        <v>0</v>
      </c>
      <c r="CS274" s="23"/>
      <c r="CT274" s="125">
        <f t="shared" si="578"/>
        <v>0</v>
      </c>
      <c r="CU274" s="23"/>
      <c r="CV274" s="125">
        <f t="shared" si="579"/>
        <v>0</v>
      </c>
      <c r="CW274" s="23"/>
      <c r="CX274" s="125">
        <f t="shared" si="580"/>
        <v>0</v>
      </c>
      <c r="CY274" s="23"/>
      <c r="CZ274" s="125">
        <f t="shared" si="581"/>
        <v>0</v>
      </c>
      <c r="DA274" s="23"/>
      <c r="DB274" s="125">
        <f t="shared" si="582"/>
        <v>0</v>
      </c>
      <c r="DC274" s="23"/>
      <c r="DD274" s="125">
        <f t="shared" si="583"/>
        <v>0</v>
      </c>
      <c r="DE274" s="23"/>
      <c r="DF274" s="125">
        <f t="shared" si="584"/>
        <v>0</v>
      </c>
      <c r="DG274" s="23"/>
      <c r="DH274" s="125">
        <f t="shared" si="585"/>
        <v>0</v>
      </c>
      <c r="DI274" s="23"/>
      <c r="DJ274" s="125">
        <f t="shared" si="586"/>
        <v>0</v>
      </c>
      <c r="DK274" s="23"/>
      <c r="DL274" s="125">
        <f t="shared" si="587"/>
        <v>0</v>
      </c>
      <c r="DM274" s="23"/>
      <c r="DN274" s="125">
        <f t="shared" si="588"/>
        <v>0</v>
      </c>
      <c r="DO274" s="23"/>
      <c r="DP274" s="125">
        <f t="shared" si="589"/>
        <v>0</v>
      </c>
      <c r="DQ274" s="23"/>
      <c r="DR274" s="125">
        <f t="shared" si="590"/>
        <v>0</v>
      </c>
      <c r="DS274" s="23"/>
      <c r="DT274" s="125">
        <f t="shared" si="591"/>
        <v>0</v>
      </c>
      <c r="DU274" s="301"/>
      <c r="DV274" s="301"/>
      <c r="DW274" s="301"/>
      <c r="DX274" s="301"/>
      <c r="DY274" s="301"/>
      <c r="DZ274" s="301"/>
      <c r="EA274" s="301"/>
      <c r="EB274" s="301"/>
      <c r="EC274" s="301"/>
      <c r="ED274" s="301"/>
      <c r="EE274" s="301"/>
      <c r="EF274" s="301"/>
      <c r="EG274" s="301"/>
      <c r="EH274" s="301"/>
      <c r="EI274" s="301"/>
      <c r="EJ274" s="301"/>
      <c r="EK274" s="301"/>
      <c r="EL274" s="301"/>
      <c r="EM274" s="301"/>
      <c r="EN274" s="23"/>
      <c r="EO274" s="125">
        <f t="shared" si="592"/>
        <v>0</v>
      </c>
      <c r="EP274" s="23"/>
      <c r="EQ274" s="125">
        <f t="shared" si="593"/>
        <v>0</v>
      </c>
      <c r="ER274" s="23"/>
      <c r="ES274" s="125">
        <f t="shared" si="594"/>
        <v>0</v>
      </c>
      <c r="ET274" s="23"/>
      <c r="EU274" s="125">
        <f t="shared" si="595"/>
        <v>0</v>
      </c>
      <c r="EV274" s="23"/>
      <c r="EW274" s="125">
        <f t="shared" si="596"/>
        <v>0</v>
      </c>
      <c r="EX274" s="23"/>
      <c r="EY274" s="125">
        <f t="shared" si="597"/>
        <v>0</v>
      </c>
      <c r="EZ274" s="23"/>
      <c r="FA274" s="125">
        <f t="shared" si="598"/>
        <v>0</v>
      </c>
      <c r="FB274" s="23"/>
      <c r="FC274" s="125">
        <f t="shared" si="599"/>
        <v>0</v>
      </c>
      <c r="FD274" s="23"/>
      <c r="FE274" s="125">
        <f t="shared" si="600"/>
        <v>0</v>
      </c>
      <c r="FF274" s="23"/>
      <c r="FG274" s="125">
        <f t="shared" si="601"/>
        <v>0</v>
      </c>
      <c r="FH274" s="23"/>
      <c r="FI274" s="125">
        <f t="shared" si="602"/>
        <v>0</v>
      </c>
      <c r="FJ274" s="23"/>
      <c r="FK274" s="125">
        <f t="shared" si="603"/>
        <v>0</v>
      </c>
      <c r="FL274" s="23"/>
      <c r="FM274" s="125">
        <f t="shared" si="604"/>
        <v>0</v>
      </c>
      <c r="FN274" s="23"/>
      <c r="FO274" s="125">
        <f t="shared" si="605"/>
        <v>0</v>
      </c>
      <c r="FP274" s="23"/>
      <c r="FQ274" s="125">
        <f t="shared" si="606"/>
        <v>0</v>
      </c>
      <c r="FR274" s="301"/>
      <c r="FS274" s="301"/>
      <c r="FT274" s="301"/>
      <c r="FU274" s="301"/>
      <c r="FV274" s="301"/>
      <c r="FW274" s="301"/>
      <c r="FX274" s="301"/>
      <c r="FY274" s="301"/>
      <c r="FZ274" s="301"/>
      <c r="GA274" s="301"/>
      <c r="GB274" s="301"/>
      <c r="GC274" s="301"/>
      <c r="GD274" s="301"/>
      <c r="GE274" s="301"/>
      <c r="GF274" s="301"/>
      <c r="GG274" s="301"/>
    </row>
    <row r="275" spans="1:189" ht="15" hidden="1" customHeight="1" outlineLevel="2" x14ac:dyDescent="0.3">
      <c r="A275" s="1"/>
      <c r="B275" s="302"/>
      <c r="C275" s="302"/>
      <c r="D275" s="302"/>
      <c r="E275" s="302"/>
      <c r="F275" s="302"/>
      <c r="G275" s="5" t="s">
        <v>221</v>
      </c>
      <c r="H275" s="5"/>
      <c r="I275" s="23">
        <f t="shared" si="533"/>
        <v>3626</v>
      </c>
      <c r="J275" s="30">
        <f t="shared" si="534"/>
        <v>1.3771363463729587</v>
      </c>
      <c r="K275" s="23">
        <v>404</v>
      </c>
      <c r="L275" s="30">
        <f t="shared" si="535"/>
        <v>7.0224230836085519E-2</v>
      </c>
      <c r="M275" s="23">
        <v>314</v>
      </c>
      <c r="N275" s="30">
        <f t="shared" si="536"/>
        <v>7.9796696315120708E-2</v>
      </c>
      <c r="O275" s="23">
        <v>364</v>
      </c>
      <c r="P275" s="30">
        <f t="shared" si="537"/>
        <v>6.7010309278350513E-2</v>
      </c>
      <c r="Q275" s="23">
        <v>480</v>
      </c>
      <c r="R275" s="30">
        <f t="shared" si="538"/>
        <v>7.6738609112709827E-2</v>
      </c>
      <c r="S275" s="23">
        <v>389</v>
      </c>
      <c r="T275" s="30">
        <f t="shared" si="539"/>
        <v>6.2190247801758594E-2</v>
      </c>
      <c r="U275" s="23">
        <v>347</v>
      </c>
      <c r="V275" s="30">
        <f t="shared" si="540"/>
        <v>0.13178883402962399</v>
      </c>
      <c r="W275" s="23">
        <v>475</v>
      </c>
      <c r="X275" s="30">
        <f t="shared" si="541"/>
        <v>0.18040258260539307</v>
      </c>
      <c r="Y275" s="23">
        <v>291</v>
      </c>
      <c r="Z275" s="30">
        <f t="shared" si="542"/>
        <v>0.11052031902772502</v>
      </c>
      <c r="AA275" s="23">
        <v>277</v>
      </c>
      <c r="AB275" s="30">
        <f t="shared" si="543"/>
        <v>0.10520319027725028</v>
      </c>
      <c r="AC275" s="23">
        <v>238</v>
      </c>
      <c r="AD275" s="30">
        <f t="shared" si="544"/>
        <v>9.0391188758070645E-2</v>
      </c>
      <c r="AE275" s="23">
        <v>309</v>
      </c>
      <c r="AF275" s="30">
        <f t="shared" si="545"/>
        <v>0.11735662742119256</v>
      </c>
      <c r="AG275" s="23">
        <v>218</v>
      </c>
      <c r="AH275" s="30">
        <f t="shared" si="546"/>
        <v>8.279529054310672E-2</v>
      </c>
      <c r="AI275" s="23">
        <v>166</v>
      </c>
      <c r="AJ275" s="30">
        <f t="shared" si="547"/>
        <v>6.3045955184200531E-2</v>
      </c>
      <c r="AK275" s="23">
        <v>259</v>
      </c>
      <c r="AL275" s="30">
        <f t="shared" si="548"/>
        <v>9.8366881883782759E-2</v>
      </c>
      <c r="AM275" s="23">
        <v>200</v>
      </c>
      <c r="AN275" s="30">
        <f t="shared" si="549"/>
        <v>7.5958982149639198E-2</v>
      </c>
      <c r="AO275" s="23">
        <v>286</v>
      </c>
      <c r="AP275" s="30">
        <f t="shared" si="550"/>
        <v>0.10862134447398406</v>
      </c>
      <c r="AQ275" s="23">
        <v>529</v>
      </c>
      <c r="AR275" s="30">
        <f t="shared" si="551"/>
        <v>0.20091150778579567</v>
      </c>
      <c r="AS275" s="23">
        <v>782</v>
      </c>
      <c r="AT275" s="30">
        <f t="shared" si="552"/>
        <v>0.29699962020508924</v>
      </c>
      <c r="AU275" s="96"/>
      <c r="AV275" s="125">
        <f t="shared" si="553"/>
        <v>0</v>
      </c>
      <c r="AW275" s="96"/>
      <c r="AX275" s="125">
        <f t="shared" si="554"/>
        <v>0</v>
      </c>
      <c r="AY275" s="23"/>
      <c r="AZ275" s="125">
        <f t="shared" si="555"/>
        <v>0</v>
      </c>
      <c r="BA275" s="23"/>
      <c r="BB275" s="125">
        <f t="shared" si="556"/>
        <v>0</v>
      </c>
      <c r="BC275" s="23"/>
      <c r="BD275" s="125">
        <f t="shared" si="557"/>
        <v>0</v>
      </c>
      <c r="BE275" s="23"/>
      <c r="BF275" s="125">
        <f t="shared" si="558"/>
        <v>0</v>
      </c>
      <c r="BG275" s="23"/>
      <c r="BH275" s="125">
        <f t="shared" si="559"/>
        <v>0</v>
      </c>
      <c r="BI275" s="23"/>
      <c r="BJ275" s="125">
        <f t="shared" si="560"/>
        <v>0</v>
      </c>
      <c r="BK275" s="23"/>
      <c r="BL275" s="125">
        <f t="shared" si="561"/>
        <v>0</v>
      </c>
      <c r="BM275" s="23"/>
      <c r="BN275" s="125">
        <f t="shared" si="562"/>
        <v>0</v>
      </c>
      <c r="BO275" s="23"/>
      <c r="BP275" s="125">
        <f t="shared" si="563"/>
        <v>0</v>
      </c>
      <c r="BQ275" s="23"/>
      <c r="BR275" s="125">
        <f t="shared" si="564"/>
        <v>0</v>
      </c>
      <c r="BS275" s="23"/>
      <c r="BT275" s="125">
        <f t="shared" si="565"/>
        <v>0</v>
      </c>
      <c r="BU275" s="23"/>
      <c r="BV275" s="125">
        <f t="shared" si="566"/>
        <v>0</v>
      </c>
      <c r="BW275" s="23"/>
      <c r="BX275" s="125">
        <f t="shared" si="567"/>
        <v>0</v>
      </c>
      <c r="BY275" s="23"/>
      <c r="BZ275" s="125">
        <f t="shared" si="568"/>
        <v>0</v>
      </c>
      <c r="CA275" s="23"/>
      <c r="CB275" s="125">
        <f t="shared" si="569"/>
        <v>0</v>
      </c>
      <c r="CC275" s="23"/>
      <c r="CD275" s="125">
        <f t="shared" si="570"/>
        <v>0</v>
      </c>
      <c r="CE275" s="23"/>
      <c r="CF275" s="125">
        <f t="shared" si="571"/>
        <v>0</v>
      </c>
      <c r="CG275" s="23"/>
      <c r="CH275" s="125">
        <f t="shared" si="572"/>
        <v>0</v>
      </c>
      <c r="CI275" s="23"/>
      <c r="CJ275" s="125">
        <f t="shared" si="573"/>
        <v>0</v>
      </c>
      <c r="CK275" s="23"/>
      <c r="CL275" s="125">
        <f t="shared" si="574"/>
        <v>0</v>
      </c>
      <c r="CM275" s="23"/>
      <c r="CN275" s="125">
        <f t="shared" si="575"/>
        <v>0</v>
      </c>
      <c r="CO275" s="23"/>
      <c r="CP275" s="125">
        <f t="shared" si="576"/>
        <v>0</v>
      </c>
      <c r="CQ275" s="23"/>
      <c r="CR275" s="125">
        <f t="shared" si="577"/>
        <v>0</v>
      </c>
      <c r="CS275" s="23"/>
      <c r="CT275" s="125">
        <f t="shared" si="578"/>
        <v>0</v>
      </c>
      <c r="CU275" s="23"/>
      <c r="CV275" s="125">
        <f t="shared" si="579"/>
        <v>0</v>
      </c>
      <c r="CW275" s="23"/>
      <c r="CX275" s="125">
        <f t="shared" si="580"/>
        <v>0</v>
      </c>
      <c r="CY275" s="23"/>
      <c r="CZ275" s="125">
        <f t="shared" si="581"/>
        <v>0</v>
      </c>
      <c r="DA275" s="23"/>
      <c r="DB275" s="125">
        <f t="shared" si="582"/>
        <v>0</v>
      </c>
      <c r="DC275" s="23"/>
      <c r="DD275" s="125">
        <f t="shared" si="583"/>
        <v>0</v>
      </c>
      <c r="DE275" s="23"/>
      <c r="DF275" s="125">
        <f t="shared" si="584"/>
        <v>0</v>
      </c>
      <c r="DG275" s="23"/>
      <c r="DH275" s="125">
        <f t="shared" si="585"/>
        <v>0</v>
      </c>
      <c r="DI275" s="23"/>
      <c r="DJ275" s="125">
        <f t="shared" si="586"/>
        <v>0</v>
      </c>
      <c r="DK275" s="23"/>
      <c r="DL275" s="125">
        <f t="shared" si="587"/>
        <v>0</v>
      </c>
      <c r="DM275" s="23"/>
      <c r="DN275" s="125">
        <f t="shared" si="588"/>
        <v>0</v>
      </c>
      <c r="DO275" s="23"/>
      <c r="DP275" s="125">
        <f t="shared" si="589"/>
        <v>0</v>
      </c>
      <c r="DQ275" s="23"/>
      <c r="DR275" s="125">
        <f t="shared" si="590"/>
        <v>0</v>
      </c>
      <c r="DS275" s="23"/>
      <c r="DT275" s="125">
        <f t="shared" si="591"/>
        <v>0</v>
      </c>
      <c r="DU275" s="302"/>
      <c r="DV275" s="302"/>
      <c r="DW275" s="302"/>
      <c r="DX275" s="302"/>
      <c r="DY275" s="302"/>
      <c r="DZ275" s="302"/>
      <c r="EA275" s="302"/>
      <c r="EB275" s="302"/>
      <c r="EC275" s="302"/>
      <c r="ED275" s="302"/>
      <c r="EE275" s="302"/>
      <c r="EF275" s="302"/>
      <c r="EG275" s="302"/>
      <c r="EH275" s="302"/>
      <c r="EI275" s="302"/>
      <c r="EJ275" s="302"/>
      <c r="EK275" s="302"/>
      <c r="EL275" s="302"/>
      <c r="EM275" s="302"/>
      <c r="EN275" s="23"/>
      <c r="EO275" s="125">
        <f t="shared" si="592"/>
        <v>0</v>
      </c>
      <c r="EP275" s="23"/>
      <c r="EQ275" s="125">
        <f t="shared" si="593"/>
        <v>0</v>
      </c>
      <c r="ER275" s="23"/>
      <c r="ES275" s="125">
        <f t="shared" si="594"/>
        <v>0</v>
      </c>
      <c r="ET275" s="23"/>
      <c r="EU275" s="125">
        <f t="shared" si="595"/>
        <v>0</v>
      </c>
      <c r="EV275" s="23"/>
      <c r="EW275" s="125">
        <f t="shared" si="596"/>
        <v>0</v>
      </c>
      <c r="EX275" s="23"/>
      <c r="EY275" s="125">
        <f t="shared" si="597"/>
        <v>0</v>
      </c>
      <c r="EZ275" s="23"/>
      <c r="FA275" s="125">
        <f t="shared" si="598"/>
        <v>0</v>
      </c>
      <c r="FB275" s="23"/>
      <c r="FC275" s="125">
        <f t="shared" si="599"/>
        <v>0</v>
      </c>
      <c r="FD275" s="23"/>
      <c r="FE275" s="125">
        <f t="shared" si="600"/>
        <v>0</v>
      </c>
      <c r="FF275" s="23"/>
      <c r="FG275" s="125">
        <f t="shared" si="601"/>
        <v>0</v>
      </c>
      <c r="FH275" s="23"/>
      <c r="FI275" s="125">
        <f t="shared" si="602"/>
        <v>0</v>
      </c>
      <c r="FJ275" s="23"/>
      <c r="FK275" s="125">
        <f t="shared" si="603"/>
        <v>0</v>
      </c>
      <c r="FL275" s="23"/>
      <c r="FM275" s="125">
        <f t="shared" si="604"/>
        <v>0</v>
      </c>
      <c r="FN275" s="23"/>
      <c r="FO275" s="125">
        <f t="shared" si="605"/>
        <v>0</v>
      </c>
      <c r="FP275" s="23"/>
      <c r="FQ275" s="125">
        <f t="shared" si="606"/>
        <v>0</v>
      </c>
      <c r="FR275" s="302"/>
      <c r="FS275" s="302"/>
      <c r="FT275" s="302"/>
      <c r="FU275" s="302"/>
      <c r="FV275" s="302"/>
      <c r="FW275" s="302"/>
      <c r="FX275" s="302"/>
      <c r="FY275" s="302"/>
      <c r="FZ275" s="302"/>
      <c r="GA275" s="302"/>
      <c r="GB275" s="302"/>
      <c r="GC275" s="302"/>
      <c r="GD275" s="302"/>
      <c r="GE275" s="302"/>
      <c r="GF275" s="302"/>
      <c r="GG275" s="302"/>
    </row>
    <row r="276" spans="1:189" ht="8.25" customHeight="1" outlineLevel="1" collapsed="1" x14ac:dyDescent="0.3">
      <c r="A276" s="1"/>
      <c r="B276" s="18"/>
      <c r="C276" s="18"/>
      <c r="D276" s="18"/>
      <c r="E276" s="18"/>
      <c r="F276" s="18"/>
      <c r="G276" s="3"/>
      <c r="H276" s="3"/>
      <c r="I276" s="19"/>
      <c r="J276" s="20"/>
      <c r="K276" s="19"/>
      <c r="L276" s="20"/>
      <c r="M276" s="19"/>
      <c r="N276" s="20"/>
      <c r="O276" s="19"/>
      <c r="P276" s="20"/>
      <c r="Q276" s="19"/>
      <c r="R276" s="20"/>
      <c r="S276" s="19"/>
      <c r="T276" s="20"/>
      <c r="U276" s="19"/>
      <c r="V276" s="20"/>
      <c r="W276" s="19"/>
      <c r="X276" s="20"/>
      <c r="Y276" s="19"/>
      <c r="Z276" s="20"/>
      <c r="AA276" s="19"/>
      <c r="AB276" s="20"/>
      <c r="AC276" s="19"/>
      <c r="AD276" s="20"/>
      <c r="AE276" s="19"/>
      <c r="AF276" s="20"/>
      <c r="AG276" s="19"/>
      <c r="AH276" s="20"/>
      <c r="AI276" s="19"/>
      <c r="AJ276" s="20"/>
      <c r="AK276" s="19"/>
      <c r="AL276" s="20"/>
      <c r="AM276" s="19"/>
      <c r="AN276" s="20"/>
      <c r="AO276" s="19"/>
      <c r="AP276" s="20"/>
      <c r="AQ276" s="19"/>
      <c r="AR276" s="20"/>
      <c r="AS276" s="19"/>
      <c r="AT276" s="20"/>
      <c r="AU276" s="19"/>
      <c r="AV276" s="20"/>
      <c r="AW276" s="19"/>
      <c r="AX276" s="20"/>
      <c r="AY276" s="19"/>
      <c r="AZ276" s="20"/>
      <c r="BA276" s="19"/>
      <c r="BB276" s="20"/>
      <c r="BC276" s="19"/>
      <c r="BD276" s="20"/>
      <c r="BE276" s="19"/>
      <c r="BF276" s="20"/>
      <c r="BG276" s="19"/>
      <c r="BH276" s="20"/>
      <c r="BI276" s="19"/>
      <c r="BJ276" s="20"/>
      <c r="BK276" s="19"/>
      <c r="BL276" s="20"/>
      <c r="BM276" s="19"/>
      <c r="BN276" s="20"/>
      <c r="BO276" s="19"/>
      <c r="BP276" s="20"/>
      <c r="BQ276" s="19"/>
      <c r="BR276" s="20"/>
      <c r="BS276" s="19"/>
      <c r="BT276" s="20"/>
      <c r="BU276" s="19"/>
      <c r="BV276" s="20"/>
      <c r="BW276" s="19"/>
      <c r="BX276" s="20"/>
      <c r="BY276" s="19"/>
      <c r="BZ276" s="20"/>
      <c r="CA276" s="19"/>
      <c r="CB276" s="20"/>
      <c r="CC276" s="19"/>
      <c r="CD276" s="20"/>
      <c r="CE276" s="19"/>
      <c r="CF276" s="20"/>
      <c r="CG276" s="19"/>
      <c r="CH276" s="20"/>
      <c r="CI276" s="19"/>
      <c r="CJ276" s="20"/>
      <c r="CK276" s="19"/>
      <c r="CL276" s="20"/>
      <c r="CM276" s="19"/>
      <c r="CN276" s="20"/>
      <c r="CO276" s="19"/>
      <c r="CP276" s="20"/>
      <c r="CQ276" s="19"/>
      <c r="CR276" s="20"/>
      <c r="CS276" s="19"/>
      <c r="CT276" s="20"/>
      <c r="CU276" s="19"/>
      <c r="CV276" s="20"/>
      <c r="CW276" s="19"/>
      <c r="CX276" s="20"/>
      <c r="CY276" s="19"/>
      <c r="CZ276" s="20"/>
      <c r="DA276" s="19"/>
      <c r="DB276" s="20"/>
      <c r="DC276" s="19"/>
      <c r="DD276" s="20"/>
      <c r="DE276" s="19"/>
      <c r="DF276" s="20"/>
      <c r="DG276" s="19"/>
      <c r="DH276" s="20"/>
      <c r="DI276" s="19"/>
      <c r="DJ276" s="20"/>
      <c r="DK276" s="19"/>
      <c r="DL276" s="20"/>
      <c r="DM276" s="19"/>
      <c r="DN276" s="20"/>
      <c r="DO276" s="19"/>
      <c r="DP276" s="20"/>
      <c r="DQ276" s="19"/>
      <c r="DR276" s="20"/>
      <c r="DS276" s="19"/>
      <c r="DT276" s="20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19"/>
      <c r="EO276" s="20"/>
      <c r="EP276" s="19"/>
      <c r="EQ276" s="20"/>
      <c r="ER276" s="19"/>
      <c r="ES276" s="20"/>
      <c r="ET276" s="19"/>
      <c r="EU276" s="20"/>
      <c r="EV276" s="19"/>
      <c r="EW276" s="20"/>
      <c r="EX276" s="19"/>
      <c r="EY276" s="20"/>
      <c r="EZ276" s="19"/>
      <c r="FA276" s="20"/>
      <c r="FB276" s="19"/>
      <c r="FC276" s="20"/>
      <c r="FD276" s="19"/>
      <c r="FE276" s="20"/>
      <c r="FF276" s="19"/>
      <c r="FG276" s="20"/>
      <c r="FH276" s="19"/>
      <c r="FI276" s="20"/>
      <c r="FJ276" s="19"/>
      <c r="FK276" s="20"/>
      <c r="FL276" s="19"/>
      <c r="FM276" s="20"/>
      <c r="FN276" s="19"/>
      <c r="FO276" s="20"/>
      <c r="FP276" s="19"/>
      <c r="FQ276" s="20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</row>
    <row r="277" spans="1:189" ht="15" customHeight="1" outlineLevel="1" x14ac:dyDescent="0.3">
      <c r="A277" s="63"/>
      <c r="B277" s="443" t="s">
        <v>222</v>
      </c>
      <c r="C277" s="416" t="s">
        <v>149</v>
      </c>
      <c r="D277" s="313" t="s">
        <v>96</v>
      </c>
      <c r="E277" s="313" t="s">
        <v>223</v>
      </c>
      <c r="F277" s="313" t="s">
        <v>27</v>
      </c>
      <c r="G277" s="5" t="s">
        <v>28</v>
      </c>
      <c r="H277" s="5"/>
      <c r="I277" s="341"/>
      <c r="J277" s="281"/>
      <c r="K277" s="341"/>
      <c r="L277" s="281"/>
      <c r="M277" s="341"/>
      <c r="N277" s="281"/>
      <c r="O277" s="341"/>
      <c r="P277" s="281"/>
      <c r="Q277" s="341"/>
      <c r="R277" s="281"/>
      <c r="S277" s="341"/>
      <c r="T277" s="281"/>
      <c r="U277" s="341"/>
      <c r="V277" s="281"/>
      <c r="W277" s="341"/>
      <c r="X277" s="281"/>
      <c r="Y277" s="341"/>
      <c r="Z277" s="281"/>
      <c r="AA277" s="341"/>
      <c r="AB277" s="281"/>
      <c r="AC277" s="341"/>
      <c r="AD277" s="281"/>
      <c r="AE277" s="341"/>
      <c r="AF277" s="281"/>
      <c r="AG277" s="341"/>
      <c r="AH277" s="281"/>
      <c r="AI277" s="341"/>
      <c r="AJ277" s="281"/>
      <c r="AK277" s="341"/>
      <c r="AL277" s="281"/>
      <c r="AM277" s="341"/>
      <c r="AN277" s="281"/>
      <c r="AO277" s="341"/>
      <c r="AP277" s="281"/>
      <c r="AQ277" s="341"/>
      <c r="AR277" s="281"/>
      <c r="AS277" s="341"/>
      <c r="AT277" s="281"/>
      <c r="AU277" s="341"/>
      <c r="AV277" s="281"/>
      <c r="AW277" s="341"/>
      <c r="AX277" s="281"/>
      <c r="AY277" s="341"/>
      <c r="AZ277" s="281"/>
      <c r="BA277" s="341"/>
      <c r="BB277" s="281"/>
      <c r="BC277" s="341"/>
      <c r="BD277" s="281"/>
      <c r="BE277" s="341"/>
      <c r="BF277" s="281"/>
      <c r="BG277" s="341"/>
      <c r="BH277" s="281"/>
      <c r="BI277" s="341"/>
      <c r="BJ277" s="281"/>
      <c r="BK277" s="341"/>
      <c r="BL277" s="281"/>
      <c r="BM277" s="341"/>
      <c r="BN277" s="281"/>
      <c r="BO277" s="341"/>
      <c r="BP277" s="281"/>
      <c r="BQ277" s="341"/>
      <c r="BR277" s="281"/>
      <c r="BS277" s="341"/>
      <c r="BT277" s="281"/>
      <c r="BU277" s="341"/>
      <c r="BV277" s="281"/>
      <c r="BW277" s="341"/>
      <c r="BX277" s="281"/>
      <c r="BY277" s="341"/>
      <c r="BZ277" s="281"/>
      <c r="CA277" s="341"/>
      <c r="CB277" s="281"/>
      <c r="CC277" s="341"/>
      <c r="CD277" s="281"/>
      <c r="CE277" s="341"/>
      <c r="CF277" s="281"/>
      <c r="CG277" s="341"/>
      <c r="CH277" s="281"/>
      <c r="CI277" s="341"/>
      <c r="CJ277" s="281"/>
      <c r="CK277" s="341"/>
      <c r="CL277" s="281"/>
      <c r="CM277" s="341"/>
      <c r="CN277" s="281"/>
      <c r="CO277" s="341"/>
      <c r="CP277" s="281"/>
      <c r="CQ277" s="341"/>
      <c r="CR277" s="281"/>
      <c r="CS277" s="341"/>
      <c r="CT277" s="281"/>
      <c r="CU277" s="341"/>
      <c r="CV277" s="281"/>
      <c r="CW277" s="341"/>
      <c r="CX277" s="281"/>
      <c r="CY277" s="341"/>
      <c r="CZ277" s="281"/>
      <c r="DA277" s="341"/>
      <c r="DB277" s="281"/>
      <c r="DC277" s="341"/>
      <c r="DD277" s="281"/>
      <c r="DE277" s="341"/>
      <c r="DF277" s="281"/>
      <c r="DG277" s="341"/>
      <c r="DH277" s="281"/>
      <c r="DI277" s="341"/>
      <c r="DJ277" s="281"/>
      <c r="DK277" s="341"/>
      <c r="DL277" s="281"/>
      <c r="DM277" s="341"/>
      <c r="DN277" s="281"/>
      <c r="DO277" s="341"/>
      <c r="DP277" s="281"/>
      <c r="DQ277" s="341"/>
      <c r="DR277" s="281"/>
      <c r="DS277" s="341"/>
      <c r="DT277" s="281"/>
      <c r="DU277" s="126"/>
      <c r="DV277" s="126"/>
      <c r="DW277" s="126"/>
      <c r="DX277" s="126"/>
      <c r="DY277" s="126"/>
      <c r="DZ277" s="126"/>
      <c r="EA277" s="126"/>
      <c r="EB277" s="126"/>
      <c r="EC277" s="126"/>
      <c r="ED277" s="126"/>
      <c r="EE277" s="126"/>
      <c r="EF277" s="126"/>
      <c r="EG277" s="126"/>
      <c r="EH277" s="126"/>
      <c r="EI277" s="126"/>
      <c r="EJ277" s="126"/>
      <c r="EK277" s="126"/>
      <c r="EL277" s="126"/>
      <c r="EM277" s="126"/>
      <c r="EN277" s="341"/>
      <c r="EO277" s="281"/>
      <c r="EP277" s="341"/>
      <c r="EQ277" s="281"/>
      <c r="ER277" s="341"/>
      <c r="ES277" s="281"/>
      <c r="ET277" s="341"/>
      <c r="EU277" s="281"/>
      <c r="EV277" s="341"/>
      <c r="EW277" s="281"/>
      <c r="EX277" s="341"/>
      <c r="EY277" s="281"/>
      <c r="EZ277" s="341"/>
      <c r="FA277" s="281"/>
      <c r="FB277" s="341"/>
      <c r="FC277" s="281"/>
      <c r="FD277" s="341"/>
      <c r="FE277" s="281"/>
      <c r="FF277" s="341"/>
      <c r="FG277" s="281"/>
      <c r="FH277" s="341"/>
      <c r="FI277" s="281"/>
      <c r="FJ277" s="341"/>
      <c r="FK277" s="281"/>
      <c r="FL277" s="341"/>
      <c r="FM277" s="281"/>
      <c r="FN277" s="341"/>
      <c r="FO277" s="281"/>
      <c r="FP277" s="341"/>
      <c r="FQ277" s="281"/>
      <c r="FR277" s="126"/>
      <c r="FS277" s="126"/>
      <c r="FT277" s="126"/>
      <c r="FU277" s="126"/>
      <c r="FV277" s="126"/>
      <c r="FW277" s="126"/>
      <c r="FX277" s="126"/>
      <c r="FY277" s="126"/>
      <c r="FZ277" s="126"/>
      <c r="GA277" s="126"/>
      <c r="GB277" s="126"/>
      <c r="GC277" s="126"/>
      <c r="GD277" s="126"/>
      <c r="GE277" s="126"/>
      <c r="GF277" s="126"/>
      <c r="GG277" s="126"/>
    </row>
    <row r="278" spans="1:189" ht="4.5" customHeight="1" outlineLevel="1" x14ac:dyDescent="0.3">
      <c r="A278" s="1"/>
      <c r="B278" s="444"/>
      <c r="C278" s="417"/>
      <c r="D278" s="301"/>
      <c r="E278" s="301"/>
      <c r="F278" s="301"/>
      <c r="G278" s="5"/>
      <c r="H278" s="5"/>
      <c r="I278" s="284"/>
      <c r="J278" s="281"/>
      <c r="K278" s="280"/>
      <c r="L278" s="281"/>
      <c r="M278" s="280"/>
      <c r="N278" s="281"/>
      <c r="O278" s="280"/>
      <c r="P278" s="281"/>
      <c r="Q278" s="284"/>
      <c r="R278" s="281"/>
      <c r="S278" s="280"/>
      <c r="T278" s="281"/>
      <c r="U278" s="280"/>
      <c r="V278" s="281"/>
      <c r="W278" s="284"/>
      <c r="X278" s="281"/>
      <c r="Y278" s="284"/>
      <c r="Z278" s="281"/>
      <c r="AA278" s="284"/>
      <c r="AB278" s="281"/>
      <c r="AC278" s="284"/>
      <c r="AD278" s="281"/>
      <c r="AE278" s="284"/>
      <c r="AF278" s="281"/>
      <c r="AG278" s="280"/>
      <c r="AH278" s="281"/>
      <c r="AI278" s="280"/>
      <c r="AJ278" s="281"/>
      <c r="AK278" s="280"/>
      <c r="AL278" s="281"/>
      <c r="AM278" s="280"/>
      <c r="AN278" s="281"/>
      <c r="AO278" s="280"/>
      <c r="AP278" s="281"/>
      <c r="AQ278" s="280"/>
      <c r="AR278" s="281"/>
      <c r="AS278" s="280"/>
      <c r="AT278" s="281"/>
      <c r="AU278" s="280"/>
      <c r="AV278" s="281"/>
      <c r="AW278" s="280"/>
      <c r="AX278" s="281"/>
      <c r="AY278" s="280"/>
      <c r="AZ278" s="281"/>
      <c r="BA278" s="280"/>
      <c r="BB278" s="281"/>
      <c r="BC278" s="280"/>
      <c r="BD278" s="281"/>
      <c r="BE278" s="280"/>
      <c r="BF278" s="281"/>
      <c r="BG278" s="280"/>
      <c r="BH278" s="281"/>
      <c r="BI278" s="280"/>
      <c r="BJ278" s="281"/>
      <c r="BK278" s="280"/>
      <c r="BL278" s="281"/>
      <c r="BM278" s="280"/>
      <c r="BN278" s="281"/>
      <c r="BO278" s="280"/>
      <c r="BP278" s="281"/>
      <c r="BQ278" s="280"/>
      <c r="BR278" s="281"/>
      <c r="BS278" s="280"/>
      <c r="BT278" s="281"/>
      <c r="BU278" s="280"/>
      <c r="BV278" s="281"/>
      <c r="BW278" s="280"/>
      <c r="BX278" s="281"/>
      <c r="BY278" s="280"/>
      <c r="BZ278" s="281"/>
      <c r="CA278" s="280"/>
      <c r="CB278" s="281"/>
      <c r="CC278" s="280"/>
      <c r="CD278" s="281"/>
      <c r="CE278" s="280"/>
      <c r="CF278" s="281"/>
      <c r="CG278" s="280"/>
      <c r="CH278" s="281"/>
      <c r="CI278" s="280"/>
      <c r="CJ278" s="281"/>
      <c r="CK278" s="280"/>
      <c r="CL278" s="281"/>
      <c r="CM278" s="280"/>
      <c r="CN278" s="281"/>
      <c r="CO278" s="280"/>
      <c r="CP278" s="281"/>
      <c r="CQ278" s="280"/>
      <c r="CR278" s="281"/>
      <c r="CS278" s="280"/>
      <c r="CT278" s="281"/>
      <c r="CU278" s="280"/>
      <c r="CV278" s="281"/>
      <c r="CW278" s="280"/>
      <c r="CX278" s="281"/>
      <c r="CY278" s="280"/>
      <c r="CZ278" s="281"/>
      <c r="DA278" s="280"/>
      <c r="DB278" s="281"/>
      <c r="DC278" s="280"/>
      <c r="DD278" s="281"/>
      <c r="DE278" s="280"/>
      <c r="DF278" s="281"/>
      <c r="DG278" s="280"/>
      <c r="DH278" s="281"/>
      <c r="DI278" s="280"/>
      <c r="DJ278" s="281"/>
      <c r="DK278" s="280"/>
      <c r="DL278" s="281"/>
      <c r="DM278" s="280"/>
      <c r="DN278" s="281"/>
      <c r="DO278" s="280"/>
      <c r="DP278" s="281"/>
      <c r="DQ278" s="280"/>
      <c r="DR278" s="281"/>
      <c r="DS278" s="280"/>
      <c r="DT278" s="281"/>
      <c r="DU278" s="127"/>
      <c r="DV278" s="127"/>
      <c r="DW278" s="127"/>
      <c r="DX278" s="127"/>
      <c r="DY278" s="127"/>
      <c r="DZ278" s="127"/>
      <c r="EA278" s="127"/>
      <c r="EB278" s="127"/>
      <c r="EC278" s="127"/>
      <c r="ED278" s="127"/>
      <c r="EE278" s="127"/>
      <c r="EF278" s="127"/>
      <c r="EG278" s="127"/>
      <c r="EH278" s="127"/>
      <c r="EI278" s="127"/>
      <c r="EJ278" s="127"/>
      <c r="EK278" s="127"/>
      <c r="EL278" s="127"/>
      <c r="EM278" s="127"/>
      <c r="EN278" s="280"/>
      <c r="EO278" s="281"/>
      <c r="EP278" s="280"/>
      <c r="EQ278" s="281"/>
      <c r="ER278" s="280"/>
      <c r="ES278" s="281"/>
      <c r="ET278" s="280"/>
      <c r="EU278" s="281"/>
      <c r="EV278" s="280"/>
      <c r="EW278" s="281"/>
      <c r="EX278" s="280"/>
      <c r="EY278" s="281"/>
      <c r="EZ278" s="280"/>
      <c r="FA278" s="281"/>
      <c r="FB278" s="280"/>
      <c r="FC278" s="281"/>
      <c r="FD278" s="280"/>
      <c r="FE278" s="281"/>
      <c r="FF278" s="280"/>
      <c r="FG278" s="281"/>
      <c r="FH278" s="280"/>
      <c r="FI278" s="281"/>
      <c r="FJ278" s="280"/>
      <c r="FK278" s="281"/>
      <c r="FL278" s="280"/>
      <c r="FM278" s="281"/>
      <c r="FN278" s="280"/>
      <c r="FO278" s="281"/>
      <c r="FP278" s="280"/>
      <c r="FQ278" s="281"/>
      <c r="FR278" s="127"/>
      <c r="FS278" s="127"/>
      <c r="FT278" s="127"/>
      <c r="FU278" s="127"/>
      <c r="FV278" s="127"/>
      <c r="FW278" s="127"/>
      <c r="FX278" s="127"/>
      <c r="FY278" s="127"/>
      <c r="FZ278" s="127"/>
      <c r="GA278" s="127"/>
      <c r="GB278" s="127"/>
      <c r="GC278" s="127"/>
      <c r="GD278" s="127"/>
      <c r="GE278" s="127"/>
      <c r="GF278" s="127"/>
      <c r="GG278" s="127"/>
    </row>
    <row r="279" spans="1:189" ht="15" customHeight="1" outlineLevel="1" x14ac:dyDescent="0.3">
      <c r="A279" s="1"/>
      <c r="B279" s="444"/>
      <c r="C279" s="417"/>
      <c r="D279" s="301"/>
      <c r="E279" s="301"/>
      <c r="F279" s="301"/>
      <c r="G279" s="5" t="s">
        <v>30</v>
      </c>
      <c r="H279" s="5"/>
      <c r="I279" s="341">
        <f>I280/I4</f>
        <v>1.4359278262869946</v>
      </c>
      <c r="J279" s="281"/>
      <c r="K279" s="341">
        <f>K280/K4</f>
        <v>2.7048465266558965</v>
      </c>
      <c r="L279" s="281"/>
      <c r="M279" s="341">
        <f>M280/M4</f>
        <v>2.193994930785728</v>
      </c>
      <c r="N279" s="281"/>
      <c r="O279" s="341">
        <f>O280/O4</f>
        <v>1.8308491040026795</v>
      </c>
      <c r="P279" s="281"/>
      <c r="Q279" s="341">
        <f>Q280/Q4</f>
        <v>1.7742820264601484</v>
      </c>
      <c r="R279" s="281"/>
      <c r="S279" s="341">
        <f>S280/S4</f>
        <v>1.6114426114426115</v>
      </c>
      <c r="T279" s="281"/>
      <c r="U279" s="341">
        <f>U280/U4</f>
        <v>1.1670099232353492</v>
      </c>
      <c r="V279" s="281"/>
      <c r="W279" s="341">
        <f>W280/W4</f>
        <v>1.3114715781600599</v>
      </c>
      <c r="X279" s="281"/>
      <c r="Y279" s="341">
        <f>Y280/Y4</f>
        <v>1.0880354378118011</v>
      </c>
      <c r="Z279" s="281"/>
      <c r="AA279" s="341">
        <f>AA280/AA4</f>
        <v>1.4234092377260983</v>
      </c>
      <c r="AB279" s="281"/>
      <c r="AC279" s="341">
        <f>AC280/AC4</f>
        <v>0.72345754741092883</v>
      </c>
      <c r="AD279" s="281"/>
      <c r="AE279" s="341">
        <f>AE280/AE4</f>
        <v>1.4546832373446499</v>
      </c>
      <c r="AF279" s="281"/>
      <c r="AG279" s="341">
        <f>AG280/AG4</f>
        <v>1.9839247351655678</v>
      </c>
      <c r="AH279" s="281"/>
      <c r="AI279" s="341">
        <f>AI280/AI4</f>
        <v>1.4868947134606842</v>
      </c>
      <c r="AJ279" s="281"/>
      <c r="AK279" s="341">
        <f>AK280/AK4</f>
        <v>1.3674686264993414</v>
      </c>
      <c r="AL279" s="281"/>
      <c r="AM279" s="341">
        <f>AM280/AM4</f>
        <v>1.6596237121099</v>
      </c>
      <c r="AN279" s="281"/>
      <c r="AO279" s="341">
        <f>AO280/AO4</f>
        <v>2.4518683225771465</v>
      </c>
      <c r="AP279" s="281"/>
      <c r="AQ279" s="341">
        <f>AQ280/AQ4</f>
        <v>1.8079477984833343</v>
      </c>
      <c r="AR279" s="281"/>
      <c r="AS279" s="341">
        <f>AS280/AS4</f>
        <v>2.1969696969696968</v>
      </c>
      <c r="AT279" s="281"/>
      <c r="AU279" s="341">
        <f>AU280/AU4</f>
        <v>2.2855291871249319</v>
      </c>
      <c r="AV279" s="281"/>
      <c r="AW279" s="342">
        <f>AW280/AW4</f>
        <v>2.0013373190685968</v>
      </c>
      <c r="AX279" s="281"/>
      <c r="AY279" s="342">
        <f>AY280/AY4</f>
        <v>1.5351959056967865</v>
      </c>
      <c r="AZ279" s="281"/>
      <c r="BA279" s="342">
        <f>BA280/BA4</f>
        <v>1.0960173666193538</v>
      </c>
      <c r="BB279" s="281"/>
      <c r="BC279" s="342">
        <f>BC280/BC4</f>
        <v>0.83496791379101587</v>
      </c>
      <c r="BD279" s="281"/>
      <c r="BE279" s="342">
        <f>BE280/BE4</f>
        <v>1.6230102442868399</v>
      </c>
      <c r="BF279" s="281"/>
      <c r="BG279" s="342">
        <f>BG280/BG4</f>
        <v>1.8678079965326688</v>
      </c>
      <c r="BH279" s="281"/>
      <c r="BI279" s="342">
        <f>BI280/BI4</f>
        <v>1.4266991770801585</v>
      </c>
      <c r="BJ279" s="281"/>
      <c r="BK279" s="342">
        <f>BK280/BK4</f>
        <v>1.7836983517724092</v>
      </c>
      <c r="BL279" s="281"/>
      <c r="BM279" s="342">
        <f>BM280/BM4</f>
        <v>2.0532559750606167</v>
      </c>
      <c r="BN279" s="281"/>
      <c r="BO279" s="342">
        <f>BO280/BO4</f>
        <v>1.8776271494859431</v>
      </c>
      <c r="BP279" s="281"/>
      <c r="BQ279" s="342">
        <f>BQ280/BQ4</f>
        <v>2.3417312028232526</v>
      </c>
      <c r="BR279" s="281"/>
      <c r="BS279" s="342">
        <f>BS280/BS4</f>
        <v>1.9332471609269688</v>
      </c>
      <c r="BT279" s="281"/>
      <c r="BU279" s="342">
        <f>BU280/BU4</f>
        <v>1.858108621344474</v>
      </c>
      <c r="BV279" s="281"/>
      <c r="BW279" s="342">
        <f>BW280/BW4</f>
        <v>1.3346018735362997</v>
      </c>
      <c r="BX279" s="281"/>
      <c r="BY279" s="342">
        <f>BY280/BY4</f>
        <v>1.7159791000545894</v>
      </c>
      <c r="BZ279" s="281"/>
      <c r="CA279" s="342">
        <f>CA280/CA4</f>
        <v>1.4183252772249075</v>
      </c>
      <c r="CB279" s="281"/>
      <c r="CC279" s="342">
        <f>CC280/CC4</f>
        <v>1.8164812942366027</v>
      </c>
      <c r="CD279" s="281"/>
      <c r="CE279" s="342">
        <f>CE280/CE4</f>
        <v>2.3151358344113842</v>
      </c>
      <c r="CF279" s="281"/>
      <c r="CG279" s="342">
        <f>CG280/CG4</f>
        <v>1.9634267119411433</v>
      </c>
      <c r="CH279" s="281"/>
      <c r="CI279" s="342">
        <f>CI280/CI4</f>
        <v>1.5620005026388539</v>
      </c>
      <c r="CJ279" s="281"/>
      <c r="CK279" s="342">
        <f>CK280/CK4</f>
        <v>1.350347556953676</v>
      </c>
      <c r="CL279" s="281"/>
      <c r="CM279" s="342">
        <f>CM280/CM4</f>
        <v>1.4464983077323614</v>
      </c>
      <c r="CN279" s="281"/>
      <c r="CO279" s="342">
        <f>CO280/CO4</f>
        <v>1.4439057647147944</v>
      </c>
      <c r="CP279" s="281"/>
      <c r="CQ279" s="342">
        <f>CQ280/CQ4</f>
        <v>2.4358933922094308</v>
      </c>
      <c r="CR279" s="281"/>
      <c r="CS279" s="342">
        <f>CS280/CS4</f>
        <v>0.90756398537477145</v>
      </c>
      <c r="CT279" s="281"/>
      <c r="CU279" s="342">
        <f>CU280/CU4</f>
        <v>0.85086316253929739</v>
      </c>
      <c r="CV279" s="281"/>
      <c r="CW279" s="342">
        <f>CW280/CW4</f>
        <v>0.52102077539669556</v>
      </c>
      <c r="CX279" s="281"/>
      <c r="CY279" s="342">
        <f>CY280/CY4</f>
        <v>0.63602749260483726</v>
      </c>
      <c r="CZ279" s="281"/>
      <c r="DA279" s="342">
        <f>DA280/DA4</f>
        <v>0.63913705583756342</v>
      </c>
      <c r="DB279" s="281"/>
      <c r="DC279" s="342">
        <f>DC280/DC4</f>
        <v>1.4414573557825008</v>
      </c>
      <c r="DD279" s="281"/>
      <c r="DE279" s="342">
        <f>DE280/DE4</f>
        <v>1.163466695269763</v>
      </c>
      <c r="DF279" s="281"/>
      <c r="DG279" s="342">
        <f>DG280/DG4</f>
        <v>0.94856709052951227</v>
      </c>
      <c r="DH279" s="281"/>
      <c r="DI279" s="342">
        <f>DI280/DI4</f>
        <v>0.8058519466970171</v>
      </c>
      <c r="DJ279" s="281"/>
      <c r="DK279" s="342">
        <f>DK280/DK4</f>
        <v>1.1653017133095513</v>
      </c>
      <c r="DL279" s="281"/>
      <c r="DM279" s="342">
        <f>DM280/DM4</f>
        <v>1.1554882446271455</v>
      </c>
      <c r="DN279" s="281"/>
      <c r="DO279" s="342">
        <f>DO280/DO4</f>
        <v>1.0061634838840052</v>
      </c>
      <c r="DP279" s="281"/>
      <c r="DQ279" s="342">
        <f>DQ280/DQ4</f>
        <v>1.2808486878838639</v>
      </c>
      <c r="DR279" s="281"/>
      <c r="DS279" s="342">
        <f>DS280/DS4</f>
        <v>0.96271546340244818</v>
      </c>
      <c r="DT279" s="281"/>
      <c r="DU279" s="127"/>
      <c r="DV279" s="127"/>
      <c r="DW279" s="127"/>
      <c r="DX279" s="127"/>
      <c r="DY279" s="127"/>
      <c r="DZ279" s="127"/>
      <c r="EA279" s="127"/>
      <c r="EB279" s="127"/>
      <c r="EC279" s="127"/>
      <c r="ED279" s="127"/>
      <c r="EE279" s="127"/>
      <c r="EF279" s="127"/>
      <c r="EG279" s="127"/>
      <c r="EH279" s="127"/>
      <c r="EI279" s="127"/>
      <c r="EJ279" s="127"/>
      <c r="EK279" s="127"/>
      <c r="EL279" s="127"/>
      <c r="EM279" s="127"/>
      <c r="EN279" s="342">
        <f>EN280/EN4</f>
        <v>1.0787491295815661</v>
      </c>
      <c r="EO279" s="281"/>
      <c r="EP279" s="342">
        <f>EP280/EP4</f>
        <v>0.67663581619043767</v>
      </c>
      <c r="EQ279" s="281"/>
      <c r="ER279" s="342">
        <f>ER280/ER4</f>
        <v>0.99324570062866935</v>
      </c>
      <c r="ES279" s="281"/>
      <c r="ET279" s="342">
        <f>ET280/ET4</f>
        <v>2.0125700696449806</v>
      </c>
      <c r="EU279" s="281"/>
      <c r="EV279" s="342">
        <f>EV280/EV4</f>
        <v>1.0826254265592101</v>
      </c>
      <c r="EW279" s="281"/>
      <c r="EX279" s="342">
        <f>EX280/EX4</f>
        <v>1.0278696028073031</v>
      </c>
      <c r="EY279" s="281"/>
      <c r="EZ279" s="342">
        <f>EZ280/EZ4</f>
        <v>1.207837956847204</v>
      </c>
      <c r="FA279" s="281"/>
      <c r="FB279" s="342">
        <f>FB280/FB4</f>
        <v>0.94661354581673307</v>
      </c>
      <c r="FC279" s="281"/>
      <c r="FD279" s="342">
        <f>FD280/FD4</f>
        <v>0.95063513373954356</v>
      </c>
      <c r="FE279" s="281"/>
      <c r="FF279" s="342">
        <f>FF280/FF4</f>
        <v>0.90542585386943364</v>
      </c>
      <c r="FG279" s="281"/>
      <c r="FH279" s="342">
        <f>FH280/FH4</f>
        <v>1.0312230692741133</v>
      </c>
      <c r="FI279" s="281"/>
      <c r="FJ279" s="342">
        <f>FJ280/FJ4</f>
        <v>1.1415</v>
      </c>
      <c r="FK279" s="281"/>
      <c r="FL279" s="342">
        <f>FL280/FL4</f>
        <v>1.3127817362221899</v>
      </c>
      <c r="FM279" s="281"/>
      <c r="FN279" s="342">
        <f>FN280/FN4</f>
        <v>1.9681002195531447</v>
      </c>
      <c r="FO279" s="281"/>
      <c r="FP279" s="342">
        <f>FP280/FP4</f>
        <v>1.6361460203470974</v>
      </c>
      <c r="FQ279" s="281"/>
      <c r="FR279" s="127"/>
      <c r="FS279" s="127"/>
      <c r="FT279" s="127"/>
      <c r="FU279" s="127"/>
      <c r="FV279" s="127"/>
      <c r="FW279" s="127"/>
      <c r="FX279" s="127"/>
      <c r="FY279" s="127"/>
      <c r="FZ279" s="127"/>
      <c r="GA279" s="127"/>
      <c r="GB279" s="127"/>
      <c r="GC279" s="127"/>
      <c r="GD279" s="127"/>
      <c r="GE279" s="127"/>
      <c r="GF279" s="127"/>
      <c r="GG279" s="127"/>
    </row>
    <row r="280" spans="1:189" ht="15" customHeight="1" outlineLevel="1" x14ac:dyDescent="0.3">
      <c r="A280" s="1"/>
      <c r="B280" s="444"/>
      <c r="C280" s="417"/>
      <c r="D280" s="301"/>
      <c r="E280" s="301"/>
      <c r="F280" s="301"/>
      <c r="G280" s="5" t="s">
        <v>224</v>
      </c>
      <c r="H280" s="5"/>
      <c r="I280" s="23">
        <f t="shared" ref="I280:AV280" si="607">SUM(I282:I287)</f>
        <v>287131</v>
      </c>
      <c r="J280" s="30">
        <f t="shared" si="607"/>
        <v>10.234574942078062</v>
      </c>
      <c r="K280" s="23">
        <f t="shared" si="607"/>
        <v>33486</v>
      </c>
      <c r="L280" s="30">
        <f t="shared" si="607"/>
        <v>1</v>
      </c>
      <c r="M280" s="23">
        <f t="shared" si="607"/>
        <v>22506</v>
      </c>
      <c r="N280" s="30">
        <f t="shared" si="607"/>
        <v>1</v>
      </c>
      <c r="O280" s="23">
        <f t="shared" si="607"/>
        <v>21864</v>
      </c>
      <c r="P280" s="30">
        <f t="shared" si="607"/>
        <v>1</v>
      </c>
      <c r="Q280" s="23">
        <f t="shared" si="607"/>
        <v>21994</v>
      </c>
      <c r="R280" s="30">
        <f t="shared" si="607"/>
        <v>1</v>
      </c>
      <c r="S280" s="23">
        <f t="shared" si="607"/>
        <v>18364</v>
      </c>
      <c r="T280" s="30">
        <f t="shared" si="607"/>
        <v>1</v>
      </c>
      <c r="U280" s="23">
        <f t="shared" si="607"/>
        <v>18699</v>
      </c>
      <c r="V280" s="30">
        <f t="shared" si="607"/>
        <v>1</v>
      </c>
      <c r="W280" s="23">
        <f t="shared" si="607"/>
        <v>28055</v>
      </c>
      <c r="X280" s="30">
        <f t="shared" si="607"/>
        <v>1</v>
      </c>
      <c r="Y280" s="23">
        <f t="shared" si="607"/>
        <v>25299</v>
      </c>
      <c r="Z280" s="30">
        <f t="shared" si="607"/>
        <v>1</v>
      </c>
      <c r="AA280" s="23">
        <f t="shared" si="607"/>
        <v>35255</v>
      </c>
      <c r="AB280" s="30">
        <f t="shared" si="607"/>
        <v>1</v>
      </c>
      <c r="AC280" s="23">
        <f t="shared" si="607"/>
        <v>14153</v>
      </c>
      <c r="AD280" s="30">
        <f t="shared" si="607"/>
        <v>1</v>
      </c>
      <c r="AE280" s="23">
        <f t="shared" si="607"/>
        <v>33593</v>
      </c>
      <c r="AF280" s="30">
        <f t="shared" si="607"/>
        <v>1</v>
      </c>
      <c r="AG280" s="23">
        <f t="shared" si="607"/>
        <v>26781</v>
      </c>
      <c r="AH280" s="30">
        <f t="shared" si="607"/>
        <v>1</v>
      </c>
      <c r="AI280" s="23">
        <f t="shared" si="607"/>
        <v>20082</v>
      </c>
      <c r="AJ280" s="30">
        <f t="shared" si="607"/>
        <v>1</v>
      </c>
      <c r="AK280" s="23">
        <f t="shared" si="607"/>
        <v>19723</v>
      </c>
      <c r="AL280" s="30">
        <f t="shared" si="607"/>
        <v>1</v>
      </c>
      <c r="AM280" s="23">
        <f t="shared" si="607"/>
        <v>22229</v>
      </c>
      <c r="AN280" s="30">
        <f t="shared" si="607"/>
        <v>1</v>
      </c>
      <c r="AO280" s="23">
        <f t="shared" si="607"/>
        <v>45210</v>
      </c>
      <c r="AP280" s="30">
        <f t="shared" si="607"/>
        <v>1</v>
      </c>
      <c r="AQ280" s="23">
        <f t="shared" si="607"/>
        <v>30755</v>
      </c>
      <c r="AR280" s="30">
        <f t="shared" si="607"/>
        <v>0.99999999999999989</v>
      </c>
      <c r="AS280" s="23">
        <f t="shared" si="607"/>
        <v>30450</v>
      </c>
      <c r="AT280" s="30">
        <f t="shared" si="607"/>
        <v>1</v>
      </c>
      <c r="AU280" s="23">
        <f t="shared" si="607"/>
        <v>33515</v>
      </c>
      <c r="AV280" s="30">
        <f t="shared" si="607"/>
        <v>1</v>
      </c>
      <c r="AW280" s="23">
        <f t="shared" ref="AW280:CX280" si="608">SUM(AW281:AW287)</f>
        <v>25441</v>
      </c>
      <c r="AX280" s="30">
        <f t="shared" si="608"/>
        <v>1</v>
      </c>
      <c r="AY280" s="23">
        <f t="shared" si="608"/>
        <v>18298</v>
      </c>
      <c r="AZ280" s="30">
        <f t="shared" si="608"/>
        <v>1</v>
      </c>
      <c r="BA280" s="23">
        <f t="shared" si="608"/>
        <v>13127</v>
      </c>
      <c r="BB280" s="30">
        <f t="shared" si="608"/>
        <v>0.99999999999999989</v>
      </c>
      <c r="BC280" s="23">
        <f t="shared" si="608"/>
        <v>13792</v>
      </c>
      <c r="BD280" s="30">
        <f t="shared" si="608"/>
        <v>1</v>
      </c>
      <c r="BE280" s="23">
        <f t="shared" si="608"/>
        <v>20596</v>
      </c>
      <c r="BF280" s="30">
        <f t="shared" si="608"/>
        <v>1</v>
      </c>
      <c r="BG280" s="23">
        <f t="shared" si="608"/>
        <v>17238</v>
      </c>
      <c r="BH280" s="30">
        <f t="shared" si="608"/>
        <v>1</v>
      </c>
      <c r="BI280" s="23">
        <f t="shared" si="608"/>
        <v>14043</v>
      </c>
      <c r="BJ280" s="30">
        <f t="shared" si="608"/>
        <v>0.99999999999999989</v>
      </c>
      <c r="BK280" s="23">
        <f t="shared" si="608"/>
        <v>23700</v>
      </c>
      <c r="BL280" s="30">
        <f t="shared" si="608"/>
        <v>1</v>
      </c>
      <c r="BM280" s="23">
        <f t="shared" si="608"/>
        <v>23711</v>
      </c>
      <c r="BN280" s="30">
        <f t="shared" si="608"/>
        <v>1</v>
      </c>
      <c r="BO280" s="23">
        <f t="shared" si="608"/>
        <v>20637</v>
      </c>
      <c r="BP280" s="30">
        <f t="shared" si="608"/>
        <v>1</v>
      </c>
      <c r="BQ280" s="23">
        <f t="shared" si="608"/>
        <v>23888</v>
      </c>
      <c r="BR280" s="30">
        <f t="shared" si="608"/>
        <v>1</v>
      </c>
      <c r="BS280" s="23">
        <f t="shared" si="608"/>
        <v>20939</v>
      </c>
      <c r="BT280" s="30">
        <f t="shared" si="608"/>
        <v>1</v>
      </c>
      <c r="BU280" s="23">
        <f t="shared" si="608"/>
        <v>24462</v>
      </c>
      <c r="BV280" s="30">
        <f t="shared" si="608"/>
        <v>1</v>
      </c>
      <c r="BW280" s="23">
        <f t="shared" si="608"/>
        <v>22795</v>
      </c>
      <c r="BX280" s="30">
        <f t="shared" si="608"/>
        <v>0.93185348704112503</v>
      </c>
      <c r="BY280" s="23">
        <f t="shared" si="608"/>
        <v>22004</v>
      </c>
      <c r="BZ280" s="30">
        <f t="shared" si="608"/>
        <v>0.8995176191644183</v>
      </c>
      <c r="CA280" s="23">
        <f t="shared" si="608"/>
        <v>19953</v>
      </c>
      <c r="CB280" s="30">
        <f t="shared" si="608"/>
        <v>0.8156732891832229</v>
      </c>
      <c r="CC280" s="23">
        <f t="shared" si="608"/>
        <v>25151</v>
      </c>
      <c r="CD280" s="30">
        <f t="shared" si="608"/>
        <v>1.0114183099998664</v>
      </c>
      <c r="CE280" s="23">
        <f t="shared" si="608"/>
        <v>26844</v>
      </c>
      <c r="CF280" s="30">
        <f>SUM(CF281:CF287)</f>
        <v>1.0342250798196408</v>
      </c>
      <c r="CG280" s="23">
        <f t="shared" si="608"/>
        <v>27755</v>
      </c>
      <c r="CH280" s="30">
        <f>SUM(CH281:CH287)</f>
        <v>1.0436419880490377</v>
      </c>
      <c r="CI280" s="23">
        <f t="shared" si="608"/>
        <v>31076</v>
      </c>
      <c r="CJ280" s="30">
        <f t="shared" si="608"/>
        <v>1</v>
      </c>
      <c r="CK280" s="23">
        <f t="shared" si="608"/>
        <v>26614</v>
      </c>
      <c r="CL280" s="30">
        <f t="shared" si="608"/>
        <v>1</v>
      </c>
      <c r="CM280" s="23">
        <f t="shared" si="608"/>
        <v>27780</v>
      </c>
      <c r="CN280" s="30">
        <f t="shared" si="608"/>
        <v>1</v>
      </c>
      <c r="CO280" s="23">
        <f t="shared" si="608"/>
        <v>19061</v>
      </c>
      <c r="CP280" s="30">
        <f>SUM(CP281:CP287)</f>
        <v>1</v>
      </c>
      <c r="CQ280" s="23">
        <f t="shared" si="608"/>
        <v>30892</v>
      </c>
      <c r="CR280" s="30">
        <f t="shared" si="608"/>
        <v>1</v>
      </c>
      <c r="CS280" s="23">
        <f>SUM(CS281:CS287)</f>
        <v>15886</v>
      </c>
      <c r="CT280" s="30">
        <f t="shared" si="608"/>
        <v>1</v>
      </c>
      <c r="CU280" s="23">
        <f t="shared" si="608"/>
        <v>15427</v>
      </c>
      <c r="CV280" s="30">
        <f t="shared" si="608"/>
        <v>1</v>
      </c>
      <c r="CW280" s="23">
        <f t="shared" si="608"/>
        <v>9555</v>
      </c>
      <c r="CX280" s="30">
        <f t="shared" si="608"/>
        <v>0.99999999999999989</v>
      </c>
      <c r="CY280" s="23">
        <f>SUM(CY281:CY287)</f>
        <v>14621</v>
      </c>
      <c r="CZ280" s="30">
        <f>SUM(CZ281:CZ287)</f>
        <v>1</v>
      </c>
      <c r="DA280" s="23">
        <f t="shared" ref="DA280:DB280" si="609">SUM(DA281:DA287)</f>
        <v>12591</v>
      </c>
      <c r="DB280" s="30">
        <f t="shared" si="609"/>
        <v>1</v>
      </c>
      <c r="DC280" s="23">
        <f t="shared" ref="DC280:DT280" si="610">SUM(DC281:DC287)</f>
        <v>26112</v>
      </c>
      <c r="DD280" s="30">
        <f t="shared" si="610"/>
        <v>1</v>
      </c>
      <c r="DE280" s="23">
        <f t="shared" si="610"/>
        <v>21694</v>
      </c>
      <c r="DF280" s="30">
        <f t="shared" si="610"/>
        <v>1</v>
      </c>
      <c r="DG280" s="23">
        <f t="shared" si="610"/>
        <v>19992</v>
      </c>
      <c r="DH280" s="30">
        <f t="shared" si="610"/>
        <v>1</v>
      </c>
      <c r="DI280" s="23">
        <f t="shared" si="610"/>
        <v>16993</v>
      </c>
      <c r="DJ280" s="30">
        <f t="shared" si="610"/>
        <v>1</v>
      </c>
      <c r="DK280" s="23">
        <f t="shared" si="610"/>
        <v>23193</v>
      </c>
      <c r="DL280" s="30">
        <f t="shared" si="610"/>
        <v>0.99999999999999989</v>
      </c>
      <c r="DM280" s="23">
        <f t="shared" si="610"/>
        <v>24033</v>
      </c>
      <c r="DN280" s="30">
        <f t="shared" si="610"/>
        <v>1</v>
      </c>
      <c r="DO280" s="23">
        <f t="shared" si="610"/>
        <v>19916</v>
      </c>
      <c r="DP280" s="30">
        <f t="shared" si="610"/>
        <v>1</v>
      </c>
      <c r="DQ280" s="23">
        <f t="shared" si="610"/>
        <v>25234</v>
      </c>
      <c r="DR280" s="30">
        <f t="shared" si="610"/>
        <v>1.2548917082724911</v>
      </c>
      <c r="DS280" s="23">
        <f>SUM(DS281:DS287)</f>
        <v>15415</v>
      </c>
      <c r="DT280" s="30">
        <f t="shared" si="610"/>
        <v>0.99999999999999989</v>
      </c>
      <c r="DU280" s="127"/>
      <c r="DV280" s="127"/>
      <c r="DW280" s="127"/>
      <c r="DX280" s="127"/>
      <c r="DY280" s="127"/>
      <c r="DZ280" s="127"/>
      <c r="EA280" s="127"/>
      <c r="EB280" s="127"/>
      <c r="EC280" s="127"/>
      <c r="ED280" s="127"/>
      <c r="EE280" s="127"/>
      <c r="EF280" s="127"/>
      <c r="EG280" s="127"/>
      <c r="EH280" s="127"/>
      <c r="EI280" s="127"/>
      <c r="EJ280" s="127"/>
      <c r="EK280" s="127"/>
      <c r="EL280" s="127"/>
      <c r="EM280" s="127"/>
      <c r="EN280" s="23">
        <f>SUM(EN281:EN287)</f>
        <v>17041</v>
      </c>
      <c r="EO280" s="30">
        <f t="shared" ref="EO280:EQ280" si="611">SUM(EO281:EO287)</f>
        <v>1</v>
      </c>
      <c r="EP280" s="23">
        <f>SUM(EP281:EP287)</f>
        <v>16742</v>
      </c>
      <c r="EQ280" s="30">
        <f t="shared" si="611"/>
        <v>0.99999999999999989</v>
      </c>
      <c r="ER280" s="23">
        <f>SUM(ER281:ER287)</f>
        <v>19117</v>
      </c>
      <c r="ES280" s="30">
        <f t="shared" ref="ES280:EU280" si="612">SUM(ES281:ES287)</f>
        <v>0.99999999999999989</v>
      </c>
      <c r="ET280" s="23">
        <f>SUM(ET281:ET287)</f>
        <v>23696</v>
      </c>
      <c r="EU280" s="30">
        <f t="shared" si="612"/>
        <v>1</v>
      </c>
      <c r="EV280" s="23">
        <f>SUM(EV281:EV287)</f>
        <v>14911</v>
      </c>
      <c r="EW280" s="30">
        <f t="shared" ref="EW280:EY280" si="613">SUM(EW281:EW287)</f>
        <v>0.99999999999999989</v>
      </c>
      <c r="EX280" s="23">
        <f>SUM(EX281:EX287)</f>
        <v>20211</v>
      </c>
      <c r="EY280" s="30">
        <f t="shared" si="613"/>
        <v>1</v>
      </c>
      <c r="EZ280" s="23">
        <f>SUM(EZ281:EZ287)</f>
        <v>27430</v>
      </c>
      <c r="FA280" s="30">
        <f t="shared" ref="FA280:FC280" si="614">SUM(FA281:FA287)</f>
        <v>0.99999999999999989</v>
      </c>
      <c r="FB280" s="23">
        <f>SUM(FB281:FB287)</f>
        <v>19008</v>
      </c>
      <c r="FC280" s="30">
        <f t="shared" si="614"/>
        <v>0.99999999999999989</v>
      </c>
      <c r="FD280" s="23">
        <f>SUM(FD281:FD287)</f>
        <v>18410</v>
      </c>
      <c r="FE280" s="30">
        <f t="shared" ref="FE280:FG280" si="615">SUM(FE281:FE287)</f>
        <v>1</v>
      </c>
      <c r="FF280" s="23">
        <f>SUM(FF281:FF287)</f>
        <v>16754</v>
      </c>
      <c r="FG280" s="30">
        <f t="shared" si="615"/>
        <v>1.0000000000000002</v>
      </c>
      <c r="FH280" s="23">
        <f>SUM(FH281:FH287)</f>
        <v>15556</v>
      </c>
      <c r="FI280" s="30">
        <f t="shared" ref="FI280:FM280" si="616">SUM(FI281:FI287)</f>
        <v>0.99999999999999989</v>
      </c>
      <c r="FJ280" s="23">
        <f>SUM(FJ281:FJ287)</f>
        <v>15981</v>
      </c>
      <c r="FK280" s="30">
        <f t="shared" ref="FK280" si="617">SUM(FK281:FK287)</f>
        <v>1</v>
      </c>
      <c r="FL280" s="23">
        <f>SUM(FL281:FL287)</f>
        <v>18056</v>
      </c>
      <c r="FM280" s="30">
        <f t="shared" si="616"/>
        <v>0.99999999999999989</v>
      </c>
      <c r="FN280" s="23">
        <f>SUM(FN281:FN287)</f>
        <v>15239</v>
      </c>
      <c r="FO280" s="30">
        <f t="shared" ref="FO280:FQ280" si="618">SUM(FO281:FO287)</f>
        <v>1</v>
      </c>
      <c r="FP280" s="23">
        <f>SUM(FP281:FP287)</f>
        <v>13670</v>
      </c>
      <c r="FQ280" s="30">
        <f t="shared" si="618"/>
        <v>1</v>
      </c>
      <c r="FR280" s="127"/>
      <c r="FS280" s="127"/>
      <c r="FT280" s="127"/>
      <c r="FU280" s="127"/>
      <c r="FV280" s="127"/>
      <c r="FW280" s="127"/>
      <c r="FX280" s="127"/>
      <c r="FY280" s="127"/>
      <c r="FZ280" s="127"/>
      <c r="GA280" s="127"/>
      <c r="GB280" s="127"/>
      <c r="GC280" s="127"/>
      <c r="GD280" s="127"/>
      <c r="GE280" s="127"/>
      <c r="GF280" s="127"/>
      <c r="GG280" s="127"/>
    </row>
    <row r="281" spans="1:189" ht="15" customHeight="1" outlineLevel="1" x14ac:dyDescent="0.3">
      <c r="A281" s="1"/>
      <c r="B281" s="444"/>
      <c r="C281" s="417"/>
      <c r="D281" s="301"/>
      <c r="E281" s="301"/>
      <c r="F281" s="301"/>
      <c r="G281" s="5" t="s">
        <v>225</v>
      </c>
      <c r="H281" s="5"/>
      <c r="I281" s="23"/>
      <c r="J281" s="30"/>
      <c r="K281" s="23"/>
      <c r="L281" s="30"/>
      <c r="M281" s="23"/>
      <c r="N281" s="30"/>
      <c r="O281" s="23"/>
      <c r="P281" s="30"/>
      <c r="Q281" s="23"/>
      <c r="R281" s="30"/>
      <c r="S281" s="23"/>
      <c r="T281" s="30"/>
      <c r="U281" s="23"/>
      <c r="V281" s="30"/>
      <c r="W281" s="23"/>
      <c r="X281" s="30"/>
      <c r="Y281" s="23"/>
      <c r="Z281" s="30"/>
      <c r="AA281" s="23"/>
      <c r="AB281" s="30"/>
      <c r="AC281" s="23"/>
      <c r="AD281" s="30"/>
      <c r="AE281" s="23"/>
      <c r="AF281" s="30"/>
      <c r="AG281" s="23"/>
      <c r="AH281" s="30"/>
      <c r="AI281" s="23"/>
      <c r="AJ281" s="30"/>
      <c r="AK281" s="23"/>
      <c r="AL281" s="30"/>
      <c r="AM281" s="23"/>
      <c r="AN281" s="30"/>
      <c r="AO281" s="23"/>
      <c r="AP281" s="30"/>
      <c r="AQ281" s="23"/>
      <c r="AR281" s="30"/>
      <c r="AS281" s="23"/>
      <c r="AT281" s="30"/>
      <c r="AU281" s="23">
        <v>1436</v>
      </c>
      <c r="AV281" s="30"/>
      <c r="AW281" s="23">
        <v>3862</v>
      </c>
      <c r="AX281" s="30">
        <f t="shared" ref="AX281:AX287" si="619">AW281/$AW$280</f>
        <v>0.15180220903266381</v>
      </c>
      <c r="AY281" s="23">
        <v>3614</v>
      </c>
      <c r="AZ281" s="30">
        <f t="shared" ref="AZ281:AZ287" si="620">AY281/$AY$280</f>
        <v>0.1975079243633184</v>
      </c>
      <c r="BA281" s="23">
        <v>3772</v>
      </c>
      <c r="BB281" s="30">
        <f t="shared" ref="BB281:BB287" si="621">BA281/$BA$280</f>
        <v>0.28734669002818619</v>
      </c>
      <c r="BC281" s="23">
        <v>5795</v>
      </c>
      <c r="BD281" s="30">
        <f t="shared" ref="BD281:BD287" si="622">BC281/$BC$280</f>
        <v>0.42017111368909515</v>
      </c>
      <c r="BE281" s="23">
        <v>7525</v>
      </c>
      <c r="BF281" s="30">
        <f t="shared" ref="BF281:BF287" si="623">BE281/$BE$280</f>
        <v>0.36536220625364146</v>
      </c>
      <c r="BG281" s="81">
        <v>6513</v>
      </c>
      <c r="BH281" s="30">
        <f t="shared" ref="BH281:BH287" si="624">BG281/$BG$280</f>
        <v>0.37782805429864252</v>
      </c>
      <c r="BI281" s="81">
        <v>5537</v>
      </c>
      <c r="BJ281" s="30">
        <f t="shared" ref="BJ281:BJ287" si="625">BI281/$BI$280</f>
        <v>0.39428896959339171</v>
      </c>
      <c r="BK281" s="81">
        <v>11270</v>
      </c>
      <c r="BL281" s="30">
        <f t="shared" ref="BL281:BL287" si="626">BK281/$BK$280</f>
        <v>0.47552742616033755</v>
      </c>
      <c r="BM281" s="81">
        <v>13024</v>
      </c>
      <c r="BN281" s="30">
        <f t="shared" ref="BN281:BN287" si="627">BM281/$BM$280</f>
        <v>0.54928092446543797</v>
      </c>
      <c r="BO281" s="81">
        <v>10221</v>
      </c>
      <c r="BP281" s="30">
        <f t="shared" ref="BP281:BP287" si="628">BO281/$BO$280</f>
        <v>0.49527547608664052</v>
      </c>
      <c r="BQ281" s="81">
        <v>14224</v>
      </c>
      <c r="BR281" s="30">
        <f t="shared" ref="BR281:BR287" si="629">BQ281/$BQ$280</f>
        <v>0.59544541192230405</v>
      </c>
      <c r="BS281" s="23">
        <v>10402</v>
      </c>
      <c r="BT281" s="30">
        <f t="shared" ref="BT281:BT287" si="630">BS281/$BS$280</f>
        <v>0.49677635035101964</v>
      </c>
      <c r="BU281" s="28">
        <v>11665</v>
      </c>
      <c r="BV281" s="30">
        <f t="shared" ref="BV281:BV287" si="631">BU281/$BU$280</f>
        <v>0.47686207178480911</v>
      </c>
      <c r="BW281" s="28">
        <v>10276</v>
      </c>
      <c r="BX281" s="30">
        <f t="shared" ref="BX281:BX287" si="632">BW281/$BU$280</f>
        <v>0.42008012427438474</v>
      </c>
      <c r="BY281" s="28">
        <v>10165</v>
      </c>
      <c r="BZ281" s="30">
        <f t="shared" ref="BZ281:BZ287" si="633">BY281/$BU$280</f>
        <v>0.41554247404137029</v>
      </c>
      <c r="CA281" s="28">
        <v>7480</v>
      </c>
      <c r="CB281" s="30">
        <f t="shared" ref="CB281:CB287" si="634">CA281/$BU$280</f>
        <v>0.3057803940806148</v>
      </c>
      <c r="CC281" s="28">
        <v>10298</v>
      </c>
      <c r="CD281" s="30">
        <f>CC281/CC280</f>
        <v>0.40944694047950381</v>
      </c>
      <c r="CE281" s="28">
        <v>13932</v>
      </c>
      <c r="CF281" s="30">
        <f>CE281/CE280</f>
        <v>0.51899865891819397</v>
      </c>
      <c r="CG281" s="28">
        <v>15452</v>
      </c>
      <c r="CH281" s="30">
        <f>CG281/CG280</f>
        <v>0.55672851738425511</v>
      </c>
      <c r="CI281" s="28">
        <v>27468</v>
      </c>
      <c r="CJ281" s="30">
        <f>CI281/CI280</f>
        <v>0.88389754151113398</v>
      </c>
      <c r="CK281" s="28">
        <v>23582</v>
      </c>
      <c r="CL281" s="30">
        <f>CK281/CK280</f>
        <v>0.88607499812128954</v>
      </c>
      <c r="CM281" s="28">
        <v>24712</v>
      </c>
      <c r="CN281" s="30">
        <f>CM281/CM280</f>
        <v>0.8895608351331894</v>
      </c>
      <c r="CO281" s="28">
        <v>17079</v>
      </c>
      <c r="CP281" s="30">
        <f>CO281/CO280</f>
        <v>0.89601804732175649</v>
      </c>
      <c r="CQ281" s="28">
        <v>28610</v>
      </c>
      <c r="CR281" s="30">
        <f>CQ281/CQ280</f>
        <v>0.92612974232811085</v>
      </c>
      <c r="CS281" s="28">
        <v>12742</v>
      </c>
      <c r="CT281" s="30">
        <f>CS281/CS280</f>
        <v>0.80208989046959589</v>
      </c>
      <c r="CU281" s="28">
        <v>11995</v>
      </c>
      <c r="CV281" s="30">
        <f>CU281/CU280</f>
        <v>0.77753289686912552</v>
      </c>
      <c r="CW281" s="28">
        <v>6536</v>
      </c>
      <c r="CX281" s="30">
        <f>CW281/CW280</f>
        <v>0.68403976975405545</v>
      </c>
      <c r="CY281" s="28">
        <v>11544</v>
      </c>
      <c r="CZ281" s="30">
        <f>CY281/CY280</f>
        <v>0.78954927843512757</v>
      </c>
      <c r="DA281" s="28">
        <v>9695</v>
      </c>
      <c r="DB281" s="30">
        <f>DA281/DA280</f>
        <v>0.76999444047335397</v>
      </c>
      <c r="DC281" s="28">
        <v>11440</v>
      </c>
      <c r="DD281" s="30">
        <f>DC281/DC280</f>
        <v>0.43811274509803921</v>
      </c>
      <c r="DE281" s="28">
        <v>11935</v>
      </c>
      <c r="DF281" s="30">
        <f>DE281/DE280</f>
        <v>0.55015211579238499</v>
      </c>
      <c r="DG281" s="28">
        <v>10861</v>
      </c>
      <c r="DH281" s="30">
        <f>DG281/DG280</f>
        <v>0.54326730692276914</v>
      </c>
      <c r="DI281" s="28">
        <v>9074</v>
      </c>
      <c r="DJ281" s="30">
        <f>DI281/DI280</f>
        <v>0.5339845818866592</v>
      </c>
      <c r="DK281" s="28">
        <v>13865</v>
      </c>
      <c r="DL281" s="30">
        <f>DK281/DK280</f>
        <v>0.59780968395636613</v>
      </c>
      <c r="DM281" s="28">
        <v>14315</v>
      </c>
      <c r="DN281" s="30">
        <f>DM281/DM280</f>
        <v>0.59563932925560692</v>
      </c>
      <c r="DO281" s="28">
        <v>10661</v>
      </c>
      <c r="DP281" s="30">
        <f>DO281/DO280</f>
        <v>0.53529825266117692</v>
      </c>
      <c r="DQ281" s="28">
        <v>13432</v>
      </c>
      <c r="DR281" s="30">
        <f>DQ281/DQ280</f>
        <v>0.53229769358801615</v>
      </c>
      <c r="DS281" s="28">
        <v>8732</v>
      </c>
      <c r="DT281" s="30">
        <f>DS281/DS280</f>
        <v>0.5664612390528706</v>
      </c>
      <c r="DU281" s="127" t="s">
        <v>29</v>
      </c>
      <c r="DV281" s="127" t="s">
        <v>29</v>
      </c>
      <c r="DW281" s="127" t="s">
        <v>29</v>
      </c>
      <c r="DX281" s="127" t="s">
        <v>29</v>
      </c>
      <c r="DY281" s="127" t="s">
        <v>29</v>
      </c>
      <c r="DZ281" s="127" t="s">
        <v>29</v>
      </c>
      <c r="EA281" s="127" t="s">
        <v>29</v>
      </c>
      <c r="EB281" s="127" t="s">
        <v>29</v>
      </c>
      <c r="EC281" s="127"/>
      <c r="ED281" s="127"/>
      <c r="EE281" s="127" t="s">
        <v>29</v>
      </c>
      <c r="EF281" s="127" t="s">
        <v>29</v>
      </c>
      <c r="EG281" s="127" t="s">
        <v>29</v>
      </c>
      <c r="EH281" s="127" t="s">
        <v>29</v>
      </c>
      <c r="EI281" s="127" t="s">
        <v>29</v>
      </c>
      <c r="EJ281" s="127" t="s">
        <v>29</v>
      </c>
      <c r="EK281" s="127"/>
      <c r="EL281" s="127"/>
      <c r="EM281" s="127" t="s">
        <v>29</v>
      </c>
      <c r="EN281" s="28">
        <v>9375</v>
      </c>
      <c r="EO281" s="30">
        <f>EN281/EN280</f>
        <v>0.55014377090546329</v>
      </c>
      <c r="EP281" s="28">
        <v>9537</v>
      </c>
      <c r="EQ281" s="30">
        <f>EP281/EP280</f>
        <v>0.56964520367936922</v>
      </c>
      <c r="ER281" s="28">
        <v>10843</v>
      </c>
      <c r="ES281" s="30">
        <f>ER281/ER280</f>
        <v>0.56719150494324422</v>
      </c>
      <c r="ET281" s="28">
        <v>13946</v>
      </c>
      <c r="EU281" s="30">
        <f>ET281/ET280</f>
        <v>0.58853814989871711</v>
      </c>
      <c r="EV281" s="28">
        <v>8602</v>
      </c>
      <c r="EW281" s="30">
        <f>EV281/EV280</f>
        <v>0.57688954463148012</v>
      </c>
      <c r="EX281" s="28">
        <v>14248</v>
      </c>
      <c r="EY281" s="30">
        <f>EX281/EX280</f>
        <v>0.70496264410469545</v>
      </c>
      <c r="EZ281" s="28">
        <v>20658</v>
      </c>
      <c r="FA281" s="30">
        <f>EZ281/EZ280</f>
        <v>0.75311702515493983</v>
      </c>
      <c r="FB281" s="28">
        <v>11190</v>
      </c>
      <c r="FC281" s="30">
        <f>FB281/FB280</f>
        <v>0.58869949494949492</v>
      </c>
      <c r="FD281" s="28">
        <v>11683</v>
      </c>
      <c r="FE281" s="30">
        <f>FD281/FD280</f>
        <v>0.63460076045627378</v>
      </c>
      <c r="FF281" s="28">
        <v>10159</v>
      </c>
      <c r="FG281" s="30">
        <f>FF281/FF280</f>
        <v>0.606362659663364</v>
      </c>
      <c r="FH281" s="28">
        <v>8592</v>
      </c>
      <c r="FI281" s="30">
        <f>FH281/FH280</f>
        <v>0.55232707636924661</v>
      </c>
      <c r="FJ281" s="28">
        <v>8476</v>
      </c>
      <c r="FK281" s="30">
        <f>FJ281/FJ280</f>
        <v>0.53037982604342659</v>
      </c>
      <c r="FL281" s="28">
        <v>9180</v>
      </c>
      <c r="FM281" s="30">
        <f>FL281/FL280</f>
        <v>0.50841825431989363</v>
      </c>
      <c r="FN281" s="28">
        <v>9650</v>
      </c>
      <c r="FO281" s="30">
        <f>FN281/FN280</f>
        <v>0.63324365115821246</v>
      </c>
      <c r="FP281" s="28">
        <v>8490</v>
      </c>
      <c r="FQ281" s="30">
        <f>FP281/FP280</f>
        <v>0.62106803218727136</v>
      </c>
      <c r="FR281" s="127" t="s">
        <v>29</v>
      </c>
      <c r="FS281" s="127" t="s">
        <v>29</v>
      </c>
      <c r="FT281" s="127" t="s">
        <v>29</v>
      </c>
      <c r="FU281" s="127" t="s">
        <v>29</v>
      </c>
      <c r="FV281" s="127" t="s">
        <v>29</v>
      </c>
      <c r="FW281" s="127" t="s">
        <v>29</v>
      </c>
      <c r="FX281" s="127"/>
      <c r="FY281" s="127"/>
      <c r="FZ281" s="127"/>
      <c r="GA281" s="127"/>
      <c r="GB281" s="127"/>
      <c r="GC281" s="127"/>
      <c r="GD281" s="127"/>
      <c r="GE281" s="127"/>
      <c r="GF281" s="127"/>
      <c r="GG281" s="127"/>
    </row>
    <row r="282" spans="1:189" ht="14.25" customHeight="1" outlineLevel="2" x14ac:dyDescent="0.3">
      <c r="A282" s="1"/>
      <c r="B282" s="444"/>
      <c r="C282" s="417"/>
      <c r="D282" s="301"/>
      <c r="E282" s="301"/>
      <c r="F282" s="301"/>
      <c r="G282" s="5" t="s">
        <v>226</v>
      </c>
      <c r="H282" s="5"/>
      <c r="I282" s="23">
        <f t="shared" ref="I282:I285" si="635">AG282+AE282+AC282+AA282+Y282+W282+U282+S282+O282+M282+K282</f>
        <v>167321</v>
      </c>
      <c r="J282" s="30">
        <f t="shared" ref="J282:J287" si="636">I282/$W$280</f>
        <v>5.9640349313847798</v>
      </c>
      <c r="K282" s="23">
        <v>20018</v>
      </c>
      <c r="L282" s="30">
        <f t="shared" ref="L282:L287" si="637">K282/$K$280</f>
        <v>0.59780206653526846</v>
      </c>
      <c r="M282" s="23">
        <v>12243</v>
      </c>
      <c r="N282" s="30">
        <f t="shared" ref="N282:N287" si="638">M282/$M$280</f>
        <v>0.54398826979472137</v>
      </c>
      <c r="O282" s="23">
        <v>13342</v>
      </c>
      <c r="P282" s="30">
        <f t="shared" ref="P282:P287" si="639">O282/$O$280</f>
        <v>0.61022685693377243</v>
      </c>
      <c r="Q282" s="23">
        <v>12918</v>
      </c>
      <c r="R282" s="30">
        <f t="shared" ref="R282:R287" si="640">Q282/$Q$280</f>
        <v>0.58734200236428113</v>
      </c>
      <c r="S282" s="23">
        <v>10045</v>
      </c>
      <c r="T282" s="30">
        <f t="shared" ref="T282:T287" si="641">S282/$S$280</f>
        <v>0.54699411892833805</v>
      </c>
      <c r="U282" s="23">
        <v>11085</v>
      </c>
      <c r="V282" s="30">
        <f t="shared" ref="V282:V287" si="642">U282/$U$280</f>
        <v>0.59281244986362902</v>
      </c>
      <c r="W282" s="23">
        <v>16680</v>
      </c>
      <c r="X282" s="30">
        <f t="shared" ref="X282:X287" si="643">W282/$W$280</f>
        <v>0.59454642666191415</v>
      </c>
      <c r="Y282" s="23">
        <v>14062</v>
      </c>
      <c r="Z282" s="30">
        <f t="shared" ref="Z282:Z287" si="644">Y282/$Y$280</f>
        <v>0.5558322463338472</v>
      </c>
      <c r="AA282" s="23">
        <f>17379+5008</f>
        <v>22387</v>
      </c>
      <c r="AB282" s="30">
        <f t="shared" ref="AB282:AB287" si="645">AA282/$AA$280</f>
        <v>0.63500212735782158</v>
      </c>
      <c r="AC282" s="23">
        <v>3393</v>
      </c>
      <c r="AD282" s="30">
        <f t="shared" ref="AD282:AD287" si="646">AC282/$AC$280</f>
        <v>0.23973715819967498</v>
      </c>
      <c r="AE282" s="23">
        <v>24447</v>
      </c>
      <c r="AF282" s="30">
        <f t="shared" ref="AF282:AF287" si="647">AE282/$AE$280</f>
        <v>0.72774089840145273</v>
      </c>
      <c r="AG282" s="23">
        <v>19619</v>
      </c>
      <c r="AH282" s="30">
        <f t="shared" ref="AH282:AH287" si="648">AG282/$AG$280</f>
        <v>0.73257159926813786</v>
      </c>
      <c r="AI282" s="23">
        <v>13751</v>
      </c>
      <c r="AJ282" s="30">
        <f t="shared" ref="AJ282:AJ287" si="649">AI282/$AI$280</f>
        <v>0.6847425555223583</v>
      </c>
      <c r="AK282" s="23">
        <v>13834</v>
      </c>
      <c r="AL282" s="30">
        <f t="shared" ref="AL282:AL287" si="650">AK282/$AK$280</f>
        <v>0.7014145921005932</v>
      </c>
      <c r="AM282" s="23">
        <v>15861</v>
      </c>
      <c r="AN282" s="30">
        <f t="shared" ref="AN282:AN287" si="651">AM282/$AM$280</f>
        <v>0.71352737415088396</v>
      </c>
      <c r="AO282" s="23">
        <v>34462</v>
      </c>
      <c r="AP282" s="30">
        <f t="shared" ref="AP282:AP287" si="652">AO282/$AO$280</f>
        <v>0.76226498562264988</v>
      </c>
      <c r="AQ282" s="23">
        <v>24716</v>
      </c>
      <c r="AR282" s="30">
        <f t="shared" ref="AR282:AR287" si="653">AQ282/$AQ$280</f>
        <v>0.80364168427897897</v>
      </c>
      <c r="AS282" s="23">
        <v>25424</v>
      </c>
      <c r="AT282" s="30">
        <f t="shared" ref="AT282:AT287" si="654">AS282/$AS$280</f>
        <v>0.83494252873563224</v>
      </c>
      <c r="AU282" s="23">
        <v>27336</v>
      </c>
      <c r="AV282" s="30">
        <f t="shared" ref="AV282:AV287" si="655">AU282/$AU$280</f>
        <v>0.81563479039236164</v>
      </c>
      <c r="AW282" s="23">
        <v>17115</v>
      </c>
      <c r="AX282" s="30">
        <f t="shared" si="619"/>
        <v>0.67273299005542231</v>
      </c>
      <c r="AY282" s="23">
        <v>11106</v>
      </c>
      <c r="AZ282" s="30">
        <f t="shared" si="620"/>
        <v>0.60695157940758548</v>
      </c>
      <c r="BA282" s="23">
        <v>6546</v>
      </c>
      <c r="BB282" s="30">
        <f t="shared" si="621"/>
        <v>0.49866686981031461</v>
      </c>
      <c r="BC282" s="23">
        <v>4706</v>
      </c>
      <c r="BD282" s="30">
        <f t="shared" si="622"/>
        <v>0.34121229698375871</v>
      </c>
      <c r="BE282" s="23">
        <v>4419</v>
      </c>
      <c r="BF282" s="30">
        <f t="shared" si="623"/>
        <v>0.21455622450961351</v>
      </c>
      <c r="BG282" s="23">
        <v>7699</v>
      </c>
      <c r="BH282" s="30">
        <f t="shared" si="624"/>
        <v>0.44662953938972039</v>
      </c>
      <c r="BI282" s="23">
        <v>5550</v>
      </c>
      <c r="BJ282" s="30">
        <f t="shared" si="625"/>
        <v>0.39521469771416362</v>
      </c>
      <c r="BK282" s="23">
        <v>8042</v>
      </c>
      <c r="BL282" s="30">
        <f t="shared" si="626"/>
        <v>0.33932489451476794</v>
      </c>
      <c r="BM282" s="28">
        <v>7556</v>
      </c>
      <c r="BN282" s="30">
        <f t="shared" si="627"/>
        <v>0.31867065918771881</v>
      </c>
      <c r="BO282" s="23">
        <v>6969</v>
      </c>
      <c r="BP282" s="30">
        <f t="shared" si="628"/>
        <v>0.33769443233028057</v>
      </c>
      <c r="BQ282" s="23">
        <v>6820</v>
      </c>
      <c r="BR282" s="30">
        <f t="shared" si="629"/>
        <v>0.28549899531145345</v>
      </c>
      <c r="BS282" s="23">
        <v>7493</v>
      </c>
      <c r="BT282" s="30">
        <f t="shared" si="630"/>
        <v>0.35784898992310998</v>
      </c>
      <c r="BU282" s="128">
        <v>9467</v>
      </c>
      <c r="BV282" s="30">
        <f t="shared" si="631"/>
        <v>0.38700842122475676</v>
      </c>
      <c r="BW282" s="128">
        <v>9195</v>
      </c>
      <c r="BX282" s="30">
        <f t="shared" si="632"/>
        <v>0.37588913416727987</v>
      </c>
      <c r="BY282" s="128">
        <v>8321</v>
      </c>
      <c r="BZ282" s="30">
        <f t="shared" si="633"/>
        <v>0.34016024854876953</v>
      </c>
      <c r="CA282" s="128">
        <v>8444</v>
      </c>
      <c r="CB282" s="30">
        <f t="shared" si="634"/>
        <v>0.34518845556373151</v>
      </c>
      <c r="CC282" s="128">
        <v>10196</v>
      </c>
      <c r="CD282" s="30">
        <f t="shared" ref="CD282" si="656">CC282/$BU$280</f>
        <v>0.416809745728068</v>
      </c>
      <c r="CE282" s="23">
        <v>9435</v>
      </c>
      <c r="CF282" s="30">
        <f t="shared" ref="CF282" si="657">CE282/$BU$280</f>
        <v>0.38570026980623007</v>
      </c>
      <c r="CG282" s="23">
        <v>8998</v>
      </c>
      <c r="CH282" s="30">
        <f t="shared" ref="CH282" si="658">CG282/$BU$280</f>
        <v>0.36783582699697492</v>
      </c>
      <c r="CI282" s="23"/>
      <c r="CJ282" s="30">
        <f t="shared" ref="CJ282" si="659">CI282/$BU$280</f>
        <v>0</v>
      </c>
      <c r="CK282" s="23"/>
      <c r="CL282" s="30">
        <f t="shared" ref="CL282" si="660">CK282/$BU$280</f>
        <v>0</v>
      </c>
      <c r="CM282" s="23"/>
      <c r="CN282" s="30">
        <f t="shared" ref="CN282" si="661">CM282/$BU$280</f>
        <v>0</v>
      </c>
      <c r="CO282" s="28"/>
      <c r="CP282" s="30">
        <f t="shared" ref="CP282" si="662">CO282/$BU$280</f>
        <v>0</v>
      </c>
      <c r="CQ282" s="28"/>
      <c r="CR282" s="30">
        <f t="shared" ref="CR282" si="663">CQ282/$BU$280</f>
        <v>0</v>
      </c>
      <c r="CS282" s="129"/>
      <c r="CT282" s="30">
        <f t="shared" ref="CT282" si="664">CS282/$BU$280</f>
        <v>0</v>
      </c>
      <c r="CU282" s="129"/>
      <c r="CV282" s="30">
        <f t="shared" ref="CV282" si="665">CU282/$BU$280</f>
        <v>0</v>
      </c>
      <c r="CW282" s="129"/>
      <c r="CX282" s="30">
        <f t="shared" ref="CX282" si="666">CW282/$BU$280</f>
        <v>0</v>
      </c>
      <c r="CY282" s="129"/>
      <c r="CZ282" s="30">
        <f t="shared" ref="CZ282" si="667">CY282/$BU$280</f>
        <v>0</v>
      </c>
      <c r="DA282" s="129"/>
      <c r="DB282" s="30">
        <f t="shared" ref="DB282" si="668">DA282/$BU$280</f>
        <v>0</v>
      </c>
      <c r="DC282" s="129"/>
      <c r="DD282" s="30">
        <f t="shared" ref="DD282" si="669">DC282/DC281</f>
        <v>0</v>
      </c>
      <c r="DE282" s="129"/>
      <c r="DF282" s="30">
        <f t="shared" ref="DF282" si="670">DE282/DE281</f>
        <v>0</v>
      </c>
      <c r="DG282" s="129"/>
      <c r="DH282" s="30">
        <f t="shared" ref="DH282" si="671">DG282/DG281</f>
        <v>0</v>
      </c>
      <c r="DI282" s="129"/>
      <c r="DJ282" s="30">
        <f t="shared" ref="DJ282" si="672">DI282/DI281</f>
        <v>0</v>
      </c>
      <c r="DK282" s="129"/>
      <c r="DL282" s="30">
        <f t="shared" ref="DL282" si="673">DK282/DK281</f>
        <v>0</v>
      </c>
      <c r="DM282" s="129"/>
      <c r="DN282" s="30">
        <f t="shared" ref="DN282" si="674">DM282/DM281</f>
        <v>0</v>
      </c>
      <c r="DO282" s="129"/>
      <c r="DP282" s="30">
        <f t="shared" ref="DP282" si="675">DO282/DO281</f>
        <v>0</v>
      </c>
      <c r="DQ282" s="129"/>
      <c r="DR282" s="30">
        <f t="shared" ref="DR282:DT282" si="676">DQ282/DQ281</f>
        <v>0</v>
      </c>
      <c r="DS282" s="129"/>
      <c r="DT282" s="30">
        <f t="shared" si="676"/>
        <v>0</v>
      </c>
      <c r="DU282" s="127"/>
      <c r="DV282" s="127"/>
      <c r="DW282" s="127"/>
      <c r="DX282" s="127"/>
      <c r="DY282" s="127"/>
      <c r="DZ282" s="127"/>
      <c r="EA282" s="127"/>
      <c r="EB282" s="127"/>
      <c r="EC282" s="127"/>
      <c r="ED282" s="127"/>
      <c r="EE282" s="127"/>
      <c r="EF282" s="127"/>
      <c r="EG282" s="127"/>
      <c r="EH282" s="127"/>
      <c r="EI282" s="127"/>
      <c r="EJ282" s="127"/>
      <c r="EK282" s="127"/>
      <c r="EL282" s="127"/>
      <c r="EM282" s="127"/>
      <c r="EN282" s="129"/>
      <c r="EO282" s="30">
        <f t="shared" ref="EO282" si="677">EN282/EN281</f>
        <v>0</v>
      </c>
      <c r="EP282" s="129"/>
      <c r="EQ282" s="30">
        <f t="shared" ref="EQ282" si="678">EP282/EP281</f>
        <v>0</v>
      </c>
      <c r="ER282" s="129"/>
      <c r="ES282" s="30">
        <f t="shared" ref="ES282" si="679">ER282/ER281</f>
        <v>0</v>
      </c>
      <c r="ET282" s="129"/>
      <c r="EU282" s="30">
        <f t="shared" ref="EU282" si="680">ET282/ET281</f>
        <v>0</v>
      </c>
      <c r="EV282" s="129"/>
      <c r="EW282" s="30">
        <f t="shared" ref="EW282" si="681">EV282/EV281</f>
        <v>0</v>
      </c>
      <c r="EX282" s="129"/>
      <c r="EY282" s="30">
        <f t="shared" ref="EY282" si="682">EX282/EX281</f>
        <v>0</v>
      </c>
      <c r="EZ282" s="129"/>
      <c r="FA282" s="30">
        <f t="shared" ref="FA282" si="683">EZ282/EZ281</f>
        <v>0</v>
      </c>
      <c r="FB282" s="129"/>
      <c r="FC282" s="30">
        <f t="shared" ref="FC282" si="684">FB282/FB281</f>
        <v>0</v>
      </c>
      <c r="FD282" s="129"/>
      <c r="FE282" s="30">
        <f t="shared" ref="FE282" si="685">FD282/FD281</f>
        <v>0</v>
      </c>
      <c r="FF282" s="129"/>
      <c r="FG282" s="30">
        <f t="shared" ref="FG282" si="686">FF282/FF281</f>
        <v>0</v>
      </c>
      <c r="FH282" s="129"/>
      <c r="FI282" s="30">
        <f t="shared" ref="FI282" si="687">FH282/FH281</f>
        <v>0</v>
      </c>
      <c r="FJ282" s="129"/>
      <c r="FK282" s="30">
        <f t="shared" ref="FK282" si="688">FJ282/FJ281</f>
        <v>0</v>
      </c>
      <c r="FL282" s="129"/>
      <c r="FM282" s="30">
        <f t="shared" ref="FM282" si="689">FL282/FL281</f>
        <v>0</v>
      </c>
      <c r="FN282" s="129"/>
      <c r="FO282" s="30">
        <f t="shared" ref="FO282" si="690">FN282/FN281</f>
        <v>0</v>
      </c>
      <c r="FP282" s="129"/>
      <c r="FQ282" s="30">
        <f t="shared" ref="FQ282" si="691">FP282/FP281</f>
        <v>0</v>
      </c>
      <c r="FR282" s="127"/>
      <c r="FS282" s="127"/>
      <c r="FT282" s="127"/>
      <c r="FU282" s="127"/>
      <c r="FV282" s="127"/>
      <c r="FW282" s="127"/>
      <c r="FX282" s="127"/>
      <c r="FY282" s="127"/>
      <c r="FZ282" s="127"/>
      <c r="GA282" s="127"/>
      <c r="GB282" s="127"/>
      <c r="GC282" s="127"/>
      <c r="GD282" s="127"/>
      <c r="GE282" s="127"/>
      <c r="GF282" s="127"/>
      <c r="GG282" s="127"/>
    </row>
    <row r="283" spans="1:189" ht="14.25" customHeight="1" outlineLevel="2" x14ac:dyDescent="0.3">
      <c r="A283" s="1"/>
      <c r="B283" s="444"/>
      <c r="C283" s="417"/>
      <c r="D283" s="322"/>
      <c r="E283" s="322"/>
      <c r="F283" s="322"/>
      <c r="G283" s="5" t="s">
        <v>411</v>
      </c>
      <c r="H283" s="5"/>
      <c r="I283" s="23"/>
      <c r="J283" s="30"/>
      <c r="K283" s="23"/>
      <c r="L283" s="30"/>
      <c r="M283" s="23"/>
      <c r="N283" s="30"/>
      <c r="O283" s="23"/>
      <c r="P283" s="30"/>
      <c r="Q283" s="23"/>
      <c r="R283" s="30"/>
      <c r="S283" s="23"/>
      <c r="T283" s="30"/>
      <c r="U283" s="23"/>
      <c r="V283" s="30"/>
      <c r="W283" s="23"/>
      <c r="X283" s="30"/>
      <c r="Y283" s="23"/>
      <c r="Z283" s="30"/>
      <c r="AA283" s="23"/>
      <c r="AB283" s="30"/>
      <c r="AC283" s="23"/>
      <c r="AD283" s="30"/>
      <c r="AE283" s="23"/>
      <c r="AF283" s="30"/>
      <c r="AG283" s="23"/>
      <c r="AH283" s="30"/>
      <c r="AI283" s="23"/>
      <c r="AJ283" s="30"/>
      <c r="AK283" s="23"/>
      <c r="AL283" s="30"/>
      <c r="AM283" s="23"/>
      <c r="AN283" s="30"/>
      <c r="AO283" s="23"/>
      <c r="AP283" s="30"/>
      <c r="AQ283" s="23"/>
      <c r="AR283" s="30"/>
      <c r="AS283" s="23"/>
      <c r="AT283" s="30"/>
      <c r="AU283" s="23"/>
      <c r="AV283" s="30"/>
      <c r="AW283" s="23"/>
      <c r="AX283" s="30"/>
      <c r="AY283" s="23"/>
      <c r="AZ283" s="30"/>
      <c r="BA283" s="23"/>
      <c r="BB283" s="30"/>
      <c r="BC283" s="23"/>
      <c r="BD283" s="30"/>
      <c r="BE283" s="23"/>
      <c r="BF283" s="30"/>
      <c r="BG283" s="23"/>
      <c r="BH283" s="30"/>
      <c r="BI283" s="23"/>
      <c r="BJ283" s="30"/>
      <c r="BK283" s="23"/>
      <c r="BL283" s="30"/>
      <c r="BM283" s="28"/>
      <c r="BN283" s="30"/>
      <c r="BO283" s="23"/>
      <c r="BP283" s="30"/>
      <c r="BQ283" s="23"/>
      <c r="BR283" s="30"/>
      <c r="BS283" s="23"/>
      <c r="BT283" s="30"/>
      <c r="BU283" s="128"/>
      <c r="BV283" s="30"/>
      <c r="BW283" s="128"/>
      <c r="BX283" s="30"/>
      <c r="BY283" s="128"/>
      <c r="BZ283" s="30"/>
      <c r="CA283" s="128"/>
      <c r="CB283" s="30"/>
      <c r="CC283" s="128"/>
      <c r="CD283" s="30"/>
      <c r="CE283" s="23"/>
      <c r="CF283" s="30"/>
      <c r="CG283" s="23"/>
      <c r="CH283" s="30"/>
      <c r="CI283" s="23"/>
      <c r="CJ283" s="30"/>
      <c r="CK283" s="23"/>
      <c r="CL283" s="30"/>
      <c r="CM283" s="23"/>
      <c r="CN283" s="30"/>
      <c r="CO283" s="28"/>
      <c r="CP283" s="30"/>
      <c r="CQ283" s="28"/>
      <c r="CR283" s="30"/>
      <c r="CS283" s="129"/>
      <c r="CT283" s="30"/>
      <c r="CU283" s="129"/>
      <c r="CV283" s="30"/>
      <c r="CW283" s="129"/>
      <c r="CX283" s="30"/>
      <c r="CY283" s="129"/>
      <c r="CZ283" s="30"/>
      <c r="DA283" s="129"/>
      <c r="DB283" s="30"/>
      <c r="DC283" s="28">
        <v>11739</v>
      </c>
      <c r="DD283" s="30">
        <f>DC283/DC280</f>
        <v>0.44956341911764708</v>
      </c>
      <c r="DE283" s="28">
        <v>6860</v>
      </c>
      <c r="DF283" s="30">
        <f>DE283/DE280</f>
        <v>0.31621646538213333</v>
      </c>
      <c r="DG283" s="28">
        <v>5731</v>
      </c>
      <c r="DH283" s="30">
        <f>DG283/DG280</f>
        <v>0.28666466586634654</v>
      </c>
      <c r="DI283" s="28">
        <v>4723</v>
      </c>
      <c r="DJ283" s="30">
        <f>DI283/DI280</f>
        <v>0.27793797446007179</v>
      </c>
      <c r="DK283" s="28">
        <v>5518</v>
      </c>
      <c r="DL283" s="30">
        <f>DK283/DK280</f>
        <v>0.23791661277109472</v>
      </c>
      <c r="DM283" s="28">
        <v>6231</v>
      </c>
      <c r="DN283" s="30">
        <f>DM283/DM280</f>
        <v>0.25926850580451877</v>
      </c>
      <c r="DO283" s="28">
        <v>6390</v>
      </c>
      <c r="DP283" s="30">
        <f>DO283/DO280</f>
        <v>0.32084755975095403</v>
      </c>
      <c r="DQ283" s="28">
        <v>6410</v>
      </c>
      <c r="DR283" s="30">
        <f>DQ283/DQ280</f>
        <v>0.25402235079654434</v>
      </c>
      <c r="DS283" s="28">
        <v>4068</v>
      </c>
      <c r="DT283" s="30">
        <f>DS283/DS280</f>
        <v>0.26389879987025622</v>
      </c>
      <c r="DU283" s="196"/>
      <c r="DV283" s="196"/>
      <c r="DW283" s="196"/>
      <c r="DX283" s="196"/>
      <c r="DY283" s="196"/>
      <c r="DZ283" s="196"/>
      <c r="EA283" s="196"/>
      <c r="EB283" s="196"/>
      <c r="EC283" s="196"/>
      <c r="ED283" s="196"/>
      <c r="EE283" s="196"/>
      <c r="EF283" s="196"/>
      <c r="EG283" s="196"/>
      <c r="EH283" s="196"/>
      <c r="EI283" s="196"/>
      <c r="EJ283" s="196"/>
      <c r="EK283" s="196"/>
      <c r="EL283" s="196"/>
      <c r="EM283" s="196"/>
      <c r="EN283" s="28">
        <v>5117</v>
      </c>
      <c r="EO283" s="30">
        <f>EN283/EN280</f>
        <v>0.3002758054104806</v>
      </c>
      <c r="EP283" s="28">
        <v>4523</v>
      </c>
      <c r="EQ283" s="30">
        <f>EP283/EP280</f>
        <v>0.27015888185401982</v>
      </c>
      <c r="ER283" s="28">
        <v>4030</v>
      </c>
      <c r="ES283" s="30">
        <f>ER283/ER280</f>
        <v>0.21080713501072343</v>
      </c>
      <c r="ET283" s="28">
        <v>5871</v>
      </c>
      <c r="EU283" s="30">
        <f>ET283/ET280</f>
        <v>0.24776333558406483</v>
      </c>
      <c r="EV283" s="28">
        <v>2861</v>
      </c>
      <c r="EW283" s="30">
        <f>EV283/EV280</f>
        <v>0.1918717725169338</v>
      </c>
      <c r="EX283" s="28">
        <v>2667</v>
      </c>
      <c r="EY283" s="30">
        <f>EX283/EX280</f>
        <v>0.13195784473801395</v>
      </c>
      <c r="EZ283" s="28">
        <v>3366</v>
      </c>
      <c r="FA283" s="30">
        <f>EZ283/EZ280</f>
        <v>0.12271235873131607</v>
      </c>
      <c r="FB283" s="28">
        <v>1965</v>
      </c>
      <c r="FC283" s="30">
        <f>FB283/FB280</f>
        <v>0.10337752525252525</v>
      </c>
      <c r="FD283" s="28">
        <v>1823</v>
      </c>
      <c r="FE283" s="30">
        <f>FD283/FD280</f>
        <v>9.9022270505160243E-2</v>
      </c>
      <c r="FF283" s="28">
        <v>4615</v>
      </c>
      <c r="FG283" s="30">
        <f>FF283/FF280</f>
        <v>0.27545660737734273</v>
      </c>
      <c r="FH283" s="28">
        <v>3490</v>
      </c>
      <c r="FI283" s="30">
        <f>FH283/FH280</f>
        <v>0.22435073283620469</v>
      </c>
      <c r="FJ283" s="28">
        <v>3403</v>
      </c>
      <c r="FK283" s="30">
        <f>FJ283/FJ280</f>
        <v>0.21294036668543895</v>
      </c>
      <c r="FL283" s="28">
        <v>3177</v>
      </c>
      <c r="FM283" s="30">
        <f>FL283/FL280</f>
        <v>0.1759525919361985</v>
      </c>
      <c r="FN283" s="28">
        <v>2785</v>
      </c>
      <c r="FO283" s="30">
        <f>FN283/FN280</f>
        <v>0.1827547739352976</v>
      </c>
      <c r="FP283" s="28">
        <v>2643</v>
      </c>
      <c r="FQ283" s="30">
        <f>FP283/FP280</f>
        <v>0.19334308705193856</v>
      </c>
      <c r="FR283" s="196"/>
      <c r="FS283" s="196"/>
      <c r="FT283" s="196"/>
      <c r="FU283" s="196"/>
      <c r="FV283" s="196"/>
      <c r="FW283" s="196"/>
      <c r="FX283" s="196" t="s">
        <v>29</v>
      </c>
      <c r="FY283" s="196" t="s">
        <v>29</v>
      </c>
      <c r="FZ283" s="196" t="s">
        <v>29</v>
      </c>
      <c r="GA283" s="196" t="s">
        <v>29</v>
      </c>
      <c r="GB283" s="196" t="s">
        <v>29</v>
      </c>
      <c r="GC283" s="196" t="s">
        <v>29</v>
      </c>
      <c r="GD283" s="196" t="s">
        <v>29</v>
      </c>
      <c r="GE283" s="196" t="s">
        <v>29</v>
      </c>
      <c r="GF283" s="196" t="s">
        <v>29</v>
      </c>
      <c r="GG283" s="196" t="s">
        <v>29</v>
      </c>
    </row>
    <row r="284" spans="1:189" ht="14.25" customHeight="1" outlineLevel="2" x14ac:dyDescent="0.3">
      <c r="A284" s="1"/>
      <c r="B284" s="444"/>
      <c r="C284" s="417"/>
      <c r="D284" s="322"/>
      <c r="E284" s="322"/>
      <c r="F284" s="322"/>
      <c r="G284" s="5" t="s">
        <v>410</v>
      </c>
      <c r="H284" s="5"/>
      <c r="I284" s="23"/>
      <c r="J284" s="30"/>
      <c r="K284" s="23"/>
      <c r="L284" s="30"/>
      <c r="M284" s="23"/>
      <c r="N284" s="30"/>
      <c r="O284" s="23"/>
      <c r="P284" s="30"/>
      <c r="Q284" s="23"/>
      <c r="R284" s="30"/>
      <c r="S284" s="23"/>
      <c r="T284" s="30"/>
      <c r="U284" s="23"/>
      <c r="V284" s="30"/>
      <c r="W284" s="23"/>
      <c r="X284" s="30"/>
      <c r="Y284" s="23"/>
      <c r="Z284" s="30"/>
      <c r="AA284" s="23"/>
      <c r="AB284" s="30"/>
      <c r="AC284" s="23"/>
      <c r="AD284" s="30"/>
      <c r="AE284" s="23"/>
      <c r="AF284" s="30"/>
      <c r="AG284" s="23"/>
      <c r="AH284" s="30"/>
      <c r="AI284" s="23"/>
      <c r="AJ284" s="30"/>
      <c r="AK284" s="23"/>
      <c r="AL284" s="30"/>
      <c r="AM284" s="23"/>
      <c r="AN284" s="30"/>
      <c r="AO284" s="23"/>
      <c r="AP284" s="30"/>
      <c r="AQ284" s="23"/>
      <c r="AR284" s="30"/>
      <c r="AS284" s="23"/>
      <c r="AT284" s="30"/>
      <c r="AU284" s="23"/>
      <c r="AV284" s="30"/>
      <c r="AW284" s="23"/>
      <c r="AX284" s="30"/>
      <c r="AY284" s="23"/>
      <c r="AZ284" s="30"/>
      <c r="BA284" s="23"/>
      <c r="BB284" s="30"/>
      <c r="BC284" s="23"/>
      <c r="BD284" s="30"/>
      <c r="BE284" s="23"/>
      <c r="BF284" s="30"/>
      <c r="BG284" s="23"/>
      <c r="BH284" s="30"/>
      <c r="BI284" s="23"/>
      <c r="BJ284" s="30"/>
      <c r="BK284" s="23"/>
      <c r="BL284" s="30"/>
      <c r="BM284" s="28"/>
      <c r="BN284" s="30"/>
      <c r="BO284" s="23"/>
      <c r="BP284" s="30"/>
      <c r="BQ284" s="23"/>
      <c r="BR284" s="30"/>
      <c r="BS284" s="23"/>
      <c r="BT284" s="30"/>
      <c r="BU284" s="128"/>
      <c r="BV284" s="30"/>
      <c r="BW284" s="128"/>
      <c r="BX284" s="30"/>
      <c r="BY284" s="128"/>
      <c r="BZ284" s="30"/>
      <c r="CA284" s="128"/>
      <c r="CB284" s="30"/>
      <c r="CC284" s="128"/>
      <c r="CD284" s="30"/>
      <c r="CE284" s="23"/>
      <c r="CF284" s="30"/>
      <c r="CG284" s="23"/>
      <c r="CH284" s="30"/>
      <c r="CI284" s="23"/>
      <c r="CJ284" s="30"/>
      <c r="CK284" s="23"/>
      <c r="CL284" s="30"/>
      <c r="CM284" s="23"/>
      <c r="CN284" s="30"/>
      <c r="CO284" s="28"/>
      <c r="CP284" s="30"/>
      <c r="CQ284" s="28"/>
      <c r="CR284" s="30"/>
      <c r="CS284" s="129"/>
      <c r="CT284" s="30"/>
      <c r="CU284" s="129"/>
      <c r="CV284" s="30"/>
      <c r="CW284" s="129"/>
      <c r="CX284" s="30"/>
      <c r="CY284" s="129"/>
      <c r="CZ284" s="30"/>
      <c r="DA284" s="129"/>
      <c r="DB284" s="30"/>
      <c r="DC284" s="28">
        <v>0</v>
      </c>
      <c r="DD284" s="30">
        <f>DC284/DC280</f>
        <v>0</v>
      </c>
      <c r="DE284" s="28">
        <v>0</v>
      </c>
      <c r="DF284" s="30">
        <f>DE284/DE280</f>
        <v>0</v>
      </c>
      <c r="DG284" s="28">
        <v>0</v>
      </c>
      <c r="DH284" s="30">
        <f>DG284/DG280</f>
        <v>0</v>
      </c>
      <c r="DI284" s="28">
        <v>0</v>
      </c>
      <c r="DJ284" s="30">
        <f>DI284/DI280</f>
        <v>0</v>
      </c>
      <c r="DK284" s="28">
        <v>0</v>
      </c>
      <c r="DL284" s="30">
        <f>DK284/DK280</f>
        <v>0</v>
      </c>
      <c r="DM284" s="28">
        <v>0</v>
      </c>
      <c r="DN284" s="30">
        <f>DM284/DM280</f>
        <v>0</v>
      </c>
      <c r="DO284" s="28">
        <v>0</v>
      </c>
      <c r="DP284" s="30">
        <f>DO284/DO280</f>
        <v>0</v>
      </c>
      <c r="DQ284" s="28">
        <v>1776</v>
      </c>
      <c r="DR284" s="30">
        <f>DQ284/DQ280</f>
        <v>7.0381231671554259E-2</v>
      </c>
      <c r="DS284" s="28">
        <v>1491</v>
      </c>
      <c r="DT284" s="30">
        <f>DS284/DS280</f>
        <v>9.6723970158936107E-2</v>
      </c>
      <c r="DU284" s="196"/>
      <c r="DV284" s="196"/>
      <c r="DW284" s="196"/>
      <c r="DX284" s="196"/>
      <c r="DY284" s="196"/>
      <c r="DZ284" s="196"/>
      <c r="EA284" s="196"/>
      <c r="EB284" s="196"/>
      <c r="EC284" s="196"/>
      <c r="ED284" s="196"/>
      <c r="EE284" s="196"/>
      <c r="EF284" s="196"/>
      <c r="EG284" s="196"/>
      <c r="EH284" s="196"/>
      <c r="EI284" s="196"/>
      <c r="EJ284" s="196"/>
      <c r="EK284" s="196"/>
      <c r="EL284" s="196"/>
      <c r="EM284" s="196"/>
      <c r="EN284" s="28">
        <v>1238</v>
      </c>
      <c r="EO284" s="30">
        <f>EN284/EN280</f>
        <v>7.2648318760636113E-2</v>
      </c>
      <c r="EP284" s="28">
        <v>1512</v>
      </c>
      <c r="EQ284" s="30">
        <f>EP284/EP280</f>
        <v>9.0311790706008838E-2</v>
      </c>
      <c r="ER284" s="28">
        <v>1187</v>
      </c>
      <c r="ES284" s="30">
        <f>ER284/ER280</f>
        <v>6.2091332322017051E-2</v>
      </c>
      <c r="ET284" s="28">
        <v>1018</v>
      </c>
      <c r="EU284" s="30">
        <f>ET284/ET280</f>
        <v>4.2960837272113438E-2</v>
      </c>
      <c r="EV284" s="28">
        <v>897</v>
      </c>
      <c r="EW284" s="30">
        <f>EV284/EV280</f>
        <v>6.015693112467306E-2</v>
      </c>
      <c r="EX284" s="28">
        <v>845</v>
      </c>
      <c r="EY284" s="30">
        <f>EX284/EX280</f>
        <v>4.1808915936866066E-2</v>
      </c>
      <c r="EZ284" s="28">
        <v>608</v>
      </c>
      <c r="FA284" s="30">
        <f>EZ284/EZ280</f>
        <v>2.2165512212905577E-2</v>
      </c>
      <c r="FB284" s="28">
        <v>1612</v>
      </c>
      <c r="FC284" s="30">
        <f>FB284/FB280</f>
        <v>8.4806397306397302E-2</v>
      </c>
      <c r="FD284" s="28">
        <v>1978</v>
      </c>
      <c r="FE284" s="30">
        <f>FD284/FD280</f>
        <v>0.10744160782183595</v>
      </c>
      <c r="FF284" s="28">
        <v>1530</v>
      </c>
      <c r="FG284" s="30">
        <f>FF284/FF280</f>
        <v>9.1321475468544827E-2</v>
      </c>
      <c r="FH284" s="28">
        <v>2499</v>
      </c>
      <c r="FI284" s="30">
        <f>FH284/FH280</f>
        <v>0.16064541013113912</v>
      </c>
      <c r="FJ284" s="28">
        <v>3228</v>
      </c>
      <c r="FK284" s="30">
        <f>FJ284/FJ280</f>
        <v>0.2019898629622677</v>
      </c>
      <c r="FL284" s="28">
        <v>4692</v>
      </c>
      <c r="FM284" s="30">
        <f>FL284/FL280</f>
        <v>0.2598582188746123</v>
      </c>
      <c r="FN284" s="28">
        <v>2138</v>
      </c>
      <c r="FO284" s="30">
        <f>FN284/FN280</f>
        <v>0.14029791981101122</v>
      </c>
      <c r="FP284" s="28">
        <v>1630</v>
      </c>
      <c r="FQ284" s="30">
        <f>FP284/FP280</f>
        <v>0.11923920994879297</v>
      </c>
      <c r="FR284" s="196"/>
      <c r="FS284" s="196"/>
      <c r="FT284" s="196"/>
      <c r="FU284" s="196"/>
      <c r="FV284" s="196"/>
      <c r="FW284" s="196"/>
      <c r="FX284" s="196"/>
      <c r="FY284" s="196"/>
      <c r="FZ284" s="196"/>
      <c r="GA284" s="196"/>
      <c r="GB284" s="196"/>
      <c r="GC284" s="196"/>
      <c r="GD284" s="196"/>
      <c r="GE284" s="196"/>
      <c r="GF284" s="196"/>
      <c r="GG284" s="196"/>
    </row>
    <row r="285" spans="1:189" ht="15" customHeight="1" outlineLevel="2" x14ac:dyDescent="0.3">
      <c r="A285" s="1"/>
      <c r="B285" s="444"/>
      <c r="C285" s="417"/>
      <c r="D285" s="301"/>
      <c r="E285" s="301"/>
      <c r="F285" s="301"/>
      <c r="G285" s="5" t="s">
        <v>227</v>
      </c>
      <c r="H285" s="5"/>
      <c r="I285" s="23">
        <f t="shared" si="635"/>
        <v>8581</v>
      </c>
      <c r="J285" s="30">
        <f t="shared" si="636"/>
        <v>0.30586348244519695</v>
      </c>
      <c r="K285" s="23">
        <v>0</v>
      </c>
      <c r="L285" s="30">
        <f t="shared" si="637"/>
        <v>0</v>
      </c>
      <c r="M285" s="23">
        <v>0</v>
      </c>
      <c r="N285" s="30">
        <f t="shared" si="638"/>
        <v>0</v>
      </c>
      <c r="O285" s="23">
        <v>0</v>
      </c>
      <c r="P285" s="30">
        <f t="shared" si="639"/>
        <v>0</v>
      </c>
      <c r="Q285" s="23">
        <v>0</v>
      </c>
      <c r="R285" s="30">
        <f t="shared" si="640"/>
        <v>0</v>
      </c>
      <c r="S285" s="23">
        <v>0</v>
      </c>
      <c r="T285" s="30">
        <f t="shared" si="641"/>
        <v>0</v>
      </c>
      <c r="U285" s="23">
        <v>0</v>
      </c>
      <c r="V285" s="30">
        <f t="shared" si="642"/>
        <v>0</v>
      </c>
      <c r="W285" s="23">
        <v>325</v>
      </c>
      <c r="X285" s="30">
        <f t="shared" si="643"/>
        <v>1.1584387809659598E-2</v>
      </c>
      <c r="Y285" s="23">
        <v>376</v>
      </c>
      <c r="Z285" s="30">
        <f t="shared" si="644"/>
        <v>1.486224751966481E-2</v>
      </c>
      <c r="AA285" s="23">
        <f>1253+2402</f>
        <v>3655</v>
      </c>
      <c r="AB285" s="30">
        <f t="shared" si="645"/>
        <v>0.10367323783860445</v>
      </c>
      <c r="AC285" s="23">
        <f>667+849</f>
        <v>1516</v>
      </c>
      <c r="AD285" s="30">
        <f t="shared" si="646"/>
        <v>0.1071150992722391</v>
      </c>
      <c r="AE285" s="23">
        <f>1245+117</f>
        <v>1362</v>
      </c>
      <c r="AF285" s="30">
        <f t="shared" si="647"/>
        <v>4.0544160985919689E-2</v>
      </c>
      <c r="AG285" s="23">
        <f>1275+72</f>
        <v>1347</v>
      </c>
      <c r="AH285" s="30">
        <f t="shared" si="648"/>
        <v>5.0296852245995297E-2</v>
      </c>
      <c r="AI285" s="23">
        <f>1980+192</f>
        <v>2172</v>
      </c>
      <c r="AJ285" s="30">
        <f t="shared" si="649"/>
        <v>0.10815655811174185</v>
      </c>
      <c r="AK285" s="23">
        <v>1435</v>
      </c>
      <c r="AL285" s="30">
        <f t="shared" si="650"/>
        <v>7.2757694062769357E-2</v>
      </c>
      <c r="AM285" s="23">
        <f>1166+1577</f>
        <v>2743</v>
      </c>
      <c r="AN285" s="30">
        <f t="shared" si="651"/>
        <v>0.12339736380403976</v>
      </c>
      <c r="AO285" s="23">
        <v>2683</v>
      </c>
      <c r="AP285" s="30">
        <f t="shared" si="652"/>
        <v>5.9345277593452775E-2</v>
      </c>
      <c r="AQ285" s="23">
        <f>1728+8</f>
        <v>1736</v>
      </c>
      <c r="AR285" s="30">
        <f t="shared" si="653"/>
        <v>5.6446106324174933E-2</v>
      </c>
      <c r="AS285" s="23">
        <f>1328+192</f>
        <v>1520</v>
      </c>
      <c r="AT285" s="30">
        <f t="shared" si="654"/>
        <v>4.991789819376026E-2</v>
      </c>
      <c r="AU285" s="23">
        <f>1900+282</f>
        <v>2182</v>
      </c>
      <c r="AV285" s="30">
        <f t="shared" si="655"/>
        <v>6.5105176786513508E-2</v>
      </c>
      <c r="AW285" s="23">
        <f>1534+224</f>
        <v>1758</v>
      </c>
      <c r="AX285" s="30">
        <f t="shared" si="619"/>
        <v>6.910105734837467E-2</v>
      </c>
      <c r="AY285" s="23">
        <f>1064+260</f>
        <v>1324</v>
      </c>
      <c r="AZ285" s="30">
        <f t="shared" si="620"/>
        <v>7.2357634714176416E-2</v>
      </c>
      <c r="BA285" s="23">
        <v>1015</v>
      </c>
      <c r="BB285" s="30">
        <f t="shared" si="621"/>
        <v>7.7321551001752115E-2</v>
      </c>
      <c r="BC285" s="23">
        <v>1378</v>
      </c>
      <c r="BD285" s="30">
        <f t="shared" si="622"/>
        <v>9.9912993039443149E-2</v>
      </c>
      <c r="BE285" s="23">
        <f>5422+114</f>
        <v>5536</v>
      </c>
      <c r="BF285" s="30">
        <f t="shared" si="623"/>
        <v>0.26879005632161584</v>
      </c>
      <c r="BG285" s="23">
        <f>629+111</f>
        <v>740</v>
      </c>
      <c r="BH285" s="30">
        <f t="shared" si="624"/>
        <v>4.2928413969137949E-2</v>
      </c>
      <c r="BI285" s="23">
        <f>639+121</f>
        <v>760</v>
      </c>
      <c r="BJ285" s="30">
        <f t="shared" si="625"/>
        <v>5.4119490137435021E-2</v>
      </c>
      <c r="BK285" s="23">
        <f>772+182</f>
        <v>954</v>
      </c>
      <c r="BL285" s="30">
        <f t="shared" si="626"/>
        <v>4.0253164556962026E-2</v>
      </c>
      <c r="BM285" s="23">
        <v>774</v>
      </c>
      <c r="BN285" s="30">
        <f t="shared" si="627"/>
        <v>3.2643077052844673E-2</v>
      </c>
      <c r="BO285" s="23">
        <v>707</v>
      </c>
      <c r="BP285" s="30">
        <f t="shared" si="628"/>
        <v>3.4258855453796581E-2</v>
      </c>
      <c r="BQ285" s="23">
        <f>543+122</f>
        <v>665</v>
      </c>
      <c r="BR285" s="30">
        <f t="shared" si="629"/>
        <v>2.7838245144005357E-2</v>
      </c>
      <c r="BS285" s="23">
        <f>514+81</f>
        <v>595</v>
      </c>
      <c r="BT285" s="30">
        <f t="shared" si="630"/>
        <v>2.8415874683604757E-2</v>
      </c>
      <c r="BU285" s="28">
        <v>717</v>
      </c>
      <c r="BV285" s="30">
        <f t="shared" si="631"/>
        <v>2.9310767721363748E-2</v>
      </c>
      <c r="BW285" s="28">
        <v>696</v>
      </c>
      <c r="BX285" s="30">
        <f t="shared" si="632"/>
        <v>2.8452293352955606E-2</v>
      </c>
      <c r="BY285" s="28">
        <v>787</v>
      </c>
      <c r="BZ285" s="30">
        <f t="shared" si="633"/>
        <v>3.2172348949390889E-2</v>
      </c>
      <c r="CA285" s="28">
        <v>807</v>
      </c>
      <c r="CB285" s="30">
        <f t="shared" si="634"/>
        <v>3.2989943585970079E-2</v>
      </c>
      <c r="CC285" s="28">
        <v>760</v>
      </c>
      <c r="CD285" s="30">
        <f>CC285/CC280</f>
        <v>3.0217486382251201E-2</v>
      </c>
      <c r="CE285" s="28">
        <f>747+120</f>
        <v>867</v>
      </c>
      <c r="CF285" s="30">
        <f>CE285/CE280</f>
        <v>3.229772016092982E-2</v>
      </c>
      <c r="CG285" s="28">
        <v>1022</v>
      </c>
      <c r="CH285" s="30">
        <f>CG285/CG280</f>
        <v>3.6822194199243381E-2</v>
      </c>
      <c r="CI285" s="28">
        <v>1354</v>
      </c>
      <c r="CJ285" s="30">
        <f>CI285/CI280</f>
        <v>4.357060110696357E-2</v>
      </c>
      <c r="CK285" s="28">
        <v>1323</v>
      </c>
      <c r="CL285" s="30">
        <f>CK285/CK280</f>
        <v>4.9710678590215676E-2</v>
      </c>
      <c r="CM285" s="28">
        <v>820</v>
      </c>
      <c r="CN285" s="30">
        <f>CM285/CM280</f>
        <v>2.9517638588912886E-2</v>
      </c>
      <c r="CO285" s="28">
        <v>737</v>
      </c>
      <c r="CP285" s="30">
        <f>CO285/CO280</f>
        <v>3.8665337600335761E-2</v>
      </c>
      <c r="CQ285" s="28">
        <f>853+67</f>
        <v>920</v>
      </c>
      <c r="CR285" s="30">
        <f>CQ285/CQ280</f>
        <v>2.9781173119254177E-2</v>
      </c>
      <c r="CS285" s="28">
        <f>1366+183</f>
        <v>1549</v>
      </c>
      <c r="CT285" s="30">
        <f>CS285/CS280</f>
        <v>9.7507239078433838E-2</v>
      </c>
      <c r="CU285" s="28">
        <f>1599+189</f>
        <v>1788</v>
      </c>
      <c r="CV285" s="30">
        <f>CU285/CU280</f>
        <v>0.11590069358916186</v>
      </c>
      <c r="CW285" s="28">
        <f>1540+320</f>
        <v>1860</v>
      </c>
      <c r="CX285" s="30">
        <f>CW285/CW280</f>
        <v>0.19466248037676609</v>
      </c>
      <c r="CY285" s="28">
        <f>1713+298</f>
        <v>2011</v>
      </c>
      <c r="CZ285" s="30">
        <f>CY285/CY280</f>
        <v>0.13754189179946652</v>
      </c>
      <c r="DA285" s="28">
        <f>1420+263</f>
        <v>1683</v>
      </c>
      <c r="DB285" s="30">
        <f>DA285/DA280</f>
        <v>0.13366690493209435</v>
      </c>
      <c r="DC285" s="28">
        <f>1528+347</f>
        <v>1875</v>
      </c>
      <c r="DD285" s="30">
        <f>DC285/DC280</f>
        <v>7.180606617647059E-2</v>
      </c>
      <c r="DE285" s="28">
        <f>1354+337</f>
        <v>1691</v>
      </c>
      <c r="DF285" s="30">
        <f>DE285/DE280</f>
        <v>7.7947819673642477E-2</v>
      </c>
      <c r="DG285" s="28">
        <f>1566+401</f>
        <v>1967</v>
      </c>
      <c r="DH285" s="30">
        <f>DG285/DG280</f>
        <v>9.8389355742296916E-2</v>
      </c>
      <c r="DI285" s="28">
        <f>1597+338</f>
        <v>1935</v>
      </c>
      <c r="DJ285" s="30">
        <f>DI285/DI280</f>
        <v>0.11387041723062437</v>
      </c>
      <c r="DK285" s="28">
        <f>1767+752</f>
        <v>2519</v>
      </c>
      <c r="DL285" s="30">
        <f>DK285/DK280</f>
        <v>0.10861035657310396</v>
      </c>
      <c r="DM285" s="28">
        <f>1694+839</f>
        <v>2533</v>
      </c>
      <c r="DN285" s="30">
        <f>DM285/DM280</f>
        <v>0.10539674614072317</v>
      </c>
      <c r="DO285" s="28">
        <f>1555+619</f>
        <v>2174</v>
      </c>
      <c r="DP285" s="30">
        <f>DO285/DO280</f>
        <v>0.1091584655553324</v>
      </c>
      <c r="DQ285" s="28">
        <f>1450+1360</f>
        <v>2810</v>
      </c>
      <c r="DR285" s="30">
        <f>DQ285/DQ280</f>
        <v>0.1113576920028533</v>
      </c>
      <c r="DS285" s="28">
        <v>394</v>
      </c>
      <c r="DT285" s="30">
        <f>DS285/DS280</f>
        <v>2.5559519948102499E-2</v>
      </c>
      <c r="DU285" s="127"/>
      <c r="DV285" s="127"/>
      <c r="DW285" s="127"/>
      <c r="DX285" s="127"/>
      <c r="DY285" s="127"/>
      <c r="DZ285" s="127"/>
      <c r="EA285" s="127"/>
      <c r="EB285" s="127"/>
      <c r="EC285" s="127"/>
      <c r="ED285" s="127"/>
      <c r="EE285" s="127"/>
      <c r="EF285" s="127"/>
      <c r="EG285" s="127"/>
      <c r="EH285" s="127"/>
      <c r="EI285" s="127"/>
      <c r="EJ285" s="127"/>
      <c r="EK285" s="127"/>
      <c r="EL285" s="127"/>
      <c r="EM285" s="127"/>
      <c r="EN285" s="28">
        <v>458</v>
      </c>
      <c r="EO285" s="30">
        <f>EN285/EN280</f>
        <v>2.6876357021301568E-2</v>
      </c>
      <c r="EP285" s="28">
        <v>510</v>
      </c>
      <c r="EQ285" s="30">
        <f>EP285/EP280</f>
        <v>3.046231035718552E-2</v>
      </c>
      <c r="ER285" s="28">
        <f>1027+1535</f>
        <v>2562</v>
      </c>
      <c r="ES285" s="30">
        <f>ER285/ER280</f>
        <v>0.13401684364701574</v>
      </c>
      <c r="ET285" s="28">
        <f>669+1684</f>
        <v>2353</v>
      </c>
      <c r="EU285" s="30">
        <f>ET285/ET280</f>
        <v>9.9299459824442937E-2</v>
      </c>
      <c r="EV285" s="28">
        <f>1305+666</f>
        <v>1971</v>
      </c>
      <c r="EW285" s="30">
        <f>EV285/EV280</f>
        <v>0.13218429347461605</v>
      </c>
      <c r="EX285" s="28">
        <f>735+1171</f>
        <v>1906</v>
      </c>
      <c r="EY285" s="30">
        <f>EX285/EX280</f>
        <v>9.4305081391321557E-2</v>
      </c>
      <c r="EZ285" s="28">
        <f>1040+1268</f>
        <v>2308</v>
      </c>
      <c r="FA285" s="30">
        <f>EZ285/EZ280</f>
        <v>8.4141450966095516E-2</v>
      </c>
      <c r="FB285" s="28">
        <f>1437+1961</f>
        <v>3398</v>
      </c>
      <c r="FC285" s="30">
        <f>FB285/FB280</f>
        <v>0.17876683501683502</v>
      </c>
      <c r="FD285" s="28">
        <f>1154+1292</f>
        <v>2446</v>
      </c>
      <c r="FE285" s="30">
        <f>FD285/FD280</f>
        <v>0.13286257468766974</v>
      </c>
      <c r="FF285" s="28">
        <v>0</v>
      </c>
      <c r="FG285" s="30">
        <f>FF285/FF280</f>
        <v>0</v>
      </c>
      <c r="FH285" s="28">
        <v>0</v>
      </c>
      <c r="FI285" s="30">
        <f>FH285/FH280</f>
        <v>0</v>
      </c>
      <c r="FJ285" s="28">
        <v>0</v>
      </c>
      <c r="FK285" s="30">
        <f>FJ285/FJ280</f>
        <v>0</v>
      </c>
      <c r="FL285" s="28">
        <v>0</v>
      </c>
      <c r="FM285" s="30">
        <f>FL285/FL280</f>
        <v>0</v>
      </c>
      <c r="FN285" s="28"/>
      <c r="FO285" s="30">
        <f>FN285/FN280</f>
        <v>0</v>
      </c>
      <c r="FP285" s="28"/>
      <c r="FQ285" s="30">
        <f>FP285/FP280</f>
        <v>0</v>
      </c>
      <c r="FR285" s="127"/>
      <c r="FS285" s="127"/>
      <c r="FT285" s="127"/>
      <c r="FU285" s="127"/>
      <c r="FV285" s="127"/>
      <c r="FW285" s="127"/>
      <c r="FX285" s="127"/>
      <c r="FY285" s="127"/>
      <c r="FZ285" s="127"/>
      <c r="GA285" s="127"/>
      <c r="GB285" s="127"/>
      <c r="GC285" s="127"/>
      <c r="GD285" s="127"/>
      <c r="GE285" s="127"/>
      <c r="GF285" s="127"/>
      <c r="GG285" s="127"/>
    </row>
    <row r="286" spans="1:189" ht="15" customHeight="1" outlineLevel="2" x14ac:dyDescent="0.3">
      <c r="A286" s="1"/>
      <c r="B286" s="444"/>
      <c r="C286" s="417"/>
      <c r="D286" s="322"/>
      <c r="E286" s="322"/>
      <c r="F286" s="322"/>
      <c r="G286" s="5" t="s">
        <v>437</v>
      </c>
      <c r="H286" s="5"/>
      <c r="I286" s="23"/>
      <c r="J286" s="30"/>
      <c r="K286" s="23"/>
      <c r="L286" s="30"/>
      <c r="M286" s="23"/>
      <c r="N286" s="30"/>
      <c r="O286" s="23"/>
      <c r="P286" s="30"/>
      <c r="Q286" s="23"/>
      <c r="R286" s="30"/>
      <c r="S286" s="23"/>
      <c r="T286" s="30"/>
      <c r="U286" s="23"/>
      <c r="V286" s="30"/>
      <c r="W286" s="23"/>
      <c r="X286" s="30"/>
      <c r="Y286" s="23"/>
      <c r="Z286" s="30"/>
      <c r="AA286" s="23"/>
      <c r="AB286" s="30"/>
      <c r="AC286" s="23"/>
      <c r="AD286" s="30"/>
      <c r="AE286" s="23"/>
      <c r="AF286" s="30"/>
      <c r="AG286" s="23"/>
      <c r="AH286" s="30"/>
      <c r="AI286" s="23"/>
      <c r="AJ286" s="30"/>
      <c r="AK286" s="23"/>
      <c r="AL286" s="30"/>
      <c r="AM286" s="23"/>
      <c r="AN286" s="30"/>
      <c r="AO286" s="23"/>
      <c r="AP286" s="30"/>
      <c r="AQ286" s="23"/>
      <c r="AR286" s="30"/>
      <c r="AS286" s="23"/>
      <c r="AT286" s="30"/>
      <c r="AU286" s="23"/>
      <c r="AV286" s="30"/>
      <c r="AW286" s="23"/>
      <c r="AX286" s="30"/>
      <c r="AY286" s="23"/>
      <c r="AZ286" s="30"/>
      <c r="BA286" s="23"/>
      <c r="BB286" s="30"/>
      <c r="BC286" s="23"/>
      <c r="BD286" s="30"/>
      <c r="BE286" s="23"/>
      <c r="BF286" s="30"/>
      <c r="BG286" s="23"/>
      <c r="BH286" s="30"/>
      <c r="BI286" s="23"/>
      <c r="BJ286" s="30"/>
      <c r="BK286" s="23"/>
      <c r="BL286" s="30"/>
      <c r="BM286" s="23"/>
      <c r="BN286" s="30"/>
      <c r="BO286" s="23"/>
      <c r="BP286" s="30"/>
      <c r="BQ286" s="23"/>
      <c r="BR286" s="30"/>
      <c r="BS286" s="23"/>
      <c r="BT286" s="30"/>
      <c r="BU286" s="28"/>
      <c r="BV286" s="30"/>
      <c r="BW286" s="28"/>
      <c r="BX286" s="30"/>
      <c r="BY286" s="28"/>
      <c r="BZ286" s="30"/>
      <c r="CA286" s="28"/>
      <c r="CB286" s="30"/>
      <c r="CC286" s="28"/>
      <c r="CD286" s="30"/>
      <c r="CE286" s="28"/>
      <c r="CF286" s="30"/>
      <c r="CG286" s="28"/>
      <c r="CH286" s="30"/>
      <c r="CI286" s="28"/>
      <c r="CJ286" s="30"/>
      <c r="CK286" s="28"/>
      <c r="CL286" s="30"/>
      <c r="CM286" s="28"/>
      <c r="CN286" s="30"/>
      <c r="CO286" s="28"/>
      <c r="CP286" s="30"/>
      <c r="CQ286" s="28"/>
      <c r="CR286" s="30"/>
      <c r="CS286" s="28"/>
      <c r="CT286" s="30"/>
      <c r="CU286" s="28"/>
      <c r="CV286" s="30"/>
      <c r="CW286" s="28"/>
      <c r="CX286" s="30"/>
      <c r="CY286" s="28"/>
      <c r="CZ286" s="30"/>
      <c r="DA286" s="28"/>
      <c r="DB286" s="30"/>
      <c r="DC286" s="28"/>
      <c r="DD286" s="30"/>
      <c r="DE286" s="28"/>
      <c r="DF286" s="30"/>
      <c r="DG286" s="28"/>
      <c r="DH286" s="30"/>
      <c r="DI286" s="28"/>
      <c r="DJ286" s="30"/>
      <c r="DK286" s="28"/>
      <c r="DL286" s="30"/>
      <c r="DM286" s="28"/>
      <c r="DN286" s="30"/>
      <c r="DO286" s="28"/>
      <c r="DP286" s="30"/>
      <c r="DQ286" s="28"/>
      <c r="DR286" s="30"/>
      <c r="DS286" s="28"/>
      <c r="DT286" s="30"/>
      <c r="DU286" s="196"/>
      <c r="DV286" s="196"/>
      <c r="DW286" s="196"/>
      <c r="DX286" s="196"/>
      <c r="DY286" s="196"/>
      <c r="DZ286" s="196"/>
      <c r="EA286" s="196"/>
      <c r="EB286" s="196"/>
      <c r="EC286" s="196"/>
      <c r="ED286" s="196"/>
      <c r="EE286" s="196"/>
      <c r="EF286" s="196"/>
      <c r="EG286" s="196"/>
      <c r="EH286" s="196"/>
      <c r="EI286" s="196"/>
      <c r="EJ286" s="196"/>
      <c r="EK286" s="196"/>
      <c r="EL286" s="196"/>
      <c r="EM286" s="196"/>
      <c r="EN286" s="28"/>
      <c r="EO286" s="30"/>
      <c r="EP286" s="28"/>
      <c r="EQ286" s="30"/>
      <c r="ER286" s="28"/>
      <c r="ES286" s="30"/>
      <c r="ET286" s="28"/>
      <c r="EU286" s="30"/>
      <c r="EV286" s="28"/>
      <c r="EW286" s="30"/>
      <c r="EX286" s="28"/>
      <c r="EY286" s="30"/>
      <c r="EZ286" s="28"/>
      <c r="FA286" s="30"/>
      <c r="FB286" s="28"/>
      <c r="FC286" s="30"/>
      <c r="FD286" s="28"/>
      <c r="FE286" s="30"/>
      <c r="FF286" s="28"/>
      <c r="FG286" s="30"/>
      <c r="FH286" s="28">
        <v>495</v>
      </c>
      <c r="FI286" s="30">
        <f>FH286/FH280</f>
        <v>3.1820519413731034E-2</v>
      </c>
      <c r="FJ286" s="28">
        <v>455</v>
      </c>
      <c r="FK286" s="30">
        <f>FJ286/FJ280</f>
        <v>2.8471309680245291E-2</v>
      </c>
      <c r="FL286" s="28">
        <v>512</v>
      </c>
      <c r="FM286" s="30">
        <f>FL286/FL280</f>
        <v>2.8356225077536552E-2</v>
      </c>
      <c r="FN286" s="28">
        <v>187</v>
      </c>
      <c r="FO286" s="30">
        <f>FN286/FN280</f>
        <v>1.227114640068246E-2</v>
      </c>
      <c r="FP286" s="28">
        <v>590</v>
      </c>
      <c r="FQ286" s="30">
        <f>FP286/FP280</f>
        <v>4.3160204828090708E-2</v>
      </c>
      <c r="FR286" s="196"/>
      <c r="FS286" s="196"/>
      <c r="FT286" s="196"/>
      <c r="FU286" s="196"/>
      <c r="FV286" s="196"/>
      <c r="FW286" s="196"/>
      <c r="FX286" s="196"/>
      <c r="FY286" s="196"/>
      <c r="FZ286" s="196"/>
      <c r="GA286" s="196"/>
      <c r="GB286" s="196"/>
      <c r="GC286" s="196"/>
      <c r="GD286" s="196"/>
      <c r="GE286" s="196"/>
      <c r="GF286" s="196"/>
      <c r="GG286" s="196"/>
    </row>
    <row r="287" spans="1:189" ht="15" customHeight="1" outlineLevel="2" x14ac:dyDescent="0.3">
      <c r="A287" s="1"/>
      <c r="B287" s="444"/>
      <c r="C287" s="417"/>
      <c r="D287" s="301"/>
      <c r="E287" s="301"/>
      <c r="F287" s="301"/>
      <c r="G287" s="5" t="s">
        <v>423</v>
      </c>
      <c r="H287" s="5"/>
      <c r="I287" s="86">
        <f>I327</f>
        <v>111229</v>
      </c>
      <c r="J287" s="30">
        <f t="shared" si="636"/>
        <v>3.9646765282480843</v>
      </c>
      <c r="K287" s="23">
        <v>13468</v>
      </c>
      <c r="L287" s="30">
        <f t="shared" si="637"/>
        <v>0.40219793346473154</v>
      </c>
      <c r="M287" s="23">
        <v>10263</v>
      </c>
      <c r="N287" s="30">
        <f t="shared" si="638"/>
        <v>0.45601173020527858</v>
      </c>
      <c r="O287" s="23">
        <v>8522</v>
      </c>
      <c r="P287" s="30">
        <f t="shared" si="639"/>
        <v>0.38977314306622757</v>
      </c>
      <c r="Q287" s="23">
        <v>9076</v>
      </c>
      <c r="R287" s="30">
        <f t="shared" si="640"/>
        <v>0.41265799763571881</v>
      </c>
      <c r="S287" s="86">
        <v>8319</v>
      </c>
      <c r="T287" s="30">
        <f t="shared" si="641"/>
        <v>0.45300588107166195</v>
      </c>
      <c r="U287" s="86">
        <v>7614</v>
      </c>
      <c r="V287" s="30">
        <f t="shared" si="642"/>
        <v>0.40718755013637092</v>
      </c>
      <c r="W287" s="86">
        <v>11050</v>
      </c>
      <c r="X287" s="30">
        <f t="shared" si="643"/>
        <v>0.39386918552842631</v>
      </c>
      <c r="Y287" s="86">
        <f>Y327</f>
        <v>10861</v>
      </c>
      <c r="Z287" s="30">
        <f t="shared" si="644"/>
        <v>0.42930550614648799</v>
      </c>
      <c r="AA287" s="86">
        <f>AA327</f>
        <v>9213</v>
      </c>
      <c r="AB287" s="30">
        <f t="shared" si="645"/>
        <v>0.26132463480357399</v>
      </c>
      <c r="AC287" s="86">
        <f>AC327</f>
        <v>9244</v>
      </c>
      <c r="AD287" s="30">
        <f t="shared" si="646"/>
        <v>0.65314774252808594</v>
      </c>
      <c r="AE287" s="86">
        <f>AE327</f>
        <v>7784</v>
      </c>
      <c r="AF287" s="30">
        <f t="shared" si="647"/>
        <v>0.23171494061262762</v>
      </c>
      <c r="AG287" s="86">
        <f>AG327</f>
        <v>5815</v>
      </c>
      <c r="AH287" s="30">
        <f t="shared" si="648"/>
        <v>0.21713154848586685</v>
      </c>
      <c r="AI287" s="86">
        <f>AI327</f>
        <v>4159</v>
      </c>
      <c r="AJ287" s="30">
        <f t="shared" si="649"/>
        <v>0.20710088636589982</v>
      </c>
      <c r="AK287" s="86">
        <f>AK327</f>
        <v>4454</v>
      </c>
      <c r="AL287" s="30">
        <f t="shared" si="650"/>
        <v>0.22582771383663744</v>
      </c>
      <c r="AM287" s="86">
        <f>AM327</f>
        <v>3625</v>
      </c>
      <c r="AN287" s="30">
        <f t="shared" si="651"/>
        <v>0.16307526204507625</v>
      </c>
      <c r="AO287" s="86">
        <f>AO327</f>
        <v>8065</v>
      </c>
      <c r="AP287" s="30">
        <f t="shared" si="652"/>
        <v>0.17838973678389736</v>
      </c>
      <c r="AQ287" s="86">
        <f>AQ327</f>
        <v>4303</v>
      </c>
      <c r="AR287" s="30">
        <f t="shared" si="653"/>
        <v>0.13991220939684604</v>
      </c>
      <c r="AS287" s="86">
        <f>AS327</f>
        <v>3506</v>
      </c>
      <c r="AT287" s="30">
        <f t="shared" si="654"/>
        <v>0.11513957307060756</v>
      </c>
      <c r="AU287" s="86">
        <f>AU327</f>
        <v>3997</v>
      </c>
      <c r="AV287" s="30">
        <f t="shared" si="655"/>
        <v>0.11926003282112486</v>
      </c>
      <c r="AW287" s="86">
        <f>AW327</f>
        <v>2706</v>
      </c>
      <c r="AX287" s="30">
        <f t="shared" si="619"/>
        <v>0.10636374356353917</v>
      </c>
      <c r="AY287" s="86">
        <f>AY327</f>
        <v>2254</v>
      </c>
      <c r="AZ287" s="30">
        <f t="shared" si="620"/>
        <v>0.12318286151491967</v>
      </c>
      <c r="BA287" s="86">
        <f>BA327</f>
        <v>1794</v>
      </c>
      <c r="BB287" s="30">
        <f t="shared" si="621"/>
        <v>0.13666488915974709</v>
      </c>
      <c r="BC287" s="86">
        <f>BC327</f>
        <v>1913</v>
      </c>
      <c r="BD287" s="30">
        <f t="shared" si="622"/>
        <v>0.13870359628770301</v>
      </c>
      <c r="BE287" s="86">
        <f>BE327</f>
        <v>3116</v>
      </c>
      <c r="BF287" s="30">
        <f t="shared" si="623"/>
        <v>0.15129151291512916</v>
      </c>
      <c r="BG287" s="86">
        <f>BG327</f>
        <v>2286</v>
      </c>
      <c r="BH287" s="30">
        <f t="shared" si="624"/>
        <v>0.13261399234249913</v>
      </c>
      <c r="BI287" s="86">
        <f>BI327</f>
        <v>2196</v>
      </c>
      <c r="BJ287" s="30">
        <f t="shared" si="625"/>
        <v>0.15637684255500961</v>
      </c>
      <c r="BK287" s="86">
        <f>BK327</f>
        <v>3434</v>
      </c>
      <c r="BL287" s="30">
        <f t="shared" si="626"/>
        <v>0.1448945147679325</v>
      </c>
      <c r="BM287" s="86">
        <f>BM327</f>
        <v>2357</v>
      </c>
      <c r="BN287" s="30">
        <f t="shared" si="627"/>
        <v>9.9405339293998571E-2</v>
      </c>
      <c r="BO287" s="86">
        <f>BO327</f>
        <v>2740</v>
      </c>
      <c r="BP287" s="30">
        <f t="shared" si="628"/>
        <v>0.13277123612928235</v>
      </c>
      <c r="BQ287" s="86">
        <f>BQ327</f>
        <v>2179</v>
      </c>
      <c r="BR287" s="30">
        <f t="shared" si="629"/>
        <v>9.1217347622237113E-2</v>
      </c>
      <c r="BS287" s="86">
        <f>BS327</f>
        <v>2449</v>
      </c>
      <c r="BT287" s="30">
        <f t="shared" si="630"/>
        <v>0.11695878504226563</v>
      </c>
      <c r="BU287" s="86">
        <f>BU327</f>
        <v>2613</v>
      </c>
      <c r="BV287" s="30">
        <f t="shared" si="631"/>
        <v>0.1068187392690704</v>
      </c>
      <c r="BW287" s="86">
        <f>BW327</f>
        <v>2628</v>
      </c>
      <c r="BX287" s="30">
        <f t="shared" si="632"/>
        <v>0.10743193524650478</v>
      </c>
      <c r="BY287" s="86">
        <f>BY327</f>
        <v>2731</v>
      </c>
      <c r="BZ287" s="30">
        <f t="shared" si="633"/>
        <v>0.11164254762488758</v>
      </c>
      <c r="CA287" s="86">
        <f>CA327</f>
        <v>3222</v>
      </c>
      <c r="CB287" s="30">
        <f t="shared" si="634"/>
        <v>0.13171449595290655</v>
      </c>
      <c r="CC287" s="86">
        <f>CC327</f>
        <v>3897</v>
      </c>
      <c r="CD287" s="30">
        <f>CC287/CC280</f>
        <v>0.15494413741004334</v>
      </c>
      <c r="CE287" s="86">
        <f>CE327</f>
        <v>2610</v>
      </c>
      <c r="CF287" s="30">
        <f>CE287/CE280</f>
        <v>9.7228430934286986E-2</v>
      </c>
      <c r="CG287" s="86">
        <f>CG327</f>
        <v>2283</v>
      </c>
      <c r="CH287" s="30">
        <f>CG287/CG280</f>
        <v>8.2255449468564223E-2</v>
      </c>
      <c r="CI287" s="86">
        <v>2254</v>
      </c>
      <c r="CJ287" s="30">
        <f>CI287/CI280</f>
        <v>7.2531857381902431E-2</v>
      </c>
      <c r="CK287" s="86">
        <v>1709</v>
      </c>
      <c r="CL287" s="30">
        <f>CK287/CK280</f>
        <v>6.4214323288494773E-2</v>
      </c>
      <c r="CM287" s="86">
        <v>2248</v>
      </c>
      <c r="CN287" s="30">
        <f>CM287/CM280</f>
        <v>8.0921526277897768E-2</v>
      </c>
      <c r="CO287" s="86">
        <f>CO327</f>
        <v>1245</v>
      </c>
      <c r="CP287" s="30">
        <f>CO287/CO280</f>
        <v>6.5316615077907772E-2</v>
      </c>
      <c r="CQ287" s="86">
        <f>CQ327</f>
        <v>1362</v>
      </c>
      <c r="CR287" s="30">
        <f>CQ287/CQ280</f>
        <v>4.4089084552634987E-2</v>
      </c>
      <c r="CS287" s="86">
        <f>CS327</f>
        <v>1595</v>
      </c>
      <c r="CT287" s="30">
        <f>CS287/CS280</f>
        <v>0.10040287045197029</v>
      </c>
      <c r="CU287" s="86">
        <f>CU327</f>
        <v>1644</v>
      </c>
      <c r="CV287" s="30">
        <f>CU287/CU280</f>
        <v>0.10656640954171258</v>
      </c>
      <c r="CW287" s="86">
        <f>CW327</f>
        <v>1159</v>
      </c>
      <c r="CX287" s="30">
        <f>CW287/CW280</f>
        <v>0.12129774986917843</v>
      </c>
      <c r="CY287" s="86">
        <f>CY327</f>
        <v>1066</v>
      </c>
      <c r="CZ287" s="30">
        <f>CY287/CY280</f>
        <v>7.2908829765405928E-2</v>
      </c>
      <c r="DA287" s="86">
        <f>DA327</f>
        <v>1213</v>
      </c>
      <c r="DB287" s="30">
        <f>DA287/DA280</f>
        <v>9.6338654594551668E-2</v>
      </c>
      <c r="DC287" s="86">
        <f>DC327</f>
        <v>1058</v>
      </c>
      <c r="DD287" s="30">
        <f>DC287/DC280</f>
        <v>4.0517769607843139E-2</v>
      </c>
      <c r="DE287" s="86">
        <f>DE327</f>
        <v>1208</v>
      </c>
      <c r="DF287" s="30">
        <f>DE287/DE280</f>
        <v>5.5683599151839215E-2</v>
      </c>
      <c r="DG287" s="86">
        <f>DG327</f>
        <v>1433</v>
      </c>
      <c r="DH287" s="30">
        <f>DG287/DG280</f>
        <v>7.1678671468587432E-2</v>
      </c>
      <c r="DI287" s="86">
        <f>DI327</f>
        <v>1261</v>
      </c>
      <c r="DJ287" s="30">
        <f>DI287/DI280</f>
        <v>7.4207026422644623E-2</v>
      </c>
      <c r="DK287" s="86">
        <f>DK327</f>
        <v>1291</v>
      </c>
      <c r="DL287" s="30">
        <f>DK287/DK280</f>
        <v>5.5663346699435172E-2</v>
      </c>
      <c r="DM287" s="86">
        <f>DM327</f>
        <v>954</v>
      </c>
      <c r="DN287" s="30">
        <f>DM287/DM280</f>
        <v>3.9695418799151165E-2</v>
      </c>
      <c r="DO287" s="86">
        <f>DO327</f>
        <v>691</v>
      </c>
      <c r="DP287" s="30">
        <f>DO287/DO280</f>
        <v>3.4695722032536652E-2</v>
      </c>
      <c r="DQ287" s="86">
        <f>DQ327</f>
        <v>806</v>
      </c>
      <c r="DR287" s="30">
        <f>DQ287/DQ285</f>
        <v>0.28683274021352312</v>
      </c>
      <c r="DS287" s="86">
        <f>DS327</f>
        <v>730</v>
      </c>
      <c r="DT287" s="30">
        <f>DS287/DS280</f>
        <v>4.7356470969834578E-2</v>
      </c>
      <c r="DU287" s="127"/>
      <c r="DV287" s="127"/>
      <c r="DW287" s="127"/>
      <c r="DX287" s="127"/>
      <c r="DY287" s="127"/>
      <c r="DZ287" s="127"/>
      <c r="EA287" s="127"/>
      <c r="EB287" s="127"/>
      <c r="EC287" s="127"/>
      <c r="ED287" s="127"/>
      <c r="EE287" s="127"/>
      <c r="EF287" s="127"/>
      <c r="EG287" s="127"/>
      <c r="EH287" s="127"/>
      <c r="EI287" s="127"/>
      <c r="EJ287" s="127"/>
      <c r="EK287" s="127"/>
      <c r="EL287" s="127"/>
      <c r="EM287" s="127"/>
      <c r="EN287" s="86">
        <v>853</v>
      </c>
      <c r="EO287" s="30">
        <f>EN287/EN280</f>
        <v>5.0055747902118419E-2</v>
      </c>
      <c r="EP287" s="86">
        <v>660</v>
      </c>
      <c r="EQ287" s="30">
        <f>EP287/EP280</f>
        <v>3.9421813403416557E-2</v>
      </c>
      <c r="ER287" s="86">
        <f>ER327</f>
        <v>495</v>
      </c>
      <c r="ES287" s="30">
        <f>ER287/ER280</f>
        <v>2.5893184076999528E-2</v>
      </c>
      <c r="ET287" s="86">
        <f>ET327</f>
        <v>508</v>
      </c>
      <c r="EU287" s="30">
        <f>ET287/ET280</f>
        <v>2.1438217420661716E-2</v>
      </c>
      <c r="EV287" s="86">
        <f>EV327</f>
        <v>580</v>
      </c>
      <c r="EW287" s="30">
        <f>EV287/EV280</f>
        <v>3.8897458252296964E-2</v>
      </c>
      <c r="EX287" s="86">
        <f>EX327</f>
        <v>545</v>
      </c>
      <c r="EY287" s="30">
        <f>EX287/EX280</f>
        <v>2.6965513829102963E-2</v>
      </c>
      <c r="EZ287" s="86">
        <f>EZ327</f>
        <v>490</v>
      </c>
      <c r="FA287" s="30">
        <f>EZ287/EZ280</f>
        <v>1.7863652934742982E-2</v>
      </c>
      <c r="FB287" s="86">
        <f>FB327</f>
        <v>843</v>
      </c>
      <c r="FC287" s="30">
        <f>FB287/FB280</f>
        <v>4.4349747474747472E-2</v>
      </c>
      <c r="FD287" s="86">
        <f>FD327</f>
        <v>480</v>
      </c>
      <c r="FE287" s="30">
        <f>FD287/FD280</f>
        <v>2.6072786529060293E-2</v>
      </c>
      <c r="FF287" s="86">
        <f>FF327</f>
        <v>450</v>
      </c>
      <c r="FG287" s="30">
        <f>FF287/FF280</f>
        <v>2.6859257490748478E-2</v>
      </c>
      <c r="FH287" s="86">
        <f>FH327</f>
        <v>480</v>
      </c>
      <c r="FI287" s="30">
        <f>FH287/FH280</f>
        <v>3.0856261249678579E-2</v>
      </c>
      <c r="FJ287" s="86">
        <f>FJ327</f>
        <v>419</v>
      </c>
      <c r="FK287" s="30">
        <f>FJ287/FJ280</f>
        <v>2.6218634628621489E-2</v>
      </c>
      <c r="FL287" s="86">
        <f>FL327</f>
        <v>495</v>
      </c>
      <c r="FM287" s="30">
        <f>FL287/FL280</f>
        <v>2.7414709791758973E-2</v>
      </c>
      <c r="FN287" s="86">
        <v>479</v>
      </c>
      <c r="FO287" s="30">
        <f>FN287/FN280</f>
        <v>3.1432508694796246E-2</v>
      </c>
      <c r="FP287" s="86">
        <v>317</v>
      </c>
      <c r="FQ287" s="30">
        <f>FP287/FP280</f>
        <v>2.3189465983906365E-2</v>
      </c>
      <c r="FR287" s="127"/>
      <c r="FS287" s="127"/>
      <c r="FT287" s="127"/>
      <c r="FU287" s="127"/>
      <c r="FV287" s="127"/>
      <c r="FW287" s="127"/>
      <c r="FX287" s="127"/>
      <c r="FY287" s="127"/>
      <c r="FZ287" s="127"/>
      <c r="GA287" s="127"/>
      <c r="GB287" s="127"/>
      <c r="GC287" s="127"/>
      <c r="GD287" s="127"/>
      <c r="GE287" s="127"/>
      <c r="GF287" s="127"/>
      <c r="GG287" s="127"/>
    </row>
    <row r="288" spans="1:189" ht="11.25" hidden="1" customHeight="1" outlineLevel="2" x14ac:dyDescent="0.3">
      <c r="A288" s="1"/>
      <c r="B288" s="444"/>
      <c r="C288" s="417"/>
      <c r="D288" s="301"/>
      <c r="E288" s="301"/>
      <c r="F288" s="301"/>
      <c r="G288" s="5" t="s">
        <v>228</v>
      </c>
      <c r="H288" s="130"/>
      <c r="I288" s="283">
        <f>AVERAGE(AE288:AH288)</f>
        <v>0.70355000000000001</v>
      </c>
      <c r="J288" s="281"/>
      <c r="K288" s="327"/>
      <c r="L288" s="281"/>
      <c r="M288" s="327"/>
      <c r="N288" s="281"/>
      <c r="O288" s="327"/>
      <c r="P288" s="281"/>
      <c r="Q288" s="327"/>
      <c r="R288" s="281"/>
      <c r="S288" s="327">
        <v>0.3</v>
      </c>
      <c r="T288" s="281"/>
      <c r="U288" s="327">
        <v>0.33</v>
      </c>
      <c r="V288" s="281"/>
      <c r="W288" s="327">
        <v>0.38</v>
      </c>
      <c r="X288" s="281"/>
      <c r="Y288" s="327">
        <v>0.36</v>
      </c>
      <c r="Z288" s="281"/>
      <c r="AA288" s="327"/>
      <c r="AB288" s="281"/>
      <c r="AC288" s="327"/>
      <c r="AD288" s="281"/>
      <c r="AE288" s="283">
        <v>0.72699999999999998</v>
      </c>
      <c r="AF288" s="281"/>
      <c r="AG288" s="283">
        <v>0.68010000000000004</v>
      </c>
      <c r="AH288" s="281"/>
      <c r="AI288" s="283">
        <v>0.77800000000000002</v>
      </c>
      <c r="AJ288" s="281"/>
      <c r="AK288" s="283">
        <v>0.76200000000000001</v>
      </c>
      <c r="AL288" s="281"/>
      <c r="AM288" s="283">
        <v>0.74099999999999999</v>
      </c>
      <c r="AN288" s="281"/>
      <c r="AO288" s="283">
        <v>0.68500000000000005</v>
      </c>
      <c r="AP288" s="281"/>
      <c r="AQ288" s="283">
        <v>0.63600000000000001</v>
      </c>
      <c r="AR288" s="281"/>
      <c r="AS288" s="283">
        <v>0.61799999999999999</v>
      </c>
      <c r="AT288" s="281"/>
      <c r="AU288" s="283">
        <v>0.65</v>
      </c>
      <c r="AV288" s="281"/>
      <c r="AW288" s="283">
        <v>0.67100000000000004</v>
      </c>
      <c r="AX288" s="281"/>
      <c r="AY288" s="283">
        <v>0.66800000000000004</v>
      </c>
      <c r="AZ288" s="281"/>
      <c r="BA288" s="283">
        <v>0.66300000000000003</v>
      </c>
      <c r="BB288" s="281"/>
      <c r="BC288" s="283">
        <v>0.69899999999999995</v>
      </c>
      <c r="BD288" s="281"/>
      <c r="BE288" s="283">
        <v>0.59</v>
      </c>
      <c r="BF288" s="281"/>
      <c r="BG288" s="283">
        <v>0.59</v>
      </c>
      <c r="BH288" s="281"/>
      <c r="BI288" s="283">
        <v>0.54900000000000004</v>
      </c>
      <c r="BJ288" s="281"/>
      <c r="BK288" s="283">
        <v>0.52400000000000002</v>
      </c>
      <c r="BL288" s="281"/>
      <c r="BM288" s="283">
        <v>0.54</v>
      </c>
      <c r="BN288" s="281"/>
      <c r="BO288" s="283">
        <v>0.54</v>
      </c>
      <c r="BP288" s="281"/>
      <c r="BQ288" s="283">
        <v>0.56999999999999995</v>
      </c>
      <c r="BR288" s="281"/>
      <c r="BS288" s="343">
        <v>0.56999999999999995</v>
      </c>
      <c r="BT288" s="281"/>
      <c r="BU288" s="343">
        <v>0.56999999999999995</v>
      </c>
      <c r="BV288" s="281"/>
      <c r="BW288" s="343"/>
      <c r="BX288" s="281"/>
      <c r="BY288" s="343"/>
      <c r="BZ288" s="281"/>
      <c r="CA288" s="343"/>
      <c r="CB288" s="281"/>
      <c r="CC288" s="343"/>
      <c r="CD288" s="281"/>
      <c r="CE288" s="343"/>
      <c r="CF288" s="281"/>
      <c r="CG288" s="343"/>
      <c r="CH288" s="281"/>
      <c r="CI288" s="343"/>
      <c r="CJ288" s="281"/>
      <c r="CK288" s="343"/>
      <c r="CL288" s="281"/>
      <c r="CM288" s="343"/>
      <c r="CN288" s="281"/>
      <c r="CO288" s="343"/>
      <c r="CP288" s="281"/>
      <c r="CQ288" s="343"/>
      <c r="CR288" s="281"/>
      <c r="CS288" s="343"/>
      <c r="CT288" s="281"/>
      <c r="CU288" s="343"/>
      <c r="CV288" s="281"/>
      <c r="CW288" s="343"/>
      <c r="CX288" s="281"/>
      <c r="CY288" s="343"/>
      <c r="CZ288" s="281"/>
      <c r="DA288" s="343"/>
      <c r="DB288" s="281"/>
      <c r="DC288" s="343"/>
      <c r="DD288" s="281"/>
      <c r="DE288" s="343"/>
      <c r="DF288" s="281"/>
      <c r="DG288" s="343"/>
      <c r="DH288" s="281"/>
      <c r="DI288" s="343"/>
      <c r="DJ288" s="281"/>
      <c r="DK288" s="343"/>
      <c r="DL288" s="281"/>
      <c r="DM288" s="343"/>
      <c r="DN288" s="281"/>
      <c r="DO288" s="343"/>
      <c r="DP288" s="281"/>
      <c r="DQ288" s="343"/>
      <c r="DR288" s="281"/>
      <c r="DS288" s="343"/>
      <c r="DT288" s="281"/>
      <c r="DU288" s="127"/>
      <c r="DV288" s="127"/>
      <c r="DW288" s="127"/>
      <c r="DX288" s="127"/>
      <c r="DY288" s="127"/>
      <c r="DZ288" s="127"/>
      <c r="EA288" s="127"/>
      <c r="EB288" s="127"/>
      <c r="EC288" s="127"/>
      <c r="ED288" s="127"/>
      <c r="EE288" s="127"/>
      <c r="EF288" s="127"/>
      <c r="EG288" s="127"/>
      <c r="EH288" s="127"/>
      <c r="EI288" s="127"/>
      <c r="EJ288" s="127"/>
      <c r="EK288" s="127"/>
      <c r="EL288" s="127"/>
      <c r="EM288" s="127"/>
      <c r="EN288" s="343"/>
      <c r="EO288" s="281"/>
      <c r="EP288" s="343"/>
      <c r="EQ288" s="281"/>
      <c r="ER288" s="343"/>
      <c r="ES288" s="281"/>
      <c r="ET288" s="343"/>
      <c r="EU288" s="281"/>
      <c r="EV288" s="343"/>
      <c r="EW288" s="281"/>
      <c r="EX288" s="343"/>
      <c r="EY288" s="281"/>
      <c r="EZ288" s="343"/>
      <c r="FA288" s="281"/>
      <c r="FB288" s="343"/>
      <c r="FC288" s="281"/>
      <c r="FD288" s="343"/>
      <c r="FE288" s="281"/>
      <c r="FF288" s="343"/>
      <c r="FG288" s="281"/>
      <c r="FH288" s="343"/>
      <c r="FI288" s="281"/>
      <c r="FJ288" s="343"/>
      <c r="FK288" s="281"/>
      <c r="FL288" s="343"/>
      <c r="FM288" s="281"/>
      <c r="FN288" s="343"/>
      <c r="FO288" s="281"/>
      <c r="FP288" s="343"/>
      <c r="FQ288" s="281"/>
      <c r="FR288" s="127"/>
      <c r="FS288" s="127"/>
      <c r="FT288" s="127"/>
      <c r="FU288" s="127"/>
      <c r="FV288" s="127"/>
      <c r="FW288" s="127"/>
      <c r="FX288" s="127"/>
      <c r="FY288" s="127"/>
      <c r="FZ288" s="127"/>
      <c r="GA288" s="127"/>
      <c r="GB288" s="127"/>
      <c r="GC288" s="127"/>
      <c r="GD288" s="127"/>
      <c r="GE288" s="127"/>
      <c r="GF288" s="127"/>
      <c r="GG288" s="127"/>
    </row>
    <row r="289" spans="1:189" ht="12" hidden="1" customHeight="1" outlineLevel="2" x14ac:dyDescent="0.3">
      <c r="A289" s="1"/>
      <c r="B289" s="445"/>
      <c r="C289" s="418"/>
      <c r="D289" s="302"/>
      <c r="E289" s="302"/>
      <c r="F289" s="302"/>
      <c r="G289" s="5" t="s">
        <v>229</v>
      </c>
      <c r="H289" s="70"/>
      <c r="I289" s="21">
        <f t="shared" ref="I289:J289" si="692">AVERAGE(AG289,AE289)</f>
        <v>3.25</v>
      </c>
      <c r="J289" s="21">
        <f t="shared" si="692"/>
        <v>5.0900000000000001E-2</v>
      </c>
      <c r="K289" s="327"/>
      <c r="L289" s="281"/>
      <c r="M289" s="327"/>
      <c r="N289" s="281"/>
      <c r="O289" s="327"/>
      <c r="P289" s="281"/>
      <c r="Q289" s="327"/>
      <c r="R289" s="281"/>
      <c r="S289" s="327"/>
      <c r="T289" s="281"/>
      <c r="U289" s="327"/>
      <c r="V289" s="281"/>
      <c r="W289" s="327"/>
      <c r="X289" s="281"/>
      <c r="Y289" s="327"/>
      <c r="Z289" s="281"/>
      <c r="AA289" s="327"/>
      <c r="AB289" s="281"/>
      <c r="AC289" s="327"/>
      <c r="AD289" s="281"/>
      <c r="AE289" s="131">
        <v>3.2</v>
      </c>
      <c r="AF289" s="82">
        <v>5.9799999999999999E-2</v>
      </c>
      <c r="AG289" s="131">
        <v>3.3</v>
      </c>
      <c r="AH289" s="82">
        <v>4.2000000000000003E-2</v>
      </c>
      <c r="AI289" s="131">
        <v>3.6</v>
      </c>
      <c r="AJ289" s="65">
        <v>1.6E-2</v>
      </c>
      <c r="AK289" s="131">
        <v>3.8</v>
      </c>
      <c r="AL289" s="65">
        <v>1.4E-2</v>
      </c>
      <c r="AM289" s="131">
        <v>3.8</v>
      </c>
      <c r="AN289" s="65">
        <v>1.2E-2</v>
      </c>
      <c r="AO289" s="131">
        <v>3.9</v>
      </c>
      <c r="AP289" s="65">
        <v>1.0999999999999999E-2</v>
      </c>
      <c r="AQ289" s="131">
        <v>3.9</v>
      </c>
      <c r="AR289" s="65">
        <v>0.01</v>
      </c>
      <c r="AS289" s="131">
        <v>3.7</v>
      </c>
      <c r="AT289" s="65">
        <v>8.9999999999999993E-3</v>
      </c>
      <c r="AU289" s="131">
        <v>3.8</v>
      </c>
      <c r="AV289" s="65">
        <v>8.9999999999999993E-3</v>
      </c>
      <c r="AW289" s="131">
        <v>3.8</v>
      </c>
      <c r="AX289" s="65">
        <v>1.0999999999999999E-2</v>
      </c>
      <c r="AY289" s="131">
        <v>3.6</v>
      </c>
      <c r="AZ289" s="65">
        <v>0.01</v>
      </c>
      <c r="BA289" s="131">
        <v>4.7</v>
      </c>
      <c r="BB289" s="65">
        <v>8.9999999999999993E-3</v>
      </c>
      <c r="BC289" s="131">
        <v>4.0999999999999996</v>
      </c>
      <c r="BD289" s="65">
        <v>1.2999999999999999E-2</v>
      </c>
      <c r="BE289" s="131">
        <v>3.8</v>
      </c>
      <c r="BF289" s="65">
        <v>8.9999999999999993E-3</v>
      </c>
      <c r="BG289" s="131">
        <v>3.9</v>
      </c>
      <c r="BH289" s="65">
        <v>0.01</v>
      </c>
      <c r="BI289" s="131">
        <v>3.6</v>
      </c>
      <c r="BJ289" s="65">
        <v>8.0000000000000002E-3</v>
      </c>
      <c r="BK289" s="131">
        <v>3.6</v>
      </c>
      <c r="BL289" s="65">
        <v>0.01</v>
      </c>
      <c r="BM289" s="131">
        <v>3.9</v>
      </c>
      <c r="BN289" s="65">
        <v>0.01</v>
      </c>
      <c r="BO289" s="131">
        <v>3.9</v>
      </c>
      <c r="BP289" s="65">
        <v>0.01</v>
      </c>
      <c r="BQ289" s="131">
        <v>3.7</v>
      </c>
      <c r="BR289" s="65">
        <v>1.2E-2</v>
      </c>
      <c r="BS289" s="132">
        <v>3.7</v>
      </c>
      <c r="BT289" s="133">
        <v>1.2E-2</v>
      </c>
      <c r="BU289" s="132"/>
      <c r="BV289" s="133"/>
      <c r="BW289" s="132"/>
      <c r="BX289" s="133"/>
      <c r="BY289" s="132"/>
      <c r="BZ289" s="133"/>
      <c r="CA289" s="132"/>
      <c r="CB289" s="133"/>
      <c r="CC289" s="132"/>
      <c r="CD289" s="133"/>
      <c r="CE289" s="132"/>
      <c r="CF289" s="133"/>
      <c r="CG289" s="132"/>
      <c r="CH289" s="133"/>
      <c r="CI289" s="132"/>
      <c r="CJ289" s="133"/>
      <c r="CK289" s="132"/>
      <c r="CL289" s="133"/>
      <c r="CM289" s="132"/>
      <c r="CN289" s="133"/>
      <c r="CO289" s="132"/>
      <c r="CP289" s="133"/>
      <c r="CQ289" s="132"/>
      <c r="CR289" s="133"/>
      <c r="CS289" s="132"/>
      <c r="CT289" s="133"/>
      <c r="CU289" s="132"/>
      <c r="CV289" s="133"/>
      <c r="CW289" s="132"/>
      <c r="CX289" s="133"/>
      <c r="CY289" s="132"/>
      <c r="CZ289" s="133"/>
      <c r="DA289" s="132"/>
      <c r="DB289" s="133"/>
      <c r="DC289" s="132"/>
      <c r="DD289" s="133"/>
      <c r="DE289" s="132"/>
      <c r="DF289" s="133"/>
      <c r="DG289" s="132"/>
      <c r="DH289" s="133"/>
      <c r="DI289" s="132"/>
      <c r="DJ289" s="133"/>
      <c r="DK289" s="132"/>
      <c r="DL289" s="133"/>
      <c r="DM289" s="132"/>
      <c r="DN289" s="133"/>
      <c r="DO289" s="132"/>
      <c r="DP289" s="133"/>
      <c r="DQ289" s="132"/>
      <c r="DR289" s="133"/>
      <c r="DS289" s="132"/>
      <c r="DT289" s="133"/>
      <c r="DU289" s="134"/>
      <c r="DV289" s="134"/>
      <c r="DW289" s="134"/>
      <c r="DX289" s="134"/>
      <c r="DY289" s="134"/>
      <c r="DZ289" s="134"/>
      <c r="EA289" s="134"/>
      <c r="EB289" s="134"/>
      <c r="EC289" s="134"/>
      <c r="ED289" s="134"/>
      <c r="EE289" s="134"/>
      <c r="EF289" s="134"/>
      <c r="EG289" s="134"/>
      <c r="EH289" s="134"/>
      <c r="EI289" s="134"/>
      <c r="EJ289" s="134"/>
      <c r="EK289" s="134"/>
      <c r="EL289" s="134"/>
      <c r="EM289" s="134"/>
      <c r="EN289" s="132"/>
      <c r="EO289" s="133"/>
      <c r="EP289" s="132"/>
      <c r="EQ289" s="133"/>
      <c r="ER289" s="132"/>
      <c r="ES289" s="133"/>
      <c r="ET289" s="132"/>
      <c r="EU289" s="133"/>
      <c r="EV289" s="132"/>
      <c r="EW289" s="133"/>
      <c r="EX289" s="132"/>
      <c r="EY289" s="133"/>
      <c r="EZ289" s="132"/>
      <c r="FA289" s="133"/>
      <c r="FB289" s="132"/>
      <c r="FC289" s="133"/>
      <c r="FD289" s="132"/>
      <c r="FE289" s="133"/>
      <c r="FF289" s="132"/>
      <c r="FG289" s="133"/>
      <c r="FH289" s="132"/>
      <c r="FI289" s="133"/>
      <c r="FJ289" s="132"/>
      <c r="FK289" s="133"/>
      <c r="FL289" s="132"/>
      <c r="FM289" s="133"/>
      <c r="FN289" s="132"/>
      <c r="FO289" s="133"/>
      <c r="FP289" s="132"/>
      <c r="FQ289" s="133"/>
      <c r="FR289" s="134"/>
      <c r="FS289" s="134"/>
      <c r="FT289" s="134"/>
      <c r="FU289" s="134"/>
      <c r="FV289" s="134"/>
      <c r="FW289" s="134"/>
      <c r="FX289" s="134"/>
      <c r="FY289" s="134"/>
      <c r="FZ289" s="134"/>
      <c r="GA289" s="134"/>
      <c r="GB289" s="134"/>
      <c r="GC289" s="134"/>
      <c r="GD289" s="134"/>
      <c r="GE289" s="134"/>
      <c r="GF289" s="134"/>
      <c r="GG289" s="134"/>
    </row>
    <row r="290" spans="1:189" ht="8.25" customHeight="1" outlineLevel="1" x14ac:dyDescent="0.3">
      <c r="A290" s="1"/>
      <c r="B290" s="185"/>
      <c r="C290" s="18"/>
      <c r="D290" s="18"/>
      <c r="E290" s="18"/>
      <c r="F290" s="18"/>
      <c r="G290" s="3"/>
      <c r="H290" s="3"/>
      <c r="I290" s="19"/>
      <c r="J290" s="20"/>
      <c r="K290" s="19"/>
      <c r="L290" s="20"/>
      <c r="M290" s="19"/>
      <c r="N290" s="20"/>
      <c r="O290" s="19"/>
      <c r="P290" s="20"/>
      <c r="Q290" s="19"/>
      <c r="R290" s="20"/>
      <c r="S290" s="19"/>
      <c r="T290" s="20"/>
      <c r="U290" s="19"/>
      <c r="V290" s="20"/>
      <c r="W290" s="19"/>
      <c r="X290" s="20"/>
      <c r="Y290" s="19"/>
      <c r="Z290" s="20"/>
      <c r="AA290" s="19"/>
      <c r="AB290" s="20"/>
      <c r="AC290" s="19"/>
      <c r="AD290" s="20"/>
      <c r="AE290" s="19"/>
      <c r="AF290" s="20"/>
      <c r="AG290" s="19"/>
      <c r="AH290" s="20"/>
      <c r="AI290" s="19"/>
      <c r="AJ290" s="20"/>
      <c r="AK290" s="19"/>
      <c r="AL290" s="20"/>
      <c r="AM290" s="19"/>
      <c r="AN290" s="20"/>
      <c r="AO290" s="19"/>
      <c r="AP290" s="20"/>
      <c r="AQ290" s="19"/>
      <c r="AR290" s="20"/>
      <c r="AS290" s="19"/>
      <c r="AT290" s="20"/>
      <c r="AU290" s="19"/>
      <c r="AV290" s="20"/>
      <c r="AW290" s="19"/>
      <c r="AX290" s="20"/>
      <c r="AY290" s="19"/>
      <c r="AZ290" s="20"/>
      <c r="BA290" s="19"/>
      <c r="BB290" s="20"/>
      <c r="BC290" s="19"/>
      <c r="BD290" s="20"/>
      <c r="BE290" s="19"/>
      <c r="BF290" s="20"/>
      <c r="BG290" s="19"/>
      <c r="BH290" s="20"/>
      <c r="BI290" s="19"/>
      <c r="BJ290" s="20"/>
      <c r="BK290" s="19"/>
      <c r="BL290" s="20"/>
      <c r="BM290" s="19"/>
      <c r="BN290" s="20"/>
      <c r="BO290" s="19"/>
      <c r="BP290" s="20"/>
      <c r="BQ290" s="19"/>
      <c r="BR290" s="20"/>
      <c r="BS290" s="19"/>
      <c r="BT290" s="20"/>
      <c r="BU290" s="19"/>
      <c r="BV290" s="20"/>
      <c r="BW290" s="19"/>
      <c r="BX290" s="20"/>
      <c r="BY290" s="19"/>
      <c r="BZ290" s="20"/>
      <c r="CA290" s="19"/>
      <c r="CB290" s="20"/>
      <c r="CC290" s="19"/>
      <c r="CD290" s="20"/>
      <c r="CE290" s="19"/>
      <c r="CF290" s="20"/>
      <c r="CG290" s="19"/>
      <c r="CH290" s="20"/>
      <c r="CI290" s="19"/>
      <c r="CJ290" s="20"/>
      <c r="CK290" s="19"/>
      <c r="CL290" s="20"/>
      <c r="CM290" s="19"/>
      <c r="CN290" s="20"/>
      <c r="CO290" s="19"/>
      <c r="CP290" s="20"/>
      <c r="CQ290" s="19"/>
      <c r="CR290" s="20"/>
      <c r="CS290" s="19"/>
      <c r="CT290" s="20"/>
      <c r="CU290" s="19"/>
      <c r="CV290" s="20"/>
      <c r="CW290" s="19"/>
      <c r="CX290" s="20"/>
      <c r="CY290" s="19"/>
      <c r="CZ290" s="20"/>
      <c r="DA290" s="19"/>
      <c r="DB290" s="20"/>
      <c r="DC290" s="19"/>
      <c r="DD290" s="20"/>
      <c r="DE290" s="19"/>
      <c r="DF290" s="20"/>
      <c r="DG290" s="19"/>
      <c r="DH290" s="20"/>
      <c r="DI290" s="19"/>
      <c r="DJ290" s="20"/>
      <c r="DK290" s="19"/>
      <c r="DL290" s="20"/>
      <c r="DM290" s="19"/>
      <c r="DN290" s="20"/>
      <c r="DO290" s="19"/>
      <c r="DP290" s="20"/>
      <c r="DQ290" s="19"/>
      <c r="DR290" s="20"/>
      <c r="DS290" s="19"/>
      <c r="DT290" s="20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19"/>
      <c r="EO290" s="20"/>
      <c r="EP290" s="19"/>
      <c r="EQ290" s="20"/>
      <c r="ER290" s="19"/>
      <c r="ES290" s="20"/>
      <c r="ET290" s="19"/>
      <c r="EU290" s="20"/>
      <c r="EV290" s="19"/>
      <c r="EW290" s="20"/>
      <c r="EX290" s="19"/>
      <c r="EY290" s="20"/>
      <c r="EZ290" s="19"/>
      <c r="FA290" s="20"/>
      <c r="FB290" s="19"/>
      <c r="FC290" s="20"/>
      <c r="FD290" s="19"/>
      <c r="FE290" s="20"/>
      <c r="FF290" s="19"/>
      <c r="FG290" s="20"/>
      <c r="FH290" s="19"/>
      <c r="FI290" s="20"/>
      <c r="FJ290" s="19"/>
      <c r="FK290" s="20"/>
      <c r="FL290" s="19"/>
      <c r="FM290" s="20"/>
      <c r="FN290" s="19"/>
      <c r="FO290" s="20"/>
      <c r="FP290" s="19"/>
      <c r="FQ290" s="20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</row>
    <row r="291" spans="1:189" ht="12" customHeight="1" outlineLevel="2" x14ac:dyDescent="0.3">
      <c r="A291" s="1"/>
      <c r="B291" s="430" t="s">
        <v>230</v>
      </c>
      <c r="C291" s="313" t="s">
        <v>24</v>
      </c>
      <c r="D291" s="313" t="s">
        <v>25</v>
      </c>
      <c r="E291" s="313" t="s">
        <v>231</v>
      </c>
      <c r="F291" s="313" t="s">
        <v>27</v>
      </c>
      <c r="G291" s="38" t="s">
        <v>232</v>
      </c>
      <c r="H291" s="5"/>
      <c r="I291" s="341">
        <f>I294/I4</f>
        <v>3.4310118922595292</v>
      </c>
      <c r="J291" s="281"/>
      <c r="K291" s="341">
        <f>K294/K4</f>
        <v>6.3829563812600973</v>
      </c>
      <c r="L291" s="281"/>
      <c r="M291" s="341">
        <f>M294/M4</f>
        <v>5.6798596217586272</v>
      </c>
      <c r="N291" s="281"/>
      <c r="O291" s="341">
        <f>O294/O4</f>
        <v>4.8675263774912079</v>
      </c>
      <c r="P291" s="281"/>
      <c r="Q291" s="341">
        <f>Q294/Q4</f>
        <v>4.0646982897708934</v>
      </c>
      <c r="R291" s="281"/>
      <c r="S291" s="341">
        <f>S294/S4</f>
        <v>4.0017550017550017</v>
      </c>
      <c r="T291" s="281"/>
      <c r="U291" s="341">
        <f>U294/U4</f>
        <v>2.9295387879922612</v>
      </c>
      <c r="V291" s="281"/>
      <c r="W291" s="341">
        <f>W294/W4</f>
        <v>2.9804132385938669</v>
      </c>
      <c r="X291" s="281"/>
      <c r="Y291" s="341">
        <f>Y294/Y4</f>
        <v>2.585627042835025</v>
      </c>
      <c r="Z291" s="281"/>
      <c r="AA291" s="341">
        <f>AA294/AA4</f>
        <v>2.685844638242894</v>
      </c>
      <c r="AB291" s="281"/>
      <c r="AC291" s="341">
        <f>AC294/AC4</f>
        <v>2.5242038542145888</v>
      </c>
      <c r="AD291" s="281"/>
      <c r="AE291" s="341">
        <f>AE294/AE4</f>
        <v>2.7859957562897848</v>
      </c>
      <c r="AF291" s="281"/>
      <c r="AG291" s="341">
        <f>AG294/AG4</f>
        <v>4.1875694495888585</v>
      </c>
      <c r="AH291" s="281"/>
      <c r="AI291" s="341">
        <f>AI294/AI4</f>
        <v>3.5972900932918703</v>
      </c>
      <c r="AJ291" s="281"/>
      <c r="AK291" s="341">
        <f>AK294/AK4</f>
        <v>2.7889482077237746</v>
      </c>
      <c r="AL291" s="281"/>
      <c r="AM291" s="341">
        <f>AM294/AM4</f>
        <v>3.4504255636852323</v>
      </c>
      <c r="AN291" s="281"/>
      <c r="AO291" s="341">
        <f>AO294/AO4</f>
        <v>3.6254135256792668</v>
      </c>
      <c r="AP291" s="281"/>
      <c r="AQ291" s="341">
        <f>AQ294/AQ4</f>
        <v>3.0657809652577743</v>
      </c>
      <c r="AR291" s="281"/>
      <c r="AS291" s="341">
        <f>AS294/AS4</f>
        <v>3.6876623376623376</v>
      </c>
      <c r="AT291" s="281"/>
      <c r="AU291" s="341">
        <f>AU294/AU4</f>
        <v>3.6938079650845608</v>
      </c>
      <c r="AV291" s="281"/>
      <c r="AW291" s="342">
        <f>AW294/AW4</f>
        <v>3.3611548143486472</v>
      </c>
      <c r="AX291" s="281"/>
      <c r="AY291" s="342">
        <f>AY294/AY4</f>
        <v>3.0346505579327125</v>
      </c>
      <c r="AZ291" s="281"/>
      <c r="BA291" s="342">
        <f>BA294/BA4</f>
        <v>2.291141354262336</v>
      </c>
      <c r="BB291" s="281"/>
      <c r="BC291" s="342">
        <f>BC294/BC4</f>
        <v>1.6532873229204503</v>
      </c>
      <c r="BD291" s="281"/>
      <c r="BE291" s="342">
        <f>BE294/BE4</f>
        <v>2.9114263199369583</v>
      </c>
      <c r="BF291" s="281"/>
      <c r="BG291" s="342">
        <f>BG294/BG4</f>
        <v>3.3189944739408386</v>
      </c>
      <c r="BH291" s="281"/>
      <c r="BI291" s="342">
        <f>BI294/BI4</f>
        <v>2.5231128720918421</v>
      </c>
      <c r="BJ291" s="281"/>
      <c r="BK291" s="342">
        <f>BK294/BK4</f>
        <v>2.702792202905095</v>
      </c>
      <c r="BL291" s="281"/>
      <c r="BM291" s="342">
        <f>BM294/BM4</f>
        <v>3.0581052996189815</v>
      </c>
      <c r="BN291" s="281"/>
      <c r="BO291" s="342">
        <f>BO294/BO4</f>
        <v>2.9022836866527157</v>
      </c>
      <c r="BP291" s="281"/>
      <c r="BQ291" s="342">
        <f>BQ294/BQ4</f>
        <v>3.4673071267522793</v>
      </c>
      <c r="BR291" s="281"/>
      <c r="BS291" s="342">
        <f>BS294/BS4</f>
        <v>2.6967039054565598</v>
      </c>
      <c r="BT291" s="281"/>
      <c r="BU291" s="342">
        <f>BU294/BU4</f>
        <v>2.6738321306494495</v>
      </c>
      <c r="BV291" s="281"/>
      <c r="BW291" s="342">
        <f>BW294/BW4</f>
        <v>1.9665105386416861</v>
      </c>
      <c r="BX291" s="281"/>
      <c r="BY291" s="342">
        <f>BY294/BY4</f>
        <v>2.4493488263276926</v>
      </c>
      <c r="BZ291" s="281"/>
      <c r="CA291" s="342">
        <f>CA294/CA4</f>
        <v>2.1793431902189364</v>
      </c>
      <c r="CB291" s="281"/>
      <c r="CC291" s="342">
        <f>CC294/CC4</f>
        <v>3.0426115845731618</v>
      </c>
      <c r="CD291" s="281"/>
      <c r="CE291" s="342">
        <f>CE294/CE4</f>
        <v>3.1894782233721433</v>
      </c>
      <c r="CF291" s="281"/>
      <c r="CG291" s="342">
        <f>CG294/CG4</f>
        <v>2.611559139784946</v>
      </c>
      <c r="CH291" s="281"/>
      <c r="CI291" s="342">
        <f>CI294/CI4</f>
        <v>2.1661724051269164</v>
      </c>
      <c r="CJ291" s="281"/>
      <c r="CK291" s="342">
        <f>CK294/CK4</f>
        <v>1.9013141204525852</v>
      </c>
      <c r="CL291" s="281"/>
      <c r="CM291" s="342">
        <f>CM294/CM4</f>
        <v>2.0890913824524864</v>
      </c>
      <c r="CN291" s="281"/>
      <c r="CO291" s="342">
        <f>CO294/CO4</f>
        <v>2.1986213165669266</v>
      </c>
      <c r="CP291" s="281"/>
      <c r="CQ291" s="342">
        <f>CQ294/CQ4</f>
        <v>3.3485254691689006</v>
      </c>
      <c r="CR291" s="281"/>
      <c r="CS291" s="342">
        <f>CS294/CS4</f>
        <v>1.7092093235831809</v>
      </c>
      <c r="CT291" s="281"/>
      <c r="CU291" s="342">
        <f>CU294/CU4</f>
        <v>1.5868402184104573</v>
      </c>
      <c r="CV291" s="281"/>
      <c r="CW291" s="342">
        <f>CW294/CW4</f>
        <v>1.2427613283167021</v>
      </c>
      <c r="CX291" s="281"/>
      <c r="CY291" s="342">
        <f>CY294/CY4</f>
        <v>1.2975030450669915</v>
      </c>
      <c r="CZ291" s="281"/>
      <c r="DA291" s="342">
        <f>DA294/DA4</f>
        <v>1.4568527918781726</v>
      </c>
      <c r="DB291" s="281"/>
      <c r="DC291" s="342">
        <f>DC294/DC4</f>
        <v>2.1834943417057686</v>
      </c>
      <c r="DD291" s="281"/>
      <c r="DE291" s="342">
        <f>DE294/DE4</f>
        <v>1.8708033894669098</v>
      </c>
      <c r="DF291" s="281"/>
      <c r="DG291" s="342">
        <f>DG294/DG4</f>
        <v>1.6852818371607516</v>
      </c>
      <c r="DH291" s="281"/>
      <c r="DI291" s="342">
        <f>DI294/DI4</f>
        <v>1.4482382510551524</v>
      </c>
      <c r="DJ291" s="281"/>
      <c r="DK291" s="342">
        <f>DK294/DK4</f>
        <v>1.9516153343717026</v>
      </c>
      <c r="DL291" s="281"/>
      <c r="DM291" s="342">
        <f>DM294/DM4</f>
        <v>1.8251358238376845</v>
      </c>
      <c r="DN291" s="281"/>
      <c r="DO291" s="342">
        <f>DO294/DO4</f>
        <v>1.6971809639284632</v>
      </c>
      <c r="DP291" s="281"/>
      <c r="DQ291" s="342">
        <f>DQ294/DQ4</f>
        <v>2.0690827876757525</v>
      </c>
      <c r="DR291" s="281"/>
      <c r="DS291" s="342">
        <f>DS294/DS4</f>
        <v>1.6582563077691732</v>
      </c>
      <c r="DT291" s="281"/>
      <c r="DU291" s="135"/>
      <c r="DV291" s="135"/>
      <c r="DW291" s="135"/>
      <c r="DX291" s="135"/>
      <c r="DY291" s="135"/>
      <c r="DZ291" s="135"/>
      <c r="EA291" s="135"/>
      <c r="EB291" s="135"/>
      <c r="EC291" s="135"/>
      <c r="ED291" s="135"/>
      <c r="EE291" s="135"/>
      <c r="EF291" s="135"/>
      <c r="EG291" s="135"/>
      <c r="EH291" s="135"/>
      <c r="EI291" s="135"/>
      <c r="EJ291" s="135"/>
      <c r="EK291" s="135"/>
      <c r="EL291" s="135"/>
      <c r="EM291" s="135"/>
      <c r="EN291" s="342">
        <f>EN294/EN4</f>
        <v>1.736975375071216</v>
      </c>
      <c r="EO291" s="281"/>
      <c r="EP291" s="342">
        <f>EP294/EP4</f>
        <v>1.0943701248838056</v>
      </c>
      <c r="EQ291" s="281"/>
      <c r="ER291" s="342">
        <f>ER294/ER4</f>
        <v>1.5394606951732737</v>
      </c>
      <c r="ES291" s="281"/>
      <c r="ET291" s="342">
        <f>ET294/ET4</f>
        <v>3.0990317649057246</v>
      </c>
      <c r="EU291" s="281"/>
      <c r="EV291" s="342">
        <f>EV294/EV4</f>
        <v>1.8403397952515792</v>
      </c>
      <c r="EW291" s="281"/>
      <c r="EX291" s="342">
        <f>EX294/EX4</f>
        <v>1.5135533743579312</v>
      </c>
      <c r="EY291" s="281"/>
      <c r="EZ291" s="342">
        <f>EZ294/EZ4</f>
        <v>1.7741523557904006</v>
      </c>
      <c r="FA291" s="281"/>
      <c r="FB291" s="342">
        <f>FB294/FB4</f>
        <v>1.5695717131474103</v>
      </c>
      <c r="FC291" s="281"/>
      <c r="FD291" s="342">
        <f>FD294/FD4</f>
        <v>1.4358153464835279</v>
      </c>
      <c r="FE291" s="281"/>
      <c r="FF291" s="342">
        <f>FF294/FF4</f>
        <v>1.4731409424989192</v>
      </c>
      <c r="FG291" s="281"/>
      <c r="FH291" s="342">
        <f>FH294/FH4</f>
        <v>1.6452104739807756</v>
      </c>
      <c r="FI291" s="281"/>
      <c r="FJ291" s="342">
        <f>FJ294/FJ4</f>
        <v>1.8253571428571429</v>
      </c>
      <c r="FK291" s="281"/>
      <c r="FL291" s="342">
        <f>FL294/FL4</f>
        <v>2.0287189181329066</v>
      </c>
      <c r="FM291" s="281"/>
      <c r="FN291" s="342">
        <f>FN294/FN4</f>
        <v>3.1256618881570453</v>
      </c>
      <c r="FO291" s="281"/>
      <c r="FP291" s="342">
        <f>FP294/FP4</f>
        <v>2.4647516457211252</v>
      </c>
      <c r="FQ291" s="281"/>
      <c r="FR291" s="135"/>
      <c r="FS291" s="135"/>
      <c r="FT291" s="135"/>
      <c r="FU291" s="135"/>
      <c r="FV291" s="135"/>
      <c r="FW291" s="135"/>
      <c r="FX291" s="135"/>
      <c r="FY291" s="135"/>
      <c r="FZ291" s="135"/>
      <c r="GA291" s="135"/>
      <c r="GB291" s="135"/>
      <c r="GC291" s="135"/>
      <c r="GD291" s="135"/>
      <c r="GE291" s="135"/>
      <c r="GF291" s="135"/>
      <c r="GG291" s="272"/>
    </row>
    <row r="292" spans="1:189" ht="12" customHeight="1" outlineLevel="3" x14ac:dyDescent="0.3">
      <c r="A292" s="1"/>
      <c r="B292" s="431"/>
      <c r="C292" s="301"/>
      <c r="D292" s="301"/>
      <c r="E292" s="301"/>
      <c r="F292" s="301"/>
      <c r="G292" s="71" t="s">
        <v>233</v>
      </c>
      <c r="H292" s="5"/>
      <c r="I292" s="341">
        <f>I293/I4</f>
        <v>2.8837179064022163</v>
      </c>
      <c r="J292" s="281"/>
      <c r="K292" s="341">
        <f>K293/K4</f>
        <v>5.0096930533117936</v>
      </c>
      <c r="L292" s="281"/>
      <c r="M292" s="341">
        <f>M293/M4</f>
        <v>4.3926691362838763</v>
      </c>
      <c r="N292" s="281"/>
      <c r="O292" s="341">
        <f>O293/O4</f>
        <v>3.6135488192932508</v>
      </c>
      <c r="P292" s="281"/>
      <c r="Q292" s="341">
        <f>Q293/Q4</f>
        <v>3.3942400774443371</v>
      </c>
      <c r="R292" s="281"/>
      <c r="S292" s="341">
        <f>S293/S4</f>
        <v>3.4240084240084241</v>
      </c>
      <c r="T292" s="281"/>
      <c r="U292" s="341">
        <f>U293/U4</f>
        <v>2.6686013855083317</v>
      </c>
      <c r="V292" s="281"/>
      <c r="W292" s="341">
        <f>W293/W4</f>
        <v>2.4529730740463727</v>
      </c>
      <c r="X292" s="281"/>
      <c r="Y292" s="341">
        <f>Y293/Y4</f>
        <v>2.1608033717529675</v>
      </c>
      <c r="Z292" s="281"/>
      <c r="AA292" s="341">
        <f>AA293/AA4</f>
        <v>2.4041101421188631</v>
      </c>
      <c r="AB292" s="281"/>
      <c r="AC292" s="341">
        <f>AC293/AC4</f>
        <v>2.0953841435362675</v>
      </c>
      <c r="AD292" s="281"/>
      <c r="AE292" s="341">
        <f>AE293/AE4</f>
        <v>2.5435413328714329</v>
      </c>
      <c r="AF292" s="281"/>
      <c r="AG292" s="341">
        <f>AG293/AG4</f>
        <v>3.9612563893621751</v>
      </c>
      <c r="AH292" s="281"/>
      <c r="AI292" s="341">
        <f>AI293/AI4</f>
        <v>3.0556049163334813</v>
      </c>
      <c r="AJ292" s="281"/>
      <c r="AK292" s="341">
        <f>AK293/AK4</f>
        <v>2.4311862996602649</v>
      </c>
      <c r="AL292" s="281"/>
      <c r="AM292" s="341">
        <f>AM293/AM4</f>
        <v>2.9977601911303569</v>
      </c>
      <c r="AN292" s="281"/>
      <c r="AO292" s="341">
        <f>AO293/AO4</f>
        <v>3.3293020228862735</v>
      </c>
      <c r="AP292" s="281"/>
      <c r="AQ292" s="341">
        <f>AQ293/AQ4</f>
        <v>2.6640409147022517</v>
      </c>
      <c r="AR292" s="281"/>
      <c r="AS292" s="341">
        <f>AS293/AS4</f>
        <v>3.2575757575757578</v>
      </c>
      <c r="AT292" s="281"/>
      <c r="AU292" s="341">
        <f>AU293/AU4</f>
        <v>3.2238134206219313</v>
      </c>
      <c r="AV292" s="281"/>
      <c r="AW292" s="341">
        <f>AW293/AW4</f>
        <v>3.0073945877910635</v>
      </c>
      <c r="AX292" s="281"/>
      <c r="AY292" s="341">
        <f>AY293/AY4</f>
        <v>2.677405822636127</v>
      </c>
      <c r="AZ292" s="281"/>
      <c r="BA292" s="341">
        <f>BA293/BA4</f>
        <v>2.0010854137096099</v>
      </c>
      <c r="BB292" s="281"/>
      <c r="BC292" s="341">
        <f>BC293/BC4</f>
        <v>1.4461193849134277</v>
      </c>
      <c r="BD292" s="281"/>
      <c r="BE292" s="341">
        <f>BE293/BE4</f>
        <v>2.5558707643814027</v>
      </c>
      <c r="BF292" s="281"/>
      <c r="BG292" s="341">
        <f>BG293/BG4</f>
        <v>2.8851446527251055</v>
      </c>
      <c r="BH292" s="281"/>
      <c r="BI292" s="341">
        <f>BI293/BI4</f>
        <v>2.1563547698872294</v>
      </c>
      <c r="BJ292" s="281"/>
      <c r="BK292" s="341">
        <f>BK293/BK4</f>
        <v>2.39256416045759</v>
      </c>
      <c r="BL292" s="281"/>
      <c r="BM292" s="341">
        <f>BM293/BM4</f>
        <v>2.7109456182888811</v>
      </c>
      <c r="BN292" s="281"/>
      <c r="BO292" s="341">
        <f>BO293/BO4</f>
        <v>2.551906104994996</v>
      </c>
      <c r="BP292" s="281"/>
      <c r="BQ292" s="341">
        <f>BQ293/BQ4</f>
        <v>3.0611704734829916</v>
      </c>
      <c r="BR292" s="281"/>
      <c r="BS292" s="341">
        <f>BS293/BS4</f>
        <v>2.399963068968701</v>
      </c>
      <c r="BT292" s="281"/>
      <c r="BU292" s="341">
        <f>BU293/BU4</f>
        <v>2.2830991264717051</v>
      </c>
      <c r="BV292" s="281"/>
      <c r="BW292" s="341">
        <f>BW293/BW4</f>
        <v>1.6312646370023418</v>
      </c>
      <c r="BX292" s="281"/>
      <c r="BY292" s="341">
        <f>BY293/BY4</f>
        <v>2.0905404351555799</v>
      </c>
      <c r="BZ292" s="281"/>
      <c r="CA292" s="341">
        <f>CA293/CA4</f>
        <v>1.7816320727893091</v>
      </c>
      <c r="CB292" s="281"/>
      <c r="CC292" s="341">
        <f>CC293/CC4</f>
        <v>2.1586017622418026</v>
      </c>
      <c r="CD292" s="281"/>
      <c r="CE292" s="341">
        <f>CE293/CE4</f>
        <v>3.0002587322121603</v>
      </c>
      <c r="CF292" s="281"/>
      <c r="CG292" s="341">
        <f>CG293/CG4</f>
        <v>2.5061544991511036</v>
      </c>
      <c r="CH292" s="281"/>
      <c r="CI292" s="341">
        <f>CI293/CI4</f>
        <v>2.0514199547625029</v>
      </c>
      <c r="CJ292" s="281"/>
      <c r="CK292" s="341">
        <f>CK293/CK4</f>
        <v>1.7675173778476838</v>
      </c>
      <c r="CL292" s="281"/>
      <c r="CM292" s="341">
        <f>CM293/CM4</f>
        <v>1.9439729237177819</v>
      </c>
      <c r="CN292" s="281"/>
      <c r="CO292" s="341">
        <f>CO293/CO4</f>
        <v>1.9517460798424362</v>
      </c>
      <c r="CP292" s="281"/>
      <c r="CQ292" s="341">
        <f>CQ293/CQ4</f>
        <v>2.95655259422804</v>
      </c>
      <c r="CR292" s="281"/>
      <c r="CS292" s="341">
        <f>CS293/CS4</f>
        <v>1.3170132541133455</v>
      </c>
      <c r="CT292" s="281"/>
      <c r="CU292" s="341">
        <f>CU293/CU4</f>
        <v>1.2274557387899179</v>
      </c>
      <c r="CV292" s="281"/>
      <c r="CW292" s="341">
        <f>CW293/CW4</f>
        <v>0.84830143410218661</v>
      </c>
      <c r="CX292" s="281"/>
      <c r="CY292" s="341">
        <f>CY293/CY4</f>
        <v>0.93796763528797633</v>
      </c>
      <c r="CZ292" s="281"/>
      <c r="DA292" s="341">
        <f>DA293/DA4</f>
        <v>1.0250761421319796</v>
      </c>
      <c r="DB292" s="281"/>
      <c r="DC292" s="341">
        <f>DC293/DC4</f>
        <v>1.8911399392768424</v>
      </c>
      <c r="DD292" s="281"/>
      <c r="DE292" s="341">
        <f>DE293/DE4</f>
        <v>1.6618577711037219</v>
      </c>
      <c r="DF292" s="281"/>
      <c r="DG292" s="341">
        <f>DG293/DG4</f>
        <v>1.4875687986335169</v>
      </c>
      <c r="DH292" s="281"/>
      <c r="DI292" s="341">
        <f>DI293/DI4</f>
        <v>1.2520984492815479</v>
      </c>
      <c r="DJ292" s="281"/>
      <c r="DK292" s="341">
        <f>DK293/DK4</f>
        <v>1.6985379088579611</v>
      </c>
      <c r="DL292" s="281"/>
      <c r="DM292" s="341">
        <f>DM293/DM4</f>
        <v>1.6428193663156883</v>
      </c>
      <c r="DN292" s="281"/>
      <c r="DO292" s="341">
        <f>DO293/DO4</f>
        <v>1.5044457916540366</v>
      </c>
      <c r="DP292" s="281"/>
      <c r="DQ292" s="341">
        <f>DQ293/DQ4</f>
        <v>1.8448809705091112</v>
      </c>
      <c r="DR292" s="281"/>
      <c r="DS292" s="341">
        <f>DS293/DS4</f>
        <v>1.4467899075693229</v>
      </c>
      <c r="DT292" s="281"/>
      <c r="DU292" s="127"/>
      <c r="DV292" s="127"/>
      <c r="DW292" s="127"/>
      <c r="DX292" s="127"/>
      <c r="DY292" s="127"/>
      <c r="DZ292" s="127"/>
      <c r="EA292" s="127"/>
      <c r="EB292" s="127"/>
      <c r="EC292" s="127"/>
      <c r="ED292" s="127"/>
      <c r="EE292" s="127"/>
      <c r="EF292" s="127"/>
      <c r="EG292" s="127"/>
      <c r="EH292" s="127"/>
      <c r="EI292" s="127"/>
      <c r="EJ292" s="127"/>
      <c r="EK292" s="127"/>
      <c r="EL292" s="127"/>
      <c r="EM292" s="127"/>
      <c r="EN292" s="341">
        <f>EN293/EN4</f>
        <v>1.5302272583401912</v>
      </c>
      <c r="EO292" s="281"/>
      <c r="EP292" s="341">
        <f>EP293/EP4</f>
        <v>0.97413409853291844</v>
      </c>
      <c r="EQ292" s="281"/>
      <c r="ER292" s="341">
        <f>ER293/ER4</f>
        <v>1.3833844235465267</v>
      </c>
      <c r="ES292" s="281"/>
      <c r="ET292" s="341">
        <f>ET293/ET4</f>
        <v>2.8117037540343128</v>
      </c>
      <c r="EU292" s="281"/>
      <c r="EV292" s="341">
        <f>EV293/EV4</f>
        <v>1.6074203151092719</v>
      </c>
      <c r="EW292" s="281"/>
      <c r="EX292" s="341">
        <f>EX293/EX4</f>
        <v>1.4158571937140823</v>
      </c>
      <c r="EY292" s="281"/>
      <c r="EZ292" s="341">
        <f>EZ293/EZ4</f>
        <v>1.6467635402906209</v>
      </c>
      <c r="FA292" s="281"/>
      <c r="FB292" s="341">
        <f>FB293/FB4</f>
        <v>1.3930278884462151</v>
      </c>
      <c r="FC292" s="281"/>
      <c r="FD292" s="341">
        <f>FD293/FD4</f>
        <v>1.38629556955489</v>
      </c>
      <c r="FE292" s="281"/>
      <c r="FF292" s="341">
        <f>FF293/FF4</f>
        <v>1.3613813229571985</v>
      </c>
      <c r="FG292" s="281"/>
      <c r="FH292" s="341">
        <f>FH293/FH4</f>
        <v>1.425522041763341</v>
      </c>
      <c r="FI292" s="281"/>
      <c r="FJ292" s="341">
        <f>FJ293/FJ4</f>
        <v>1.5896428571428571</v>
      </c>
      <c r="FK292" s="281"/>
      <c r="FL292" s="341">
        <f>FL293/FL4</f>
        <v>1.8471717318598226</v>
      </c>
      <c r="FM292" s="281"/>
      <c r="FN292" s="341">
        <f>FN293/FN4</f>
        <v>2.8556115200826553</v>
      </c>
      <c r="FO292" s="281"/>
      <c r="FP292" s="341">
        <f>FP293/FP4</f>
        <v>2.2701376421304609</v>
      </c>
      <c r="FQ292" s="281"/>
      <c r="FR292" s="127"/>
      <c r="FS292" s="127"/>
      <c r="FT292" s="127"/>
      <c r="FU292" s="127"/>
      <c r="FV292" s="127"/>
      <c r="FW292" s="127"/>
      <c r="FX292" s="127"/>
      <c r="FY292" s="127"/>
      <c r="FZ292" s="127"/>
      <c r="GA292" s="127"/>
      <c r="GB292" s="127"/>
      <c r="GC292" s="127"/>
      <c r="GD292" s="127"/>
      <c r="GE292" s="127"/>
      <c r="GF292" s="127"/>
      <c r="GG292" s="273"/>
    </row>
    <row r="293" spans="1:189" ht="12" customHeight="1" outlineLevel="3" x14ac:dyDescent="0.3">
      <c r="A293" s="136"/>
      <c r="B293" s="431"/>
      <c r="C293" s="301"/>
      <c r="D293" s="301"/>
      <c r="E293" s="301"/>
      <c r="F293" s="301"/>
      <c r="G293" s="137" t="s">
        <v>234</v>
      </c>
      <c r="H293" s="138"/>
      <c r="I293" s="344">
        <f>I280+I304</f>
        <v>576634</v>
      </c>
      <c r="J293" s="281"/>
      <c r="K293" s="344">
        <f>K280+K304</f>
        <v>62020</v>
      </c>
      <c r="L293" s="281"/>
      <c r="M293" s="344">
        <f>M280+M304</f>
        <v>45060</v>
      </c>
      <c r="N293" s="281"/>
      <c r="O293" s="344">
        <f>O280+O304</f>
        <v>43153</v>
      </c>
      <c r="P293" s="281"/>
      <c r="Q293" s="344">
        <f>Q280+Q304</f>
        <v>42075</v>
      </c>
      <c r="R293" s="281"/>
      <c r="S293" s="344">
        <f>S280+S304</f>
        <v>39020</v>
      </c>
      <c r="T293" s="281"/>
      <c r="U293" s="344">
        <f>U280+U304</f>
        <v>42759</v>
      </c>
      <c r="V293" s="281"/>
      <c r="W293" s="344">
        <f>W280+W304</f>
        <v>52474</v>
      </c>
      <c r="X293" s="281"/>
      <c r="Y293" s="344">
        <f>Y280+Y304</f>
        <v>50243</v>
      </c>
      <c r="Z293" s="281"/>
      <c r="AA293" s="344">
        <f>AA280+AA304</f>
        <v>59545</v>
      </c>
      <c r="AB293" s="281"/>
      <c r="AC293" s="344">
        <f>AC280+AC304</f>
        <v>40992</v>
      </c>
      <c r="AD293" s="281"/>
      <c r="AE293" s="344">
        <f>AE280+AE304</f>
        <v>58738</v>
      </c>
      <c r="AF293" s="281"/>
      <c r="AG293" s="344">
        <f>AG280+AG304</f>
        <v>53473</v>
      </c>
      <c r="AH293" s="281"/>
      <c r="AI293" s="344">
        <f>AI280+AI304</f>
        <v>41269</v>
      </c>
      <c r="AJ293" s="281"/>
      <c r="AK293" s="344">
        <f>AK280+AK304</f>
        <v>35065</v>
      </c>
      <c r="AL293" s="281"/>
      <c r="AM293" s="344">
        <f>AM280+AM304</f>
        <v>40152</v>
      </c>
      <c r="AN293" s="281"/>
      <c r="AO293" s="344">
        <f>AO280+AO304</f>
        <v>61389</v>
      </c>
      <c r="AP293" s="281"/>
      <c r="AQ293" s="344">
        <f>AQ280+AQ304</f>
        <v>45318</v>
      </c>
      <c r="AR293" s="281"/>
      <c r="AS293" s="344">
        <f>AS280+AS304</f>
        <v>45150</v>
      </c>
      <c r="AT293" s="281"/>
      <c r="AU293" s="344">
        <f>AU280+AU304</f>
        <v>47274</v>
      </c>
      <c r="AV293" s="281"/>
      <c r="AW293" s="344">
        <f>AW280+AW304</f>
        <v>38230</v>
      </c>
      <c r="AX293" s="281"/>
      <c r="AY293" s="344">
        <f>AY280+AY304</f>
        <v>31912</v>
      </c>
      <c r="AZ293" s="281"/>
      <c r="BA293" s="344">
        <f>BA280+BA304</f>
        <v>23967</v>
      </c>
      <c r="BB293" s="281"/>
      <c r="BC293" s="344">
        <f>BC280+BC304</f>
        <v>23887</v>
      </c>
      <c r="BD293" s="281"/>
      <c r="BE293" s="344">
        <f>BE280+BE304</f>
        <v>32434</v>
      </c>
      <c r="BF293" s="281"/>
      <c r="BG293" s="344">
        <f>BG280+BG304</f>
        <v>26627</v>
      </c>
      <c r="BH293" s="281"/>
      <c r="BI293" s="344">
        <f>BI280+BI304</f>
        <v>21225</v>
      </c>
      <c r="BJ293" s="281"/>
      <c r="BK293" s="344">
        <f>BK280+BK304</f>
        <v>31790</v>
      </c>
      <c r="BL293" s="281"/>
      <c r="BM293" s="344">
        <f>BM280+BM304</f>
        <v>31306</v>
      </c>
      <c r="BN293" s="281"/>
      <c r="BO293" s="344">
        <f>BO280+BO304</f>
        <v>28048</v>
      </c>
      <c r="BP293" s="281"/>
      <c r="BQ293" s="344">
        <f>BQ280+BQ304</f>
        <v>31227</v>
      </c>
      <c r="BR293" s="281"/>
      <c r="BS293" s="344">
        <f>BS280+BS304</f>
        <v>25994</v>
      </c>
      <c r="BT293" s="281"/>
      <c r="BU293" s="344">
        <f>BU280+BU304</f>
        <v>30057</v>
      </c>
      <c r="BV293" s="281"/>
      <c r="BW293" s="344">
        <f>BW280+BW304</f>
        <v>27862</v>
      </c>
      <c r="BX293" s="281"/>
      <c r="BY293" s="344">
        <f>BY280+BY304</f>
        <v>26807</v>
      </c>
      <c r="BZ293" s="281"/>
      <c r="CA293" s="344">
        <f>CA280+CA304</f>
        <v>25064</v>
      </c>
      <c r="CB293" s="281"/>
      <c r="CC293" s="344">
        <f>CC280+CC304</f>
        <v>29888</v>
      </c>
      <c r="CD293" s="281"/>
      <c r="CE293" s="344">
        <f>CE280+CE304</f>
        <v>34788</v>
      </c>
      <c r="CF293" s="281"/>
      <c r="CG293" s="344">
        <f>CG280+CG304</f>
        <v>35427</v>
      </c>
      <c r="CH293" s="281"/>
      <c r="CI293" s="344">
        <f>CI280+CI304</f>
        <v>40813</v>
      </c>
      <c r="CJ293" s="281"/>
      <c r="CK293" s="344">
        <f>CK280+CK304</f>
        <v>34836</v>
      </c>
      <c r="CL293" s="281"/>
      <c r="CM293" s="344">
        <f>CM280+CM304</f>
        <v>37334</v>
      </c>
      <c r="CN293" s="281"/>
      <c r="CO293" s="344">
        <f>CO280+CO304</f>
        <v>25765</v>
      </c>
      <c r="CP293" s="281"/>
      <c r="CQ293" s="344">
        <f>CQ280+CQ304</f>
        <v>37495</v>
      </c>
      <c r="CR293" s="281"/>
      <c r="CS293" s="344">
        <f>CS280+CS304</f>
        <v>23053</v>
      </c>
      <c r="CT293" s="281"/>
      <c r="CU293" s="344">
        <f>CU280+CU304</f>
        <v>22255</v>
      </c>
      <c r="CV293" s="281"/>
      <c r="CW293" s="344">
        <f>CW280+CW304</f>
        <v>15557</v>
      </c>
      <c r="CX293" s="281"/>
      <c r="CY293" s="344">
        <f>CY280+CY304</f>
        <v>21562</v>
      </c>
      <c r="CZ293" s="281"/>
      <c r="DA293" s="344">
        <f>DA280+DA304</f>
        <v>20194</v>
      </c>
      <c r="DB293" s="281"/>
      <c r="DC293" s="344">
        <f>DC280+DC304</f>
        <v>34258</v>
      </c>
      <c r="DD293" s="281"/>
      <c r="DE293" s="344">
        <f>DE280+DE304</f>
        <v>30987</v>
      </c>
      <c r="DF293" s="281"/>
      <c r="DG293" s="344">
        <f>DG280+DG304</f>
        <v>31352</v>
      </c>
      <c r="DH293" s="281"/>
      <c r="DI293" s="344">
        <f>DI280+DI304</f>
        <v>26403</v>
      </c>
      <c r="DJ293" s="281"/>
      <c r="DK293" s="344">
        <f>DK280+DK304</f>
        <v>33806</v>
      </c>
      <c r="DL293" s="281"/>
      <c r="DM293" s="344">
        <f>DM280+DM304</f>
        <v>34169</v>
      </c>
      <c r="DN293" s="281"/>
      <c r="DO293" s="344">
        <f>DO280+DO304</f>
        <v>29779</v>
      </c>
      <c r="DP293" s="281"/>
      <c r="DQ293" s="344">
        <f>DQ280+DQ304</f>
        <v>36346</v>
      </c>
      <c r="DR293" s="281"/>
      <c r="DS293" s="344">
        <f>DS280+DS304</f>
        <v>23166</v>
      </c>
      <c r="DT293" s="281"/>
      <c r="DU293" s="139"/>
      <c r="DV293" s="139"/>
      <c r="DW293" s="139"/>
      <c r="DX293" s="139"/>
      <c r="DY293" s="139"/>
      <c r="DZ293" s="139"/>
      <c r="EA293" s="139"/>
      <c r="EB293" s="139"/>
      <c r="EC293" s="139"/>
      <c r="ED293" s="139"/>
      <c r="EE293" s="139"/>
      <c r="EF293" s="139"/>
      <c r="EG293" s="139"/>
      <c r="EH293" s="139"/>
      <c r="EI293" s="139"/>
      <c r="EJ293" s="139"/>
      <c r="EK293" s="139"/>
      <c r="EL293" s="139"/>
      <c r="EM293" s="139"/>
      <c r="EN293" s="344">
        <f>EN280+EN304</f>
        <v>24173</v>
      </c>
      <c r="EO293" s="281"/>
      <c r="EP293" s="344">
        <f>EP280+EP304</f>
        <v>24103</v>
      </c>
      <c r="EQ293" s="281"/>
      <c r="ER293" s="344">
        <f>ER280+ER304</f>
        <v>26626</v>
      </c>
      <c r="ES293" s="281"/>
      <c r="ET293" s="344">
        <f>ET280+ET304</f>
        <v>33105</v>
      </c>
      <c r="EU293" s="281"/>
      <c r="EV293" s="344">
        <f>EV280+EV304</f>
        <v>22139</v>
      </c>
      <c r="EW293" s="281"/>
      <c r="EX293" s="344">
        <f>EX280+EX304</f>
        <v>27840</v>
      </c>
      <c r="EY293" s="281"/>
      <c r="EZ293" s="344">
        <f>EZ280+EZ304</f>
        <v>37398</v>
      </c>
      <c r="FA293" s="281"/>
      <c r="FB293" s="344">
        <f>FB280+FB304</f>
        <v>27972</v>
      </c>
      <c r="FC293" s="281"/>
      <c r="FD293" s="344">
        <f>FD280+FD304</f>
        <v>26847</v>
      </c>
      <c r="FE293" s="281"/>
      <c r="FF293" s="344">
        <f>FF280+FF304</f>
        <v>25191</v>
      </c>
      <c r="FG293" s="281"/>
      <c r="FH293" s="344">
        <f>FH280+FH304</f>
        <v>21504</v>
      </c>
      <c r="FI293" s="281"/>
      <c r="FJ293" s="344">
        <f>FJ280+FJ304</f>
        <v>22255</v>
      </c>
      <c r="FK293" s="281"/>
      <c r="FL293" s="344">
        <f>FL280+FL304</f>
        <v>25406</v>
      </c>
      <c r="FM293" s="281"/>
      <c r="FN293" s="344">
        <f>FN280+FN304</f>
        <v>22111</v>
      </c>
      <c r="FO293" s="281"/>
      <c r="FP293" s="344">
        <f>FP280+FP304</f>
        <v>18967</v>
      </c>
      <c r="FQ293" s="281"/>
      <c r="FR293" s="139"/>
      <c r="FS293" s="139"/>
      <c r="FT293" s="139"/>
      <c r="FU293" s="139"/>
      <c r="FV293" s="139"/>
      <c r="FW293" s="139"/>
      <c r="FX293" s="139"/>
      <c r="FY293" s="139"/>
      <c r="FZ293" s="139"/>
      <c r="GA293" s="139"/>
      <c r="GB293" s="139"/>
      <c r="GC293" s="139"/>
      <c r="GD293" s="139"/>
      <c r="GE293" s="139"/>
      <c r="GF293" s="139"/>
      <c r="GG293" s="274"/>
    </row>
    <row r="294" spans="1:189" ht="12" customHeight="1" outlineLevel="2" x14ac:dyDescent="0.3">
      <c r="A294" s="1"/>
      <c r="B294" s="431"/>
      <c r="C294" s="301"/>
      <c r="D294" s="301"/>
      <c r="E294" s="301"/>
      <c r="F294" s="301"/>
      <c r="G294" s="140" t="s">
        <v>235</v>
      </c>
      <c r="H294" s="5"/>
      <c r="I294" s="284">
        <f>I280+I316</f>
        <v>686072</v>
      </c>
      <c r="J294" s="281"/>
      <c r="K294" s="284">
        <f>K280+K316</f>
        <v>79021</v>
      </c>
      <c r="L294" s="281"/>
      <c r="M294" s="284">
        <f>M280+M316</f>
        <v>58264</v>
      </c>
      <c r="N294" s="281"/>
      <c r="O294" s="284">
        <f>O280+O316</f>
        <v>58128</v>
      </c>
      <c r="P294" s="281"/>
      <c r="Q294" s="284">
        <f>Q280+Q316</f>
        <v>50386</v>
      </c>
      <c r="R294" s="281"/>
      <c r="S294" s="284">
        <f>S280+S316</f>
        <v>45604</v>
      </c>
      <c r="T294" s="281"/>
      <c r="U294" s="284">
        <f>U280+U316</f>
        <v>46940</v>
      </c>
      <c r="V294" s="281"/>
      <c r="W294" s="284">
        <f>W280+W316</f>
        <v>63757</v>
      </c>
      <c r="X294" s="281"/>
      <c r="Y294" s="284">
        <f>Y280+Y316</f>
        <v>60121</v>
      </c>
      <c r="Z294" s="281"/>
      <c r="AA294" s="284">
        <f>AA280+AA316</f>
        <v>66523</v>
      </c>
      <c r="AB294" s="281"/>
      <c r="AC294" s="284">
        <f>AC280+AC316</f>
        <v>49381</v>
      </c>
      <c r="AD294" s="281"/>
      <c r="AE294" s="284">
        <f>AE280+AE316</f>
        <v>64337</v>
      </c>
      <c r="AF294" s="281"/>
      <c r="AG294" s="284">
        <f>AG280+AG316</f>
        <v>56528</v>
      </c>
      <c r="AH294" s="281"/>
      <c r="AI294" s="284">
        <f>AI280+AI316</f>
        <v>48585</v>
      </c>
      <c r="AJ294" s="281"/>
      <c r="AK294" s="284">
        <f>AK280+AK316</f>
        <v>40225</v>
      </c>
      <c r="AL294" s="281"/>
      <c r="AM294" s="284">
        <f>AM280+AM316</f>
        <v>46215</v>
      </c>
      <c r="AN294" s="281"/>
      <c r="AO294" s="284">
        <f>AO280+AO316</f>
        <v>66849</v>
      </c>
      <c r="AP294" s="281"/>
      <c r="AQ294" s="284">
        <f>AQ280+AQ316</f>
        <v>52152</v>
      </c>
      <c r="AR294" s="281"/>
      <c r="AS294" s="284">
        <f>AS280+AS316</f>
        <v>51111</v>
      </c>
      <c r="AT294" s="281"/>
      <c r="AU294" s="284">
        <f>AU280+AU316</f>
        <v>54166</v>
      </c>
      <c r="AV294" s="281"/>
      <c r="AW294" s="284">
        <f>AW280+AW316</f>
        <v>42727</v>
      </c>
      <c r="AX294" s="281"/>
      <c r="AY294" s="284">
        <f>AY280+AY316</f>
        <v>36170</v>
      </c>
      <c r="AZ294" s="281"/>
      <c r="BA294" s="284">
        <f>BA280+BA316</f>
        <v>27441</v>
      </c>
      <c r="BB294" s="281"/>
      <c r="BC294" s="284">
        <f>BC280+BC316</f>
        <v>27309</v>
      </c>
      <c r="BD294" s="281"/>
      <c r="BE294" s="284">
        <f>BE280+BE316</f>
        <v>36946</v>
      </c>
      <c r="BF294" s="281"/>
      <c r="BG294" s="284">
        <f>BG280+BG316</f>
        <v>30631</v>
      </c>
      <c r="BH294" s="281"/>
      <c r="BI294" s="284">
        <f>BI280+BI316</f>
        <v>24835</v>
      </c>
      <c r="BJ294" s="281"/>
      <c r="BK294" s="284">
        <f>BK280+BK316</f>
        <v>35912</v>
      </c>
      <c r="BL294" s="281"/>
      <c r="BM294" s="284">
        <f>BM280+BM316</f>
        <v>35315</v>
      </c>
      <c r="BN294" s="281"/>
      <c r="BO294" s="284">
        <f>BO280+BO316</f>
        <v>31899</v>
      </c>
      <c r="BP294" s="281"/>
      <c r="BQ294" s="284">
        <f>BQ280+BQ316</f>
        <v>35370</v>
      </c>
      <c r="BR294" s="281"/>
      <c r="BS294" s="284">
        <f>BS280+BS316</f>
        <v>29208</v>
      </c>
      <c r="BT294" s="281"/>
      <c r="BU294" s="284">
        <f>BU280+BU316</f>
        <v>35201</v>
      </c>
      <c r="BV294" s="281"/>
      <c r="BW294" s="284">
        <f>BW280+BW316</f>
        <v>33588</v>
      </c>
      <c r="BX294" s="281"/>
      <c r="BY294" s="284">
        <f>BY280+BY316</f>
        <v>31408</v>
      </c>
      <c r="BZ294" s="281"/>
      <c r="CA294" s="284">
        <f>CA280+CA316</f>
        <v>30659</v>
      </c>
      <c r="CB294" s="281"/>
      <c r="CC294" s="284">
        <f>CC280+CC316</f>
        <v>42128</v>
      </c>
      <c r="CD294" s="281"/>
      <c r="CE294" s="284">
        <f>CE280+CE316</f>
        <v>36982</v>
      </c>
      <c r="CF294" s="281"/>
      <c r="CG294" s="284">
        <f>CG280+CG316</f>
        <v>36917</v>
      </c>
      <c r="CH294" s="281"/>
      <c r="CI294" s="284">
        <f>CI280+CI316</f>
        <v>43096</v>
      </c>
      <c r="CJ294" s="281"/>
      <c r="CK294" s="284">
        <f>CK280+CK316</f>
        <v>37473</v>
      </c>
      <c r="CL294" s="281"/>
      <c r="CM294" s="284">
        <f>CM280+CM316</f>
        <v>40121</v>
      </c>
      <c r="CN294" s="281"/>
      <c r="CO294" s="284">
        <f>CO280+CO316</f>
        <v>29024</v>
      </c>
      <c r="CP294" s="281"/>
      <c r="CQ294" s="284">
        <f>CQ280+CQ316</f>
        <v>42466</v>
      </c>
      <c r="CR294" s="281"/>
      <c r="CS294" s="284">
        <f>CS280+CS316</f>
        <v>29918</v>
      </c>
      <c r="CT294" s="281"/>
      <c r="CU294" s="284">
        <f>CU280+CU316</f>
        <v>28771</v>
      </c>
      <c r="CV294" s="281"/>
      <c r="CW294" s="284">
        <f>CW280+CW316</f>
        <v>22791</v>
      </c>
      <c r="CX294" s="281"/>
      <c r="CY294" s="284">
        <f>CY280+CY316</f>
        <v>29827</v>
      </c>
      <c r="CZ294" s="281"/>
      <c r="DA294" s="284">
        <f>DA280+DA316</f>
        <v>28700</v>
      </c>
      <c r="DB294" s="281"/>
      <c r="DC294" s="284">
        <f>DC280+DC316</f>
        <v>39554</v>
      </c>
      <c r="DD294" s="281"/>
      <c r="DE294" s="284">
        <f>DE280+DE316</f>
        <v>34883</v>
      </c>
      <c r="DF294" s="281"/>
      <c r="DG294" s="284">
        <f>DG280+DG316</f>
        <v>35519</v>
      </c>
      <c r="DH294" s="281"/>
      <c r="DI294" s="284">
        <f>DI280+DI316</f>
        <v>30539</v>
      </c>
      <c r="DJ294" s="281"/>
      <c r="DK294" s="284">
        <f>DK280+DK316</f>
        <v>38843</v>
      </c>
      <c r="DL294" s="281"/>
      <c r="DM294" s="284">
        <f>DM280+DM316</f>
        <v>37961</v>
      </c>
      <c r="DN294" s="281"/>
      <c r="DO294" s="284">
        <f>DO280+DO316</f>
        <v>33594</v>
      </c>
      <c r="DP294" s="281"/>
      <c r="DQ294" s="284">
        <f>DQ280+DQ316</f>
        <v>40763</v>
      </c>
      <c r="DR294" s="281"/>
      <c r="DS294" s="284">
        <f>DS280+DS316</f>
        <v>26552</v>
      </c>
      <c r="DT294" s="281"/>
      <c r="DU294" s="141" t="s">
        <v>29</v>
      </c>
      <c r="DV294" s="141" t="s">
        <v>29</v>
      </c>
      <c r="DW294" s="141" t="s">
        <v>29</v>
      </c>
      <c r="DX294" s="141" t="s">
        <v>29</v>
      </c>
      <c r="DY294" s="141" t="s">
        <v>29</v>
      </c>
      <c r="DZ294" s="141"/>
      <c r="EA294" s="141"/>
      <c r="EB294" s="141"/>
      <c r="EC294" s="141"/>
      <c r="ED294" s="141"/>
      <c r="EE294" s="141"/>
      <c r="EF294" s="141"/>
      <c r="EG294" s="141"/>
      <c r="EH294" s="141"/>
      <c r="EI294" s="141"/>
      <c r="EJ294" s="141"/>
      <c r="EK294" s="141"/>
      <c r="EL294" s="141"/>
      <c r="EM294" s="127" t="s">
        <v>29</v>
      </c>
      <c r="EN294" s="284">
        <f>EN280+EN316</f>
        <v>27439</v>
      </c>
      <c r="EO294" s="281"/>
      <c r="EP294" s="284">
        <f>EP280+EP316</f>
        <v>27078</v>
      </c>
      <c r="EQ294" s="281"/>
      <c r="ER294" s="284">
        <f>ER280+ER316</f>
        <v>29630</v>
      </c>
      <c r="ES294" s="281"/>
      <c r="ET294" s="284">
        <f>ET280+ET316</f>
        <v>36488</v>
      </c>
      <c r="EU294" s="281"/>
      <c r="EV294" s="284">
        <f>EV280+EV316</f>
        <v>25347</v>
      </c>
      <c r="EW294" s="281"/>
      <c r="EX294" s="284">
        <f>EX280+EX316</f>
        <v>29761</v>
      </c>
      <c r="EY294" s="281"/>
      <c r="EZ294" s="284">
        <f>EZ280+EZ316</f>
        <v>40291</v>
      </c>
      <c r="FA294" s="281"/>
      <c r="FB294" s="284">
        <f>FB280+FB316</f>
        <v>31517</v>
      </c>
      <c r="FC294" s="281"/>
      <c r="FD294" s="284">
        <f>FD280+FD316</f>
        <v>27806</v>
      </c>
      <c r="FE294" s="281"/>
      <c r="FF294" s="284">
        <f>FF280+FF316</f>
        <v>27259</v>
      </c>
      <c r="FG294" s="281"/>
      <c r="FH294" s="284">
        <f>FH280+FH316</f>
        <v>24818</v>
      </c>
      <c r="FI294" s="281"/>
      <c r="FJ294" s="284">
        <f>FJ280+FJ316</f>
        <v>25555</v>
      </c>
      <c r="FK294" s="281"/>
      <c r="FL294" s="284">
        <f>FL280+FL316</f>
        <v>27903</v>
      </c>
      <c r="FM294" s="281"/>
      <c r="FN294" s="284">
        <f>FN280+FN316</f>
        <v>24202</v>
      </c>
      <c r="FO294" s="281"/>
      <c r="FP294" s="284">
        <f>FP280+FP316</f>
        <v>20593</v>
      </c>
      <c r="FQ294" s="281"/>
      <c r="FR294" s="127" t="s">
        <v>29</v>
      </c>
      <c r="FS294" s="127" t="s">
        <v>29</v>
      </c>
      <c r="FT294" s="127" t="s">
        <v>29</v>
      </c>
      <c r="FU294" s="127"/>
      <c r="FV294" s="127"/>
      <c r="FW294" s="127"/>
      <c r="FX294" s="127"/>
      <c r="FY294" s="127"/>
      <c r="FZ294" s="127"/>
      <c r="GA294" s="127"/>
      <c r="GB294" s="127"/>
      <c r="GC294" s="127"/>
      <c r="GD294" s="127"/>
      <c r="GE294" s="127"/>
      <c r="GF294" s="127"/>
      <c r="GG294" s="273"/>
    </row>
    <row r="295" spans="1:189" ht="11.25" customHeight="1" outlineLevel="2" x14ac:dyDescent="0.3">
      <c r="A295" s="1"/>
      <c r="B295" s="432"/>
      <c r="C295" s="301"/>
      <c r="D295" s="301"/>
      <c r="E295" s="142" t="s">
        <v>236</v>
      </c>
      <c r="F295" s="301"/>
      <c r="G295" s="29" t="s">
        <v>237</v>
      </c>
      <c r="H295" s="5"/>
      <c r="I295" s="341">
        <f>I316/I4</f>
        <v>1.9950840659725348</v>
      </c>
      <c r="J295" s="281"/>
      <c r="K295" s="341">
        <f>K316/K4</f>
        <v>3.6781098546042004</v>
      </c>
      <c r="L295" s="281"/>
      <c r="M295" s="341">
        <f>M316/M4</f>
        <v>3.4858646909728992</v>
      </c>
      <c r="N295" s="281"/>
      <c r="O295" s="341">
        <f>O316/O4</f>
        <v>3.0366772734885279</v>
      </c>
      <c r="P295" s="281"/>
      <c r="Q295" s="341">
        <f>Q316/Q4</f>
        <v>2.2904162633107452</v>
      </c>
      <c r="R295" s="281"/>
      <c r="S295" s="341">
        <f>S316/S4</f>
        <v>2.3903123903123902</v>
      </c>
      <c r="T295" s="281"/>
      <c r="U295" s="341">
        <f>U316/U4</f>
        <v>1.762528864756912</v>
      </c>
      <c r="V295" s="281"/>
      <c r="W295" s="341">
        <f>W316/W4</f>
        <v>1.668941660433807</v>
      </c>
      <c r="X295" s="281"/>
      <c r="Y295" s="341">
        <f>Y316/Y4</f>
        <v>1.4975916050232239</v>
      </c>
      <c r="Z295" s="281"/>
      <c r="AA295" s="341">
        <f>AA316/AA4</f>
        <v>1.2624354005167959</v>
      </c>
      <c r="AB295" s="281"/>
      <c r="AC295" s="341">
        <f>AC316/AC4</f>
        <v>1.80074630680366</v>
      </c>
      <c r="AD295" s="281"/>
      <c r="AE295" s="341">
        <f>AE316/AE4</f>
        <v>1.3313125189451349</v>
      </c>
      <c r="AF295" s="281"/>
      <c r="AG295" s="341">
        <f>AG316/AG4</f>
        <v>2.2036447144232905</v>
      </c>
      <c r="AH295" s="281"/>
      <c r="AI295" s="341">
        <f>AI316/AI4</f>
        <v>2.1103953798311861</v>
      </c>
      <c r="AJ295" s="281"/>
      <c r="AK295" s="341">
        <f>AK316/AK4</f>
        <v>1.4214795812244332</v>
      </c>
      <c r="AL295" s="281"/>
      <c r="AM295" s="341">
        <f>AM316/AM4</f>
        <v>1.7908018515753323</v>
      </c>
      <c r="AN295" s="281"/>
      <c r="AO295" s="341">
        <f>AO316/AO4</f>
        <v>1.1735452031021205</v>
      </c>
      <c r="AP295" s="281"/>
      <c r="AQ295" s="341">
        <f>AQ316/AQ4</f>
        <v>1.25783316677444</v>
      </c>
      <c r="AR295" s="281"/>
      <c r="AS295" s="341">
        <f>AS316/AS4</f>
        <v>1.4906926406926406</v>
      </c>
      <c r="AT295" s="281"/>
      <c r="AU295" s="341">
        <f>AU316/AU4</f>
        <v>1.4082787779596291</v>
      </c>
      <c r="AV295" s="281"/>
      <c r="AW295" s="342">
        <f>AW316/AW4</f>
        <v>1.3598174952800504</v>
      </c>
      <c r="AX295" s="281"/>
      <c r="AY295" s="342">
        <f>AY316/AY4</f>
        <v>1.4994546522359258</v>
      </c>
      <c r="AZ295" s="281"/>
      <c r="BA295" s="342">
        <f>BA316/BA4</f>
        <v>1.1951239876429824</v>
      </c>
      <c r="BB295" s="281"/>
      <c r="BC295" s="342">
        <f>BC316/BC4</f>
        <v>0.81831940912943457</v>
      </c>
      <c r="BD295" s="281"/>
      <c r="BE295" s="342">
        <f>BE316/BE4</f>
        <v>1.2884160756501182</v>
      </c>
      <c r="BF295" s="281"/>
      <c r="BG295" s="342">
        <f>BG316/BG4</f>
        <v>1.45118647740817</v>
      </c>
      <c r="BH295" s="281"/>
      <c r="BI295" s="342">
        <f>BI316/BI4</f>
        <v>1.0964136950116834</v>
      </c>
      <c r="BJ295" s="281"/>
      <c r="BK295" s="342">
        <f>BK316/BK4</f>
        <v>0.91909385113268605</v>
      </c>
      <c r="BL295" s="281"/>
      <c r="BM295" s="342">
        <f>BM316/BM4</f>
        <v>1.0048493245583652</v>
      </c>
      <c r="BN295" s="281"/>
      <c r="BO295" s="342">
        <f>BO316/BO4</f>
        <v>1.0246565371667729</v>
      </c>
      <c r="BP295" s="281"/>
      <c r="BQ295" s="342">
        <f>BQ316/BQ4</f>
        <v>1.1255759239290266</v>
      </c>
      <c r="BR295" s="281"/>
      <c r="BS295" s="342">
        <f>BS316/BS4</f>
        <v>0.763456744529591</v>
      </c>
      <c r="BT295" s="281"/>
      <c r="BU295" s="342">
        <f>BU316/BU4</f>
        <v>0.81572350930497528</v>
      </c>
      <c r="BV295" s="281"/>
      <c r="BW295" s="342">
        <f>BW316/BW4</f>
        <v>0.63190866510538646</v>
      </c>
      <c r="BX295" s="281"/>
      <c r="BY295" s="342">
        <f>BY316/BY4</f>
        <v>0.73336972627310304</v>
      </c>
      <c r="BZ295" s="281"/>
      <c r="CA295" s="342">
        <f>CA316/CA4</f>
        <v>0.76101791299402899</v>
      </c>
      <c r="CB295" s="281"/>
      <c r="CC295" s="342">
        <f>CC316/CC4</f>
        <v>1.2261302903365594</v>
      </c>
      <c r="CD295" s="281"/>
      <c r="CE295" s="342">
        <f>CE316/CE4</f>
        <v>0.874342388960759</v>
      </c>
      <c r="CF295" s="281"/>
      <c r="CG295" s="342">
        <f>CG316/CG4</f>
        <v>0.64813242784380309</v>
      </c>
      <c r="CH295" s="281"/>
      <c r="CI295" s="342">
        <f>CI316/CI4</f>
        <v>0.6041719024880623</v>
      </c>
      <c r="CJ295" s="281"/>
      <c r="CK295" s="342">
        <f>CK316/CK4</f>
        <v>0.55096656349890916</v>
      </c>
      <c r="CL295" s="281"/>
      <c r="CM295" s="342">
        <f>CM316/CM4</f>
        <v>0.64259307472012495</v>
      </c>
      <c r="CN295" s="281"/>
      <c r="CO295" s="342">
        <f>CO316/CO4</f>
        <v>0.75471555185213246</v>
      </c>
      <c r="CP295" s="281"/>
      <c r="CQ295" s="342">
        <f>CQ316/CQ4</f>
        <v>0.91263207695947013</v>
      </c>
      <c r="CR295" s="281"/>
      <c r="CS295" s="342">
        <f>CS316/CS4</f>
        <v>0.80164533820840955</v>
      </c>
      <c r="CT295" s="281"/>
      <c r="CU295" s="342">
        <f>CU316/CU4</f>
        <v>0.73597705587115991</v>
      </c>
      <c r="CV295" s="281"/>
      <c r="CW295" s="342">
        <f>CW316/CW4</f>
        <v>0.7217405529200065</v>
      </c>
      <c r="CX295" s="281"/>
      <c r="CY295" s="342">
        <f>CY316/CY4</f>
        <v>0.66147555246215417</v>
      </c>
      <c r="CZ295" s="281"/>
      <c r="DA295" s="342">
        <f>DA316/DA4</f>
        <v>0.8177157360406091</v>
      </c>
      <c r="DB295" s="281"/>
      <c r="DC295" s="342">
        <f>DC316/DC4</f>
        <v>0.74203698592326806</v>
      </c>
      <c r="DD295" s="281"/>
      <c r="DE295" s="342">
        <f>DE316/DE4</f>
        <v>0.70733669419714684</v>
      </c>
      <c r="DF295" s="281"/>
      <c r="DG295" s="342">
        <f>DG316/DG4</f>
        <v>0.73671474663123937</v>
      </c>
      <c r="DH295" s="281"/>
      <c r="DI295" s="342">
        <f>DI316/DI4</f>
        <v>0.64238630435813537</v>
      </c>
      <c r="DJ295" s="281"/>
      <c r="DK295" s="342">
        <f>DK316/DK4</f>
        <v>0.78631362106215141</v>
      </c>
      <c r="DL295" s="281"/>
      <c r="DM295" s="342">
        <f>DM316/DM4</f>
        <v>0.66964757921053897</v>
      </c>
      <c r="DN295" s="281"/>
      <c r="DO295" s="342">
        <f>DO316/DO4</f>
        <v>0.69101748004445795</v>
      </c>
      <c r="DP295" s="281"/>
      <c r="DQ295" s="342">
        <f>DQ316/DQ4</f>
        <v>0.78823409979188874</v>
      </c>
      <c r="DR295" s="281"/>
      <c r="DS295" s="342">
        <f>DS316/DS4</f>
        <v>0.69554084436672492</v>
      </c>
      <c r="DT295" s="281"/>
      <c r="DU295" s="141"/>
      <c r="DV295" s="141"/>
      <c r="DW295" s="141"/>
      <c r="DX295" s="141"/>
      <c r="DY295" s="141"/>
      <c r="DZ295" s="141"/>
      <c r="EA295" s="141"/>
      <c r="EB295" s="141"/>
      <c r="EC295" s="141"/>
      <c r="ED295" s="141"/>
      <c r="EE295" s="127" t="s">
        <v>29</v>
      </c>
      <c r="EF295" s="127" t="s">
        <v>29</v>
      </c>
      <c r="EG295" s="127" t="s">
        <v>29</v>
      </c>
      <c r="EH295" s="127"/>
      <c r="EI295" s="127"/>
      <c r="EJ295" s="127"/>
      <c r="EK295" s="127"/>
      <c r="EL295" s="127"/>
      <c r="EM295" s="127"/>
      <c r="EN295" s="342">
        <f>EN316/EN4</f>
        <v>0.65822624548964992</v>
      </c>
      <c r="EO295" s="281"/>
      <c r="EP295" s="342">
        <f>EP316/EP4</f>
        <v>0.41773430869336781</v>
      </c>
      <c r="EQ295" s="281"/>
      <c r="ER295" s="342">
        <f>ER316/ER4</f>
        <v>0.54621499454460432</v>
      </c>
      <c r="ES295" s="281"/>
      <c r="ET295" s="342">
        <f>ET316/ET4</f>
        <v>1.086461695260744</v>
      </c>
      <c r="EU295" s="281"/>
      <c r="EV295" s="342">
        <f>EV316/EV4</f>
        <v>0.75771436869236908</v>
      </c>
      <c r="EW295" s="281"/>
      <c r="EX295" s="342">
        <f>EX316/EX4</f>
        <v>0.48568377155062809</v>
      </c>
      <c r="EY295" s="281"/>
      <c r="EZ295" s="342">
        <f>EZ316/EZ4</f>
        <v>0.5663143989431968</v>
      </c>
      <c r="FA295" s="281"/>
      <c r="FB295" s="342">
        <f>FB316/FB4</f>
        <v>0.62295816733067733</v>
      </c>
      <c r="FC295" s="281"/>
      <c r="FD295" s="342">
        <f>FD316/FD4</f>
        <v>0.48518021274398432</v>
      </c>
      <c r="FE295" s="281"/>
      <c r="FF295" s="342">
        <f>FF316/FF4</f>
        <v>0.5677150886294855</v>
      </c>
      <c r="FG295" s="281"/>
      <c r="FH295" s="342">
        <f>FH316/FH4</f>
        <v>0.61398740470666224</v>
      </c>
      <c r="FI295" s="281"/>
      <c r="FJ295" s="342">
        <f>FJ316/FJ4</f>
        <v>0.68385714285714283</v>
      </c>
      <c r="FK295" s="281"/>
      <c r="FL295" s="342">
        <f>FL316/FL4</f>
        <v>0.71593718191071687</v>
      </c>
      <c r="FM295" s="281"/>
      <c r="FN295" s="342">
        <f>FN316/FN4</f>
        <v>1.1575616686039003</v>
      </c>
      <c r="FO295" s="281"/>
      <c r="FP295" s="342">
        <f>FP316/FP4</f>
        <v>0.82860562537402749</v>
      </c>
      <c r="FQ295" s="281"/>
      <c r="FR295" s="127"/>
      <c r="FS295" s="127"/>
      <c r="FT295" s="127"/>
      <c r="FU295" s="127"/>
      <c r="FV295" s="127"/>
      <c r="FW295" s="127"/>
      <c r="FX295" s="127"/>
      <c r="FY295" s="127"/>
      <c r="FZ295" s="127"/>
      <c r="GA295" s="127"/>
      <c r="GB295" s="196" t="s">
        <v>29</v>
      </c>
      <c r="GC295" s="196" t="s">
        <v>29</v>
      </c>
      <c r="GD295" s="196" t="s">
        <v>29</v>
      </c>
      <c r="GE295" s="196" t="s">
        <v>29</v>
      </c>
      <c r="GF295" s="196" t="s">
        <v>29</v>
      </c>
      <c r="GG295" s="275"/>
    </row>
    <row r="296" spans="1:189" ht="11.25" customHeight="1" outlineLevel="2" x14ac:dyDescent="0.3">
      <c r="A296" s="143"/>
      <c r="B296" s="430" t="s">
        <v>238</v>
      </c>
      <c r="C296" s="301"/>
      <c r="D296" s="301"/>
      <c r="E296" s="434" t="s">
        <v>239</v>
      </c>
      <c r="F296" s="301"/>
      <c r="G296" s="144" t="s">
        <v>240</v>
      </c>
      <c r="H296" s="145"/>
      <c r="I296" s="345">
        <f>I280/I294</f>
        <v>0.41851438333002949</v>
      </c>
      <c r="J296" s="281"/>
      <c r="K296" s="345">
        <f>K280/K294</f>
        <v>0.42376077245289229</v>
      </c>
      <c r="L296" s="281"/>
      <c r="M296" s="345">
        <f>M280/M294</f>
        <v>0.38627625978305641</v>
      </c>
      <c r="N296" s="281"/>
      <c r="O296" s="345">
        <f>O280/O294</f>
        <v>0.37613542526837324</v>
      </c>
      <c r="P296" s="281"/>
      <c r="Q296" s="345">
        <f>Q280/Q294</f>
        <v>0.43651014170602948</v>
      </c>
      <c r="R296" s="281"/>
      <c r="S296" s="345">
        <f>S280/S294</f>
        <v>0.40268397508990439</v>
      </c>
      <c r="T296" s="281"/>
      <c r="U296" s="345">
        <f>U280/U294</f>
        <v>0.3983596080102258</v>
      </c>
      <c r="V296" s="281"/>
      <c r="W296" s="345">
        <f>W280/W294</f>
        <v>0.44003011434038614</v>
      </c>
      <c r="X296" s="281"/>
      <c r="Y296" s="345">
        <f>Y280/Y294</f>
        <v>0.42080138387585037</v>
      </c>
      <c r="Z296" s="281"/>
      <c r="AA296" s="345">
        <f>AA280/AA294</f>
        <v>0.52996707905536433</v>
      </c>
      <c r="AB296" s="281"/>
      <c r="AC296" s="345">
        <f>AC280/AC294</f>
        <v>0.28660820963528483</v>
      </c>
      <c r="AD296" s="281"/>
      <c r="AE296" s="345">
        <f>AE280/AE294</f>
        <v>0.52214122511152217</v>
      </c>
      <c r="AF296" s="281"/>
      <c r="AG296" s="345">
        <f>AG280/AG294</f>
        <v>0.47376521369940561</v>
      </c>
      <c r="AH296" s="281"/>
      <c r="AI296" s="345">
        <f>AI280/AI294</f>
        <v>0.41333744983019449</v>
      </c>
      <c r="AJ296" s="281"/>
      <c r="AK296" s="345">
        <f>AK280/AK294</f>
        <v>0.49031696706028588</v>
      </c>
      <c r="AL296" s="281"/>
      <c r="AM296" s="345">
        <f>AM280/AM294</f>
        <v>0.48099102023152657</v>
      </c>
      <c r="AN296" s="281"/>
      <c r="AO296" s="345">
        <f>AO280/AO294</f>
        <v>0.67630031862855089</v>
      </c>
      <c r="AP296" s="281"/>
      <c r="AQ296" s="345">
        <f>AQ280/AQ294</f>
        <v>0.58971851510967943</v>
      </c>
      <c r="AR296" s="281"/>
      <c r="AS296" s="345">
        <f>AS280/AS294</f>
        <v>0.59576216470035803</v>
      </c>
      <c r="AT296" s="281"/>
      <c r="AU296" s="345">
        <f>AU280/AU294</f>
        <v>0.61874607687479233</v>
      </c>
      <c r="AV296" s="281"/>
      <c r="AW296" s="345">
        <f>AW280/AW294</f>
        <v>0.59543146020080984</v>
      </c>
      <c r="AX296" s="281"/>
      <c r="AY296" s="345">
        <f>AY280/AY294</f>
        <v>0.50588885816975393</v>
      </c>
      <c r="AZ296" s="281"/>
      <c r="BA296" s="345">
        <f>BA280/BA294</f>
        <v>0.47837177945410153</v>
      </c>
      <c r="BB296" s="281"/>
      <c r="BC296" s="345">
        <f>BC280/BC294</f>
        <v>0.50503497015635868</v>
      </c>
      <c r="BD296" s="281"/>
      <c r="BE296" s="345">
        <f>BE280/BE294</f>
        <v>0.55746224219130625</v>
      </c>
      <c r="BF296" s="281"/>
      <c r="BG296" s="345">
        <f>BG280/BG294</f>
        <v>0.56276321373771665</v>
      </c>
      <c r="BH296" s="281"/>
      <c r="BI296" s="345">
        <f>BI280/BI294</f>
        <v>0.56545198308838329</v>
      </c>
      <c r="BJ296" s="281"/>
      <c r="BK296" s="345">
        <f>BK280/BK294</f>
        <v>0.65994653597683228</v>
      </c>
      <c r="BL296" s="281"/>
      <c r="BM296" s="345">
        <f>BM280/BM294</f>
        <v>0.67141441313889283</v>
      </c>
      <c r="BN296" s="281"/>
      <c r="BO296" s="345">
        <f>BO280/BO294</f>
        <v>0.64694818019373646</v>
      </c>
      <c r="BP296" s="281"/>
      <c r="BQ296" s="345">
        <f>BQ280/BQ294</f>
        <v>0.67537461125247389</v>
      </c>
      <c r="BR296" s="281"/>
      <c r="BS296" s="345">
        <f>BS280/BS294</f>
        <v>0.71689263215557386</v>
      </c>
      <c r="BT296" s="281"/>
      <c r="BU296" s="345">
        <f>BU280/BU294</f>
        <v>0.69492343967500925</v>
      </c>
      <c r="BV296" s="281"/>
      <c r="BW296" s="345">
        <f>BW280/BW294</f>
        <v>0.67866499940454927</v>
      </c>
      <c r="BX296" s="281"/>
      <c r="BY296" s="345">
        <f>BY280/BY294</f>
        <v>0.70058583800305652</v>
      </c>
      <c r="BZ296" s="281"/>
      <c r="CA296" s="345">
        <f>CA280/CA294</f>
        <v>0.65080400534916338</v>
      </c>
      <c r="CB296" s="281"/>
      <c r="CC296" s="345">
        <f>CC280/CC294</f>
        <v>0.59701386251424227</v>
      </c>
      <c r="CD296" s="281"/>
      <c r="CE296" s="345">
        <f>CE280/CE294</f>
        <v>0.72586663782380623</v>
      </c>
      <c r="CF296" s="281"/>
      <c r="CG296" s="345">
        <f>CG280/CG294</f>
        <v>0.75182165398055101</v>
      </c>
      <c r="CH296" s="281"/>
      <c r="CI296" s="345">
        <f>CI280/CI294</f>
        <v>0.72108780397252648</v>
      </c>
      <c r="CJ296" s="281"/>
      <c r="CK296" s="345">
        <f>CK280/CK294</f>
        <v>0.71021802364369013</v>
      </c>
      <c r="CL296" s="281"/>
      <c r="CM296" s="345">
        <f>CM280/CM294</f>
        <v>0.69240547344283543</v>
      </c>
      <c r="CN296" s="281"/>
      <c r="CO296" s="345">
        <f>CO280/CO294</f>
        <v>0.6567323594266814</v>
      </c>
      <c r="CP296" s="281"/>
      <c r="CQ296" s="345">
        <f>CQ280/CQ294</f>
        <v>0.72745255027551448</v>
      </c>
      <c r="CR296" s="281"/>
      <c r="CS296" s="345">
        <f>CS280/CS294</f>
        <v>0.53098469149007288</v>
      </c>
      <c r="CT296" s="281"/>
      <c r="CU296" s="345">
        <f>CU280/CU294</f>
        <v>0.53619964547634769</v>
      </c>
      <c r="CV296" s="281"/>
      <c r="CW296" s="345">
        <f>CW280/CW294</f>
        <v>0.41924443859418192</v>
      </c>
      <c r="CX296" s="281"/>
      <c r="CY296" s="345">
        <f>CY280/CY294</f>
        <v>0.4901934488885909</v>
      </c>
      <c r="CZ296" s="281"/>
      <c r="DA296" s="345">
        <f>DA280/DA294</f>
        <v>0.4387108013937282</v>
      </c>
      <c r="DB296" s="281"/>
      <c r="DC296" s="345">
        <f>DC280/DC294</f>
        <v>0.66016079284016782</v>
      </c>
      <c r="DD296" s="281"/>
      <c r="DE296" s="345">
        <f>DE280/DE294</f>
        <v>0.62190751942206801</v>
      </c>
      <c r="DF296" s="281"/>
      <c r="DG296" s="345">
        <f>DG280/DG294</f>
        <v>0.56285368394380475</v>
      </c>
      <c r="DH296" s="281"/>
      <c r="DI296" s="345">
        <f>DI280/DI294</f>
        <v>0.55643603261403451</v>
      </c>
      <c r="DJ296" s="281"/>
      <c r="DK296" s="345">
        <f>DK280/DK294</f>
        <v>0.59709600185361589</v>
      </c>
      <c r="DL296" s="281"/>
      <c r="DM296" s="345">
        <f>DM280/DM294</f>
        <v>0.63309712599773449</v>
      </c>
      <c r="DN296" s="281"/>
      <c r="DO296" s="345">
        <f>DO280/DO294</f>
        <v>0.59284396023099362</v>
      </c>
      <c r="DP296" s="281"/>
      <c r="DQ296" s="345">
        <f>DQ280/DQ294</f>
        <v>0.61904177808306549</v>
      </c>
      <c r="DR296" s="281"/>
      <c r="DS296" s="345">
        <f>DS280/DS294</f>
        <v>0.58055890328412174</v>
      </c>
      <c r="DT296" s="281"/>
      <c r="DU296" s="141"/>
      <c r="DV296" s="141"/>
      <c r="DW296" s="141"/>
      <c r="DX296" s="141"/>
      <c r="DY296" s="141"/>
      <c r="DZ296" s="141"/>
      <c r="EA296" s="141"/>
      <c r="EB296" s="141"/>
      <c r="EC296" s="141"/>
      <c r="ED296" s="141"/>
      <c r="EE296" s="141"/>
      <c r="EF296" s="141"/>
      <c r="EG296" s="141"/>
      <c r="EH296" s="141"/>
      <c r="EI296" s="141"/>
      <c r="EJ296" s="141"/>
      <c r="EK296" s="141"/>
      <c r="EL296" s="141"/>
      <c r="EM296" s="141"/>
      <c r="EN296" s="345">
        <f>EN280/EN294</f>
        <v>0.6210503298225154</v>
      </c>
      <c r="EO296" s="281"/>
      <c r="EP296" s="345">
        <f>EP280/EP294</f>
        <v>0.61828790900361918</v>
      </c>
      <c r="EQ296" s="281"/>
      <c r="ER296" s="345">
        <f>ER280/ER294</f>
        <v>0.64519068511643607</v>
      </c>
      <c r="ES296" s="281"/>
      <c r="ET296" s="345">
        <f>ET280/ET294</f>
        <v>0.64941898706424028</v>
      </c>
      <c r="EU296" s="281"/>
      <c r="EV296" s="345">
        <f>EV280/EV294</f>
        <v>0.58827474651832568</v>
      </c>
      <c r="EW296" s="281"/>
      <c r="EX296" s="345">
        <f>EX280/EX294</f>
        <v>0.67911024495144656</v>
      </c>
      <c r="EY296" s="281"/>
      <c r="EZ296" s="345">
        <f>EZ280/EZ294</f>
        <v>0.68079720036732772</v>
      </c>
      <c r="FA296" s="281"/>
      <c r="FB296" s="345">
        <f>FB280/FB294</f>
        <v>0.60310308722276862</v>
      </c>
      <c r="FC296" s="281"/>
      <c r="FD296" s="345">
        <f>FD280/FD294</f>
        <v>0.66208731928360787</v>
      </c>
      <c r="FE296" s="281"/>
      <c r="FF296" s="345">
        <f>FF280/FF294</f>
        <v>0.61462269342235587</v>
      </c>
      <c r="FG296" s="281"/>
      <c r="FH296" s="345">
        <f>FH280/FH294</f>
        <v>0.62680312676283345</v>
      </c>
      <c r="FI296" s="281"/>
      <c r="FJ296" s="345">
        <f>FJ280/FJ294</f>
        <v>0.62535707297984744</v>
      </c>
      <c r="FK296" s="281"/>
      <c r="FL296" s="345">
        <f>FL280/FL294</f>
        <v>0.64709887825681822</v>
      </c>
      <c r="FM296" s="281"/>
      <c r="FN296" s="345">
        <f>FN280/FN294</f>
        <v>0.62965870589207507</v>
      </c>
      <c r="FO296" s="281"/>
      <c r="FP296" s="345">
        <f>FP280/FP294</f>
        <v>0.66381780216578445</v>
      </c>
      <c r="FQ296" s="281"/>
      <c r="FR296" s="141"/>
      <c r="FS296" s="141"/>
      <c r="FT296" s="141"/>
      <c r="FU296" s="141"/>
      <c r="FV296" s="141"/>
      <c r="FW296" s="141"/>
      <c r="FX296" s="141"/>
      <c r="FY296" s="141"/>
      <c r="FZ296" s="141"/>
      <c r="GA296" s="141"/>
      <c r="GB296" s="141"/>
      <c r="GC296" s="141"/>
      <c r="GD296" s="141"/>
      <c r="GE296" s="141"/>
      <c r="GF296" s="141"/>
      <c r="GG296" s="276"/>
    </row>
    <row r="297" spans="1:189" ht="11.25" customHeight="1" outlineLevel="2" x14ac:dyDescent="0.3">
      <c r="A297" s="143"/>
      <c r="B297" s="431"/>
      <c r="C297" s="301"/>
      <c r="D297" s="301"/>
      <c r="E297" s="301"/>
      <c r="F297" s="301"/>
      <c r="G297" s="144" t="s">
        <v>241</v>
      </c>
      <c r="H297" s="145"/>
      <c r="I297" s="345">
        <f>I316/I294</f>
        <v>0.58148561666997045</v>
      </c>
      <c r="J297" s="281"/>
      <c r="K297" s="345">
        <f>K316/K294</f>
        <v>0.57623922754710777</v>
      </c>
      <c r="L297" s="281"/>
      <c r="M297" s="345">
        <f>M316/M294</f>
        <v>0.61372374021694354</v>
      </c>
      <c r="N297" s="281"/>
      <c r="O297" s="345">
        <f>O316/O294</f>
        <v>0.62386457473162671</v>
      </c>
      <c r="P297" s="281"/>
      <c r="Q297" s="345">
        <f>Q316/Q294</f>
        <v>0.56348985829397058</v>
      </c>
      <c r="R297" s="281"/>
      <c r="S297" s="345">
        <f>S316/S294</f>
        <v>0.59731602491009561</v>
      </c>
      <c r="T297" s="281"/>
      <c r="U297" s="345">
        <f>U316/U294</f>
        <v>0.60164039198977415</v>
      </c>
      <c r="V297" s="281"/>
      <c r="W297" s="345">
        <f>W316/W294</f>
        <v>0.55996988565961381</v>
      </c>
      <c r="X297" s="281"/>
      <c r="Y297" s="345">
        <f>Y316/Y294</f>
        <v>0.57919861612414958</v>
      </c>
      <c r="Z297" s="281"/>
      <c r="AA297" s="345">
        <f>AA316/AA294</f>
        <v>0.47003292094463567</v>
      </c>
      <c r="AB297" s="281"/>
      <c r="AC297" s="345">
        <f>AC316/AC294</f>
        <v>0.71339179036471523</v>
      </c>
      <c r="AD297" s="281"/>
      <c r="AE297" s="345">
        <f>AE316/AE294</f>
        <v>0.47785877488847783</v>
      </c>
      <c r="AF297" s="281"/>
      <c r="AG297" s="345">
        <f>AG316/AG294</f>
        <v>0.52623478630059439</v>
      </c>
      <c r="AH297" s="281"/>
      <c r="AI297" s="345">
        <f>AI316/AI294</f>
        <v>0.58666255016980551</v>
      </c>
      <c r="AJ297" s="281"/>
      <c r="AK297" s="345">
        <f>AK316/AK294</f>
        <v>0.50968303293971406</v>
      </c>
      <c r="AL297" s="281"/>
      <c r="AM297" s="345">
        <f>AM316/AM294</f>
        <v>0.51900897976847349</v>
      </c>
      <c r="AN297" s="281"/>
      <c r="AO297" s="345">
        <f>AO316/AO294</f>
        <v>0.32369968137144911</v>
      </c>
      <c r="AP297" s="281"/>
      <c r="AQ297" s="345">
        <f>AQ316/AQ294</f>
        <v>0.41028148489032062</v>
      </c>
      <c r="AR297" s="281"/>
      <c r="AS297" s="345">
        <f>AS316/AS294</f>
        <v>0.40423783529964197</v>
      </c>
      <c r="AT297" s="281"/>
      <c r="AU297" s="345">
        <f>AU316/AU294</f>
        <v>0.38125392312520767</v>
      </c>
      <c r="AV297" s="281"/>
      <c r="AW297" s="345">
        <f>AW316/AW294</f>
        <v>0.40456853979919022</v>
      </c>
      <c r="AX297" s="281"/>
      <c r="AY297" s="345">
        <f>AY316/AY294</f>
        <v>0.49411114183024607</v>
      </c>
      <c r="AZ297" s="281"/>
      <c r="BA297" s="345">
        <f>BA316/BA294</f>
        <v>0.52162822054589852</v>
      </c>
      <c r="BB297" s="281"/>
      <c r="BC297" s="345">
        <f>BC316/BC294</f>
        <v>0.49496502984364127</v>
      </c>
      <c r="BD297" s="281"/>
      <c r="BE297" s="345">
        <f>BE316/BE294</f>
        <v>0.44253775780869375</v>
      </c>
      <c r="BF297" s="281"/>
      <c r="BG297" s="345">
        <f>BG316/BG294</f>
        <v>0.43723678626228329</v>
      </c>
      <c r="BH297" s="281"/>
      <c r="BI297" s="345">
        <f>BI316/BI294</f>
        <v>0.43454801691161665</v>
      </c>
      <c r="BJ297" s="281"/>
      <c r="BK297" s="345">
        <f>BK316/BK294</f>
        <v>0.34005346402316772</v>
      </c>
      <c r="BL297" s="281"/>
      <c r="BM297" s="345">
        <f>BM316/BM294</f>
        <v>0.32858558686110717</v>
      </c>
      <c r="BN297" s="281"/>
      <c r="BO297" s="345">
        <f>BO316/BO294</f>
        <v>0.35305181980626354</v>
      </c>
      <c r="BP297" s="281"/>
      <c r="BQ297" s="345">
        <f>BQ316/BQ294</f>
        <v>0.32462538874752617</v>
      </c>
      <c r="BR297" s="281"/>
      <c r="BS297" s="345">
        <f>BS316/BS294</f>
        <v>0.28310736784442619</v>
      </c>
      <c r="BT297" s="281"/>
      <c r="BU297" s="345">
        <f>BU316/BU294</f>
        <v>0.30507656032499075</v>
      </c>
      <c r="BV297" s="281"/>
      <c r="BW297" s="345">
        <f>BW316/BW294</f>
        <v>0.32133500059545078</v>
      </c>
      <c r="BX297" s="281"/>
      <c r="BY297" s="345">
        <f>BY316/BY294</f>
        <v>0.29941416199694343</v>
      </c>
      <c r="BZ297" s="281"/>
      <c r="CA297" s="345">
        <f>CA316/CA294</f>
        <v>0.34919599465083662</v>
      </c>
      <c r="CB297" s="281"/>
      <c r="CC297" s="345">
        <f>CC316/CC294</f>
        <v>0.40298613748575768</v>
      </c>
      <c r="CD297" s="281"/>
      <c r="CE297" s="345">
        <f>CE316/CE294</f>
        <v>0.27413336217619383</v>
      </c>
      <c r="CF297" s="281"/>
      <c r="CG297" s="345">
        <f>CG316/CG294</f>
        <v>0.24817834601944905</v>
      </c>
      <c r="CH297" s="281"/>
      <c r="CI297" s="345">
        <f>CI316/CI294</f>
        <v>0.27891219602747352</v>
      </c>
      <c r="CJ297" s="281"/>
      <c r="CK297" s="345">
        <f>CK316/CK294</f>
        <v>0.28978197635630987</v>
      </c>
      <c r="CL297" s="281"/>
      <c r="CM297" s="345">
        <f>CM316/CM294</f>
        <v>0.30759452655716457</v>
      </c>
      <c r="CN297" s="281"/>
      <c r="CO297" s="345">
        <f>CO316/CO294</f>
        <v>0.34326764057331866</v>
      </c>
      <c r="CP297" s="281"/>
      <c r="CQ297" s="345">
        <f>CQ316/CQ294</f>
        <v>0.27254744972448547</v>
      </c>
      <c r="CR297" s="281"/>
      <c r="CS297" s="345">
        <f>CS316/CS294</f>
        <v>0.46901530850992712</v>
      </c>
      <c r="CT297" s="281"/>
      <c r="CU297" s="345">
        <f>CU316/CU294</f>
        <v>0.46380035452365231</v>
      </c>
      <c r="CV297" s="281"/>
      <c r="CW297" s="345">
        <f>CW316/CW294</f>
        <v>0.58075556140581808</v>
      </c>
      <c r="CX297" s="281"/>
      <c r="CY297" s="345">
        <f>CY316/CY294</f>
        <v>0.50980655111140916</v>
      </c>
      <c r="CZ297" s="281"/>
      <c r="DA297" s="345">
        <f>DA316/DA294</f>
        <v>0.5612891986062718</v>
      </c>
      <c r="DB297" s="281"/>
      <c r="DC297" s="345">
        <f>DC316/DC294</f>
        <v>0.33983920715983212</v>
      </c>
      <c r="DD297" s="281"/>
      <c r="DE297" s="345">
        <f>DE316/DE294</f>
        <v>0.37809248057793193</v>
      </c>
      <c r="DF297" s="281"/>
      <c r="DG297" s="345">
        <f>DG316/DG294</f>
        <v>0.43714631605619525</v>
      </c>
      <c r="DH297" s="281"/>
      <c r="DI297" s="345">
        <f>DI316/DI294</f>
        <v>0.44356396738596549</v>
      </c>
      <c r="DJ297" s="281"/>
      <c r="DK297" s="345">
        <f>DK316/DK294</f>
        <v>0.40290399814638417</v>
      </c>
      <c r="DL297" s="281"/>
      <c r="DM297" s="345">
        <f>DM316/DM294</f>
        <v>0.36690287400226546</v>
      </c>
      <c r="DN297" s="281"/>
      <c r="DO297" s="345">
        <f>DO316/DO294</f>
        <v>0.40715603976900638</v>
      </c>
      <c r="DP297" s="281"/>
      <c r="DQ297" s="345">
        <f>DQ316/DQ294</f>
        <v>0.38095822191693446</v>
      </c>
      <c r="DR297" s="281"/>
      <c r="DS297" s="345">
        <f>DS316/DS294</f>
        <v>0.41944109671587826</v>
      </c>
      <c r="DT297" s="281"/>
      <c r="DU297" s="141"/>
      <c r="DV297" s="141"/>
      <c r="DW297" s="141"/>
      <c r="DX297" s="141"/>
      <c r="DY297" s="141"/>
      <c r="DZ297" s="141"/>
      <c r="EA297" s="141"/>
      <c r="EB297" s="141"/>
      <c r="EC297" s="141"/>
      <c r="ED297" s="141"/>
      <c r="EE297" s="141"/>
      <c r="EF297" s="141"/>
      <c r="EG297" s="141"/>
      <c r="EH297" s="141"/>
      <c r="EI297" s="141"/>
      <c r="EJ297" s="141"/>
      <c r="EK297" s="141"/>
      <c r="EL297" s="141"/>
      <c r="EM297" s="141"/>
      <c r="EN297" s="345">
        <f>EN316/EN294</f>
        <v>0.3789496701774846</v>
      </c>
      <c r="EO297" s="281"/>
      <c r="EP297" s="345">
        <f>EP316/EP294</f>
        <v>0.38171209099638082</v>
      </c>
      <c r="EQ297" s="281"/>
      <c r="ER297" s="345">
        <f>ER316/ER294</f>
        <v>0.35480931488356393</v>
      </c>
      <c r="ES297" s="281"/>
      <c r="ET297" s="345">
        <f>ET316/ET294</f>
        <v>0.35058101293575972</v>
      </c>
      <c r="EU297" s="281"/>
      <c r="EV297" s="345">
        <f>EV316/EV294</f>
        <v>0.41172525348167438</v>
      </c>
      <c r="EW297" s="281"/>
      <c r="EX297" s="345">
        <f>EX316/EX294</f>
        <v>0.32088975504855349</v>
      </c>
      <c r="EY297" s="281"/>
      <c r="EZ297" s="345">
        <f>EZ316/EZ294</f>
        <v>0.31920279963267228</v>
      </c>
      <c r="FA297" s="281"/>
      <c r="FB297" s="345">
        <f>FB316/FB294</f>
        <v>0.39689691277723133</v>
      </c>
      <c r="FC297" s="281"/>
      <c r="FD297" s="345">
        <f>FD316/FD294</f>
        <v>0.33791268071639213</v>
      </c>
      <c r="FE297" s="281"/>
      <c r="FF297" s="345">
        <f>FF316/FF294</f>
        <v>0.38537730657764407</v>
      </c>
      <c r="FG297" s="281"/>
      <c r="FH297" s="345">
        <f>FH316/FH294</f>
        <v>0.37319687323716655</v>
      </c>
      <c r="FI297" s="281"/>
      <c r="FJ297" s="345">
        <f>FJ316/FJ294</f>
        <v>0.37464292702015262</v>
      </c>
      <c r="FK297" s="281"/>
      <c r="FL297" s="345">
        <f>FL316/FL294</f>
        <v>0.35290112174318172</v>
      </c>
      <c r="FM297" s="281"/>
      <c r="FN297" s="345">
        <f>FN316/FN294</f>
        <v>0.37034129410792499</v>
      </c>
      <c r="FO297" s="281"/>
      <c r="FP297" s="345">
        <f>FP316/FP294</f>
        <v>0.33618219783421549</v>
      </c>
      <c r="FQ297" s="281"/>
      <c r="FR297" s="141"/>
      <c r="FS297" s="141"/>
      <c r="FT297" s="141"/>
      <c r="FU297" s="141"/>
      <c r="FV297" s="141"/>
      <c r="FW297" s="141"/>
      <c r="FX297" s="141"/>
      <c r="FY297" s="141"/>
      <c r="FZ297" s="141"/>
      <c r="GA297" s="141"/>
      <c r="GB297" s="141"/>
      <c r="GC297" s="141"/>
      <c r="GD297" s="141"/>
      <c r="GE297" s="141"/>
      <c r="GF297" s="141"/>
      <c r="GG297" s="276"/>
    </row>
    <row r="298" spans="1:189" ht="12" customHeight="1" outlineLevel="3" x14ac:dyDescent="0.3">
      <c r="A298" s="1"/>
      <c r="B298" s="431"/>
      <c r="C298" s="301"/>
      <c r="D298" s="301"/>
      <c r="E298" s="301"/>
      <c r="F298" s="301"/>
      <c r="G298" s="146" t="s">
        <v>242</v>
      </c>
      <c r="H298" s="5"/>
      <c r="I298" s="327">
        <f>I280/I293</f>
        <v>0.49794323609083058</v>
      </c>
      <c r="J298" s="281"/>
      <c r="K298" s="327">
        <f>K280/K293</f>
        <v>0.53992260561109318</v>
      </c>
      <c r="L298" s="281"/>
      <c r="M298" s="327">
        <f>M280/M293</f>
        <v>0.49946737683089215</v>
      </c>
      <c r="N298" s="281"/>
      <c r="O298" s="327">
        <f>O280/O293</f>
        <v>0.5066623409728177</v>
      </c>
      <c r="P298" s="281"/>
      <c r="Q298" s="327">
        <f>Q280/Q293</f>
        <v>0.52273321449792043</v>
      </c>
      <c r="R298" s="281"/>
      <c r="S298" s="327">
        <f>S280/S293</f>
        <v>0.47063044592516656</v>
      </c>
      <c r="T298" s="281"/>
      <c r="U298" s="327">
        <f>U280/U293</f>
        <v>0.43731144320493931</v>
      </c>
      <c r="V298" s="281"/>
      <c r="W298" s="327">
        <f>W280/W293</f>
        <v>0.5346457293135648</v>
      </c>
      <c r="X298" s="281"/>
      <c r="Y298" s="327">
        <f>Y280/Y293</f>
        <v>0.50353283044404196</v>
      </c>
      <c r="Z298" s="281"/>
      <c r="AA298" s="327">
        <f>AA280/AA293</f>
        <v>0.59207322193299183</v>
      </c>
      <c r="AB298" s="281"/>
      <c r="AC298" s="327">
        <f>AC280/AC293</f>
        <v>0.34526249024199845</v>
      </c>
      <c r="AD298" s="281"/>
      <c r="AE298" s="327">
        <f>AE280/AE293</f>
        <v>0.57191256086349551</v>
      </c>
      <c r="AF298" s="281"/>
      <c r="AG298" s="327">
        <f>AG280/AG293</f>
        <v>0.50083219568754322</v>
      </c>
      <c r="AH298" s="281"/>
      <c r="AI298" s="327">
        <f>AI280/AI293</f>
        <v>0.48661222709539848</v>
      </c>
      <c r="AJ298" s="281"/>
      <c r="AK298" s="327">
        <f>AK280/AK293</f>
        <v>0.56246969913018685</v>
      </c>
      <c r="AL298" s="281"/>
      <c r="AM298" s="327">
        <f>AM280/AM293</f>
        <v>0.5536212392906954</v>
      </c>
      <c r="AN298" s="281"/>
      <c r="AO298" s="433">
        <f>AO280/AO293</f>
        <v>0.73645115574451447</v>
      </c>
      <c r="AP298" s="281"/>
      <c r="AQ298" s="433">
        <f>AQ280/AQ293</f>
        <v>0.67864866057637141</v>
      </c>
      <c r="AR298" s="281"/>
      <c r="AS298" s="433">
        <f>AS280/AS293</f>
        <v>0.67441860465116277</v>
      </c>
      <c r="AT298" s="281"/>
      <c r="AU298" s="433">
        <f>AU280/AU293</f>
        <v>0.708952066675128</v>
      </c>
      <c r="AV298" s="281"/>
      <c r="AW298" s="442">
        <f>AW280/AW293</f>
        <v>0.66547214229662566</v>
      </c>
      <c r="AX298" s="281"/>
      <c r="AY298" s="442">
        <f>AY280/AY293</f>
        <v>0.57338932063173731</v>
      </c>
      <c r="AZ298" s="281"/>
      <c r="BA298" s="442">
        <f>BA280/BA293</f>
        <v>0.54771143655860144</v>
      </c>
      <c r="BB298" s="281"/>
      <c r="BC298" s="442">
        <f>BC280/BC293</f>
        <v>0.57738518859630761</v>
      </c>
      <c r="BD298" s="281"/>
      <c r="BE298" s="442">
        <f>BE280/BE293</f>
        <v>0.63501264105568234</v>
      </c>
      <c r="BF298" s="281"/>
      <c r="BG298" s="346">
        <f>BG280/BG293</f>
        <v>0.64738798963458144</v>
      </c>
      <c r="BH298" s="347"/>
      <c r="BI298" s="346">
        <f>BI280/BI293</f>
        <v>0.66162544169611304</v>
      </c>
      <c r="BJ298" s="347"/>
      <c r="BK298" s="346">
        <f>BK280/BK293</f>
        <v>0.74551745832022653</v>
      </c>
      <c r="BL298" s="347"/>
      <c r="BM298" s="346">
        <f>BM280/BM293</f>
        <v>0.75739474861049005</v>
      </c>
      <c r="BN298" s="347"/>
      <c r="BO298" s="346">
        <f>BO280/BO293</f>
        <v>0.73577438676554474</v>
      </c>
      <c r="BP298" s="347"/>
      <c r="BQ298" s="346">
        <f>BQ280/BQ293</f>
        <v>0.76497902456207767</v>
      </c>
      <c r="BR298" s="347"/>
      <c r="BS298" s="346">
        <f>BS280/BS293</f>
        <v>0.80553204585673621</v>
      </c>
      <c r="BT298" s="347"/>
      <c r="BU298" s="346">
        <f>BU280/BU293</f>
        <v>0.81385367801177766</v>
      </c>
      <c r="BV298" s="347"/>
      <c r="BW298" s="346">
        <f>BW280/BW293</f>
        <v>0.81813940133515184</v>
      </c>
      <c r="BX298" s="347"/>
      <c r="BY298" s="346">
        <f>BY280/BY293</f>
        <v>0.82083038012459431</v>
      </c>
      <c r="BZ298" s="347"/>
      <c r="CA298" s="346">
        <f>CA280/CA293</f>
        <v>0.79608203000319178</v>
      </c>
      <c r="CB298" s="347"/>
      <c r="CC298" s="346">
        <f>CC280/CC293</f>
        <v>0.8415082976445396</v>
      </c>
      <c r="CD298" s="347"/>
      <c r="CE298" s="346">
        <f>CE280/CE293</f>
        <v>0.7716453949637806</v>
      </c>
      <c r="CF298" s="347"/>
      <c r="CG298" s="346">
        <f>CG280/CG293</f>
        <v>0.78344200750839754</v>
      </c>
      <c r="CH298" s="347"/>
      <c r="CI298" s="346">
        <f>CI280/CI293</f>
        <v>0.76142405606056895</v>
      </c>
      <c r="CJ298" s="347"/>
      <c r="CK298" s="346">
        <f>CK280/CK293</f>
        <v>0.76397979102078306</v>
      </c>
      <c r="CL298" s="347"/>
      <c r="CM298" s="346">
        <f>CM280/CM293</f>
        <v>0.74409385546686668</v>
      </c>
      <c r="CN298" s="347"/>
      <c r="CO298" s="346">
        <f>CO280/CO293</f>
        <v>0.73980205705414326</v>
      </c>
      <c r="CP298" s="347"/>
      <c r="CQ298" s="346">
        <f>CQ280/CQ293</f>
        <v>0.82389651953593812</v>
      </c>
      <c r="CR298" s="347"/>
      <c r="CS298" s="346">
        <f>CS280/CS293</f>
        <v>0.68910770832429624</v>
      </c>
      <c r="CT298" s="347"/>
      <c r="CU298" s="346">
        <f>CU280/CU293</f>
        <v>0.69319254100202199</v>
      </c>
      <c r="CV298" s="347"/>
      <c r="CW298" s="346">
        <f>CW280/CW293</f>
        <v>0.61419296779584753</v>
      </c>
      <c r="CX298" s="347"/>
      <c r="CY298" s="346">
        <f>CY280/CY293</f>
        <v>0.67809108617011404</v>
      </c>
      <c r="CZ298" s="347"/>
      <c r="DA298" s="346">
        <f>DA280/DA293</f>
        <v>0.62350203030603146</v>
      </c>
      <c r="DB298" s="347"/>
      <c r="DC298" s="346">
        <f>DC280/DC293</f>
        <v>0.7622161247007998</v>
      </c>
      <c r="DD298" s="347"/>
      <c r="DE298" s="346">
        <f>DE280/DE293</f>
        <v>0.70010004195307707</v>
      </c>
      <c r="DF298" s="347"/>
      <c r="DG298" s="346">
        <f>DG280/DG293</f>
        <v>0.63766266904822655</v>
      </c>
      <c r="DH298" s="347"/>
      <c r="DI298" s="346">
        <f>DI280/DI293</f>
        <v>0.64360110593493158</v>
      </c>
      <c r="DJ298" s="347"/>
      <c r="DK298" s="346">
        <f>DK280/DK293</f>
        <v>0.68606164586168139</v>
      </c>
      <c r="DL298" s="347"/>
      <c r="DM298" s="346">
        <f>DM280/DM293</f>
        <v>0.70335684392285402</v>
      </c>
      <c r="DN298" s="347"/>
      <c r="DO298" s="346">
        <f>DO280/DO293</f>
        <v>0.66879344504516602</v>
      </c>
      <c r="DP298" s="347"/>
      <c r="DQ298" s="346">
        <f>DQ280/DQ293</f>
        <v>0.6942717217850658</v>
      </c>
      <c r="DR298" s="347"/>
      <c r="DS298" s="346">
        <f>DS280/DS293</f>
        <v>0.66541483208149876</v>
      </c>
      <c r="DT298" s="347"/>
      <c r="DU298" s="141"/>
      <c r="DV298" s="141"/>
      <c r="DW298" s="141"/>
      <c r="DX298" s="141"/>
      <c r="DY298" s="141"/>
      <c r="DZ298" s="141"/>
      <c r="EA298" s="141"/>
      <c r="EB298" s="141"/>
      <c r="EC298" s="141"/>
      <c r="ED298" s="141"/>
      <c r="EE298" s="141"/>
      <c r="EF298" s="141"/>
      <c r="EG298" s="141"/>
      <c r="EH298" s="141"/>
      <c r="EI298" s="141"/>
      <c r="EJ298" s="141"/>
      <c r="EK298" s="141"/>
      <c r="EL298" s="141"/>
      <c r="EM298" s="141"/>
      <c r="EN298" s="346">
        <f>EN280/EN293</f>
        <v>0.70496007942746042</v>
      </c>
      <c r="EO298" s="347"/>
      <c r="EP298" s="346">
        <f>EP280/EP293</f>
        <v>0.69460233165995933</v>
      </c>
      <c r="EQ298" s="347"/>
      <c r="ER298" s="346">
        <f>ER280/ER293</f>
        <v>0.71798242319537298</v>
      </c>
      <c r="ES298" s="347"/>
      <c r="ET298" s="346">
        <f>ET280/ET293</f>
        <v>0.71578311433318231</v>
      </c>
      <c r="EU298" s="347"/>
      <c r="EV298" s="346">
        <f>EV280/EV293</f>
        <v>0.67351732237228423</v>
      </c>
      <c r="EW298" s="347"/>
      <c r="EX298" s="346">
        <f>EX280/EX293</f>
        <v>0.72596982758620687</v>
      </c>
      <c r="EY298" s="347"/>
      <c r="EZ298" s="346">
        <f>EZ280/EZ293</f>
        <v>0.73346168244291143</v>
      </c>
      <c r="FA298" s="347"/>
      <c r="FB298" s="346">
        <f>FB280/FB293</f>
        <v>0.67953667953667951</v>
      </c>
      <c r="FC298" s="347"/>
      <c r="FD298" s="346">
        <f>FD280/FD293</f>
        <v>0.68573769881178526</v>
      </c>
      <c r="FE298" s="347"/>
      <c r="FF298" s="346">
        <f>FF280/FF293</f>
        <v>0.66507879798340674</v>
      </c>
      <c r="FG298" s="347"/>
      <c r="FH298" s="346">
        <f>FH280/FH293</f>
        <v>0.72340029761904767</v>
      </c>
      <c r="FI298" s="347"/>
      <c r="FJ298" s="346">
        <f>FJ280/FJ293</f>
        <v>0.71808582341046956</v>
      </c>
      <c r="FK298" s="347"/>
      <c r="FL298" s="346">
        <f>FL280/FL293</f>
        <v>0.71069826025348348</v>
      </c>
      <c r="FM298" s="347"/>
      <c r="FN298" s="346">
        <f>FN280/FN293</f>
        <v>0.6892044683641626</v>
      </c>
      <c r="FO298" s="347"/>
      <c r="FP298" s="346">
        <f>FP280/FP293</f>
        <v>0.72072547055412028</v>
      </c>
      <c r="FQ298" s="347"/>
      <c r="FR298" s="141"/>
      <c r="FS298" s="141"/>
      <c r="FT298" s="141"/>
      <c r="FU298" s="141"/>
      <c r="FV298" s="141"/>
      <c r="FW298" s="141"/>
      <c r="FX298" s="141"/>
      <c r="FY298" s="141"/>
      <c r="FZ298" s="141"/>
      <c r="GA298" s="141"/>
      <c r="GB298" s="141"/>
      <c r="GC298" s="141"/>
      <c r="GD298" s="141"/>
      <c r="GE298" s="141"/>
      <c r="GF298" s="141"/>
      <c r="GG298" s="276"/>
    </row>
    <row r="299" spans="1:189" ht="12" customHeight="1" outlineLevel="3" x14ac:dyDescent="0.3">
      <c r="A299" s="1"/>
      <c r="B299" s="432"/>
      <c r="C299" s="302"/>
      <c r="D299" s="302"/>
      <c r="E299" s="302"/>
      <c r="F299" s="302"/>
      <c r="G299" s="146" t="s">
        <v>243</v>
      </c>
      <c r="H299" s="5"/>
      <c r="I299" s="327">
        <f>I304/I293</f>
        <v>0.50205676390916942</v>
      </c>
      <c r="J299" s="281"/>
      <c r="K299" s="327">
        <f>K304/K293</f>
        <v>0.46007739438890682</v>
      </c>
      <c r="L299" s="281"/>
      <c r="M299" s="327">
        <f>M304/M293</f>
        <v>0.50053262316910785</v>
      </c>
      <c r="N299" s="281"/>
      <c r="O299" s="327">
        <f>O304/O293</f>
        <v>0.49333765902718235</v>
      </c>
      <c r="P299" s="281"/>
      <c r="Q299" s="327">
        <f>Q304/Q293</f>
        <v>0.47726678550207963</v>
      </c>
      <c r="R299" s="281"/>
      <c r="S299" s="327">
        <f>S304/S293</f>
        <v>0.52936955407483344</v>
      </c>
      <c r="T299" s="281"/>
      <c r="U299" s="327">
        <f>U304/U293</f>
        <v>0.56268855679506069</v>
      </c>
      <c r="V299" s="281"/>
      <c r="W299" s="327">
        <f>W304/W293</f>
        <v>0.4653542706864352</v>
      </c>
      <c r="X299" s="281"/>
      <c r="Y299" s="327">
        <f>Y304/Y293</f>
        <v>0.49646716955595804</v>
      </c>
      <c r="Z299" s="281"/>
      <c r="AA299" s="327">
        <f>AA304/AA293</f>
        <v>0.40792677806700817</v>
      </c>
      <c r="AB299" s="281"/>
      <c r="AC299" s="327">
        <f>AC304/AC293</f>
        <v>0.6547375097580016</v>
      </c>
      <c r="AD299" s="281"/>
      <c r="AE299" s="327">
        <f>AE304/AE293</f>
        <v>0.42808743913650449</v>
      </c>
      <c r="AF299" s="281"/>
      <c r="AG299" s="327">
        <f>AG304/AG293</f>
        <v>0.49916780431245678</v>
      </c>
      <c r="AH299" s="281"/>
      <c r="AI299" s="327">
        <f>AI304/AI293</f>
        <v>0.51338777290460147</v>
      </c>
      <c r="AJ299" s="281"/>
      <c r="AK299" s="327">
        <f>AK304/AK293</f>
        <v>0.4375303008698132</v>
      </c>
      <c r="AL299" s="281"/>
      <c r="AM299" s="327">
        <f>AM304/AM293</f>
        <v>0.44637876070930466</v>
      </c>
      <c r="AN299" s="281"/>
      <c r="AO299" s="433">
        <f>AO304/AO293</f>
        <v>0.26354884425548553</v>
      </c>
      <c r="AP299" s="281"/>
      <c r="AQ299" s="433">
        <f>AQ304/AQ293</f>
        <v>0.32135133942362859</v>
      </c>
      <c r="AR299" s="281"/>
      <c r="AS299" s="433">
        <f>AS304/AS293</f>
        <v>0.32558139534883723</v>
      </c>
      <c r="AT299" s="281"/>
      <c r="AU299" s="433">
        <f>AU304/AU293</f>
        <v>0.291047933324872</v>
      </c>
      <c r="AV299" s="281"/>
      <c r="AW299" s="442">
        <f>AW304/AW293</f>
        <v>0.33452785770337429</v>
      </c>
      <c r="AX299" s="281"/>
      <c r="AY299" s="442">
        <f>AY304/AY293</f>
        <v>0.42661067936826275</v>
      </c>
      <c r="AZ299" s="281"/>
      <c r="BA299" s="442">
        <f>BA304/BA293</f>
        <v>0.45228856344139862</v>
      </c>
      <c r="BB299" s="281"/>
      <c r="BC299" s="442">
        <f>BC304/BC293</f>
        <v>0.42261481140369239</v>
      </c>
      <c r="BD299" s="281"/>
      <c r="BE299" s="442">
        <f>BE304/BE293</f>
        <v>0.36498735894431766</v>
      </c>
      <c r="BF299" s="281"/>
      <c r="BG299" s="346">
        <f>BG304/BG293</f>
        <v>0.35261201036541856</v>
      </c>
      <c r="BH299" s="347"/>
      <c r="BI299" s="346">
        <f>BI304/BI293</f>
        <v>0.33837455830388691</v>
      </c>
      <c r="BJ299" s="347"/>
      <c r="BK299" s="346">
        <f>BK304/BK293</f>
        <v>0.25448254167977352</v>
      </c>
      <c r="BL299" s="347"/>
      <c r="BM299" s="346">
        <f>BM304/BM293</f>
        <v>0.24260525138951</v>
      </c>
      <c r="BN299" s="347"/>
      <c r="BO299" s="346">
        <f>BO304/BO293</f>
        <v>0.2642256132344552</v>
      </c>
      <c r="BP299" s="347"/>
      <c r="BQ299" s="346">
        <f>BQ304/BQ293</f>
        <v>0.2350209754379223</v>
      </c>
      <c r="BR299" s="347"/>
      <c r="BS299" s="346">
        <f>BS304/BS293</f>
        <v>0.19446795414326384</v>
      </c>
      <c r="BT299" s="347"/>
      <c r="BU299" s="346">
        <f>BU304/BU293</f>
        <v>0.18614632198822237</v>
      </c>
      <c r="BV299" s="347"/>
      <c r="BW299" s="346">
        <f>BW304/BW293</f>
        <v>0.18186059866484819</v>
      </c>
      <c r="BX299" s="347"/>
      <c r="BY299" s="346">
        <f>BY304/BY293</f>
        <v>0.17916961987540567</v>
      </c>
      <c r="BZ299" s="347"/>
      <c r="CA299" s="346">
        <f>CA304/CA293</f>
        <v>0.20391796999680817</v>
      </c>
      <c r="CB299" s="347"/>
      <c r="CC299" s="346">
        <f>CC304/CC293</f>
        <v>0.1584917023554604</v>
      </c>
      <c r="CD299" s="347"/>
      <c r="CE299" s="346">
        <f>CE304/CE293</f>
        <v>0.22835460503621938</v>
      </c>
      <c r="CF299" s="347"/>
      <c r="CG299" s="346">
        <f>CG304/CG293</f>
        <v>0.21655799249160246</v>
      </c>
      <c r="CH299" s="347"/>
      <c r="CI299" s="346">
        <f>CI304/CI293</f>
        <v>0.23857594393943107</v>
      </c>
      <c r="CJ299" s="347"/>
      <c r="CK299" s="346">
        <f>CK304/CK293</f>
        <v>0.23602020897921691</v>
      </c>
      <c r="CL299" s="347"/>
      <c r="CM299" s="346">
        <f>CM304/CM293</f>
        <v>0.25590614453313332</v>
      </c>
      <c r="CN299" s="347"/>
      <c r="CO299" s="346">
        <f>CO304/CO293</f>
        <v>0.2601979429458568</v>
      </c>
      <c r="CP299" s="347"/>
      <c r="CQ299" s="346">
        <f>CQ304/CQ293</f>
        <v>0.17610348046406188</v>
      </c>
      <c r="CR299" s="347"/>
      <c r="CS299" s="346">
        <f>CS304/CS293</f>
        <v>0.31089229167570381</v>
      </c>
      <c r="CT299" s="347"/>
      <c r="CU299" s="346">
        <f>CU304/CU293</f>
        <v>0.30680745899797796</v>
      </c>
      <c r="CV299" s="347"/>
      <c r="CW299" s="346">
        <f>CW304/CW293</f>
        <v>0.38580703220415247</v>
      </c>
      <c r="CX299" s="347"/>
      <c r="CY299" s="346">
        <f>CY304/CY293</f>
        <v>0.3219089138298859</v>
      </c>
      <c r="CZ299" s="347"/>
      <c r="DA299" s="346">
        <f>DA304/DA293</f>
        <v>0.37649796969396848</v>
      </c>
      <c r="DB299" s="347"/>
      <c r="DC299" s="346">
        <f>DC304/DC293</f>
        <v>0.2377838752992002</v>
      </c>
      <c r="DD299" s="347"/>
      <c r="DE299" s="346">
        <f>DE304/DE293</f>
        <v>0.29989995804692288</v>
      </c>
      <c r="DF299" s="347"/>
      <c r="DG299" s="346">
        <f>DG304/DG293</f>
        <v>0.3623373309517734</v>
      </c>
      <c r="DH299" s="347"/>
      <c r="DI299" s="346">
        <f>DI304/DI293</f>
        <v>0.35639889406506836</v>
      </c>
      <c r="DJ299" s="347"/>
      <c r="DK299" s="346">
        <f>DK304/DK293</f>
        <v>0.31393835413831866</v>
      </c>
      <c r="DL299" s="347"/>
      <c r="DM299" s="346">
        <f>DM304/DM293</f>
        <v>0.29664315607714598</v>
      </c>
      <c r="DN299" s="347"/>
      <c r="DO299" s="346">
        <f>DO304/DO293</f>
        <v>0.33120655495483392</v>
      </c>
      <c r="DP299" s="347"/>
      <c r="DQ299" s="346">
        <f>DQ304/DQ293</f>
        <v>0.30572827821493426</v>
      </c>
      <c r="DR299" s="347"/>
      <c r="DS299" s="346">
        <f>DS304/DS293</f>
        <v>0.33458516791850124</v>
      </c>
      <c r="DT299" s="347"/>
      <c r="DU299" s="147"/>
      <c r="DV299" s="147"/>
      <c r="DW299" s="147"/>
      <c r="DX299" s="147"/>
      <c r="DY299" s="147"/>
      <c r="DZ299" s="147"/>
      <c r="EA299" s="147"/>
      <c r="EB299" s="147"/>
      <c r="EC299" s="147"/>
      <c r="ED299" s="147"/>
      <c r="EE299" s="147"/>
      <c r="EF299" s="147"/>
      <c r="EG299" s="147"/>
      <c r="EH299" s="147"/>
      <c r="EI299" s="147"/>
      <c r="EJ299" s="147"/>
      <c r="EK299" s="147"/>
      <c r="EL299" s="147"/>
      <c r="EM299" s="147"/>
      <c r="EN299" s="346">
        <f>EN304/EN293</f>
        <v>0.29503992057253964</v>
      </c>
      <c r="EO299" s="347"/>
      <c r="EP299" s="346">
        <f>EP304/EP293</f>
        <v>0.30539766834004067</v>
      </c>
      <c r="EQ299" s="347"/>
      <c r="ER299" s="346">
        <f>ER304/ER293</f>
        <v>0.28201757680462708</v>
      </c>
      <c r="ES299" s="347"/>
      <c r="ET299" s="346">
        <f>ET304/ET293</f>
        <v>0.28421688566681769</v>
      </c>
      <c r="EU299" s="347"/>
      <c r="EV299" s="346">
        <f>EV304/EV293</f>
        <v>0.32648267762771582</v>
      </c>
      <c r="EW299" s="347"/>
      <c r="EX299" s="346">
        <f>EX304/EX293</f>
        <v>0.27403017241379313</v>
      </c>
      <c r="EY299" s="347"/>
      <c r="EZ299" s="346">
        <f>EZ304/EZ293</f>
        <v>0.26653831755708862</v>
      </c>
      <c r="FA299" s="347"/>
      <c r="FB299" s="346">
        <f>FB304/FB293</f>
        <v>0.32046332046332049</v>
      </c>
      <c r="FC299" s="347"/>
      <c r="FD299" s="346">
        <f>FD304/FD293</f>
        <v>0.31426230118821469</v>
      </c>
      <c r="FE299" s="347"/>
      <c r="FF299" s="346">
        <f>FF304/FF293</f>
        <v>0.3349212020165932</v>
      </c>
      <c r="FG299" s="347"/>
      <c r="FH299" s="346">
        <f>FH304/FH293</f>
        <v>0.27659970238095238</v>
      </c>
      <c r="FI299" s="347"/>
      <c r="FJ299" s="346">
        <f>FJ304/FJ293</f>
        <v>0.28191417658953044</v>
      </c>
      <c r="FK299" s="347"/>
      <c r="FL299" s="346">
        <f>FL304/FL293</f>
        <v>0.28930173974651657</v>
      </c>
      <c r="FM299" s="347"/>
      <c r="FN299" s="346">
        <f>FN304/FN293</f>
        <v>0.31079553163583734</v>
      </c>
      <c r="FO299" s="347"/>
      <c r="FP299" s="346">
        <f>FP304/FP293</f>
        <v>0.27927452944587966</v>
      </c>
      <c r="FQ299" s="347"/>
      <c r="FR299" s="147"/>
      <c r="FS299" s="147"/>
      <c r="FT299" s="147"/>
      <c r="FU299" s="147"/>
      <c r="FV299" s="147"/>
      <c r="FW299" s="147"/>
      <c r="FX299" s="147"/>
      <c r="FY299" s="147"/>
      <c r="FZ299" s="147"/>
      <c r="GA299" s="147"/>
      <c r="GB299" s="147"/>
      <c r="GC299" s="147"/>
      <c r="GD299" s="147"/>
      <c r="GE299" s="147"/>
      <c r="GF299" s="147"/>
      <c r="GG299" s="277"/>
    </row>
    <row r="300" spans="1:189" ht="8.25" customHeight="1" outlineLevel="1" x14ac:dyDescent="0.3">
      <c r="A300" s="1"/>
      <c r="B300" s="185"/>
      <c r="C300" s="18"/>
      <c r="D300" s="18"/>
      <c r="E300" s="18"/>
      <c r="F300" s="18"/>
      <c r="G300" s="3"/>
      <c r="H300" s="3"/>
      <c r="I300" s="19"/>
      <c r="J300" s="20"/>
      <c r="K300" s="19"/>
      <c r="L300" s="20"/>
      <c r="M300" s="19"/>
      <c r="N300" s="20"/>
      <c r="O300" s="19"/>
      <c r="P300" s="20"/>
      <c r="Q300" s="19">
        <f>Q304/Q4</f>
        <v>1.6199580509841884</v>
      </c>
      <c r="R300" s="20"/>
      <c r="S300" s="19"/>
      <c r="T300" s="20"/>
      <c r="U300" s="19"/>
      <c r="V300" s="20"/>
      <c r="W300" s="19"/>
      <c r="X300" s="20"/>
      <c r="Y300" s="19"/>
      <c r="Z300" s="20"/>
      <c r="AA300" s="19"/>
      <c r="AB300" s="20"/>
      <c r="AC300" s="19"/>
      <c r="AD300" s="20"/>
      <c r="AE300" s="19"/>
      <c r="AF300" s="20"/>
      <c r="AG300" s="19"/>
      <c r="AH300" s="20"/>
      <c r="AI300" s="19"/>
      <c r="AJ300" s="20"/>
      <c r="AK300" s="19"/>
      <c r="AL300" s="20"/>
      <c r="AM300" s="19"/>
      <c r="AN300" s="20"/>
      <c r="AO300" s="19"/>
      <c r="AP300" s="20"/>
      <c r="AQ300" s="19"/>
      <c r="AR300" s="20"/>
      <c r="AS300" s="19"/>
      <c r="AT300" s="20"/>
      <c r="AU300" s="19"/>
      <c r="AV300" s="20"/>
      <c r="AW300" s="19"/>
      <c r="AX300" s="20"/>
      <c r="AY300" s="19"/>
      <c r="AZ300" s="20"/>
      <c r="BA300" s="19"/>
      <c r="BB300" s="20"/>
      <c r="BC300" s="19"/>
      <c r="BD300" s="20"/>
      <c r="BE300" s="19"/>
      <c r="BF300" s="20"/>
      <c r="BG300" s="19"/>
      <c r="BH300" s="20"/>
      <c r="BI300" s="19"/>
      <c r="BJ300" s="20"/>
      <c r="BK300" s="19"/>
      <c r="BL300" s="20"/>
      <c r="BM300" s="19"/>
      <c r="BN300" s="20"/>
      <c r="BO300" s="19"/>
      <c r="BP300" s="20"/>
      <c r="BQ300" s="19"/>
      <c r="BR300" s="20"/>
      <c r="BS300" s="19"/>
      <c r="BT300" s="20"/>
      <c r="BU300" s="19"/>
      <c r="BV300" s="20"/>
      <c r="BW300" s="19"/>
      <c r="BX300" s="20"/>
      <c r="BY300" s="19"/>
      <c r="BZ300" s="20"/>
      <c r="CA300" s="19"/>
      <c r="CB300" s="20"/>
      <c r="CC300" s="19"/>
      <c r="CD300" s="20"/>
      <c r="CE300" s="19"/>
      <c r="CF300" s="20"/>
      <c r="CG300" s="19"/>
      <c r="CH300" s="20"/>
      <c r="CI300" s="19"/>
      <c r="CJ300" s="20"/>
      <c r="CK300" s="19"/>
      <c r="CL300" s="20"/>
      <c r="CM300" s="19"/>
      <c r="CN300" s="20"/>
      <c r="CO300" s="19"/>
      <c r="CP300" s="20"/>
      <c r="CQ300" s="19"/>
      <c r="CR300" s="20"/>
      <c r="CS300" s="19"/>
      <c r="CT300" s="20"/>
      <c r="CU300" s="19"/>
      <c r="CV300" s="20"/>
      <c r="CW300" s="19"/>
      <c r="CX300" s="20"/>
      <c r="CY300" s="19"/>
      <c r="CZ300" s="20"/>
      <c r="DA300" s="19"/>
      <c r="DB300" s="20"/>
      <c r="DC300" s="19"/>
      <c r="DD300" s="20"/>
      <c r="DE300" s="19"/>
      <c r="DF300" s="20"/>
      <c r="DG300" s="19"/>
      <c r="DH300" s="20"/>
      <c r="DI300" s="19"/>
      <c r="DJ300" s="20"/>
      <c r="DK300" s="19"/>
      <c r="DL300" s="20"/>
      <c r="DM300" s="19"/>
      <c r="DN300" s="20"/>
      <c r="DO300" s="19"/>
      <c r="DP300" s="20"/>
      <c r="DQ300" s="19"/>
      <c r="DR300" s="20"/>
      <c r="DS300" s="19"/>
      <c r="DT300" s="20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19"/>
      <c r="EO300" s="20"/>
      <c r="EP300" s="19"/>
      <c r="EQ300" s="20"/>
      <c r="ER300" s="19"/>
      <c r="ES300" s="20"/>
      <c r="ET300" s="19"/>
      <c r="EU300" s="20"/>
      <c r="EV300" s="19"/>
      <c r="EW300" s="20"/>
      <c r="EX300" s="19"/>
      <c r="EY300" s="20"/>
      <c r="EZ300" s="19"/>
      <c r="FA300" s="20"/>
      <c r="FB300" s="19"/>
      <c r="FC300" s="20"/>
      <c r="FD300" s="19"/>
      <c r="FE300" s="20"/>
      <c r="FF300" s="19"/>
      <c r="FG300" s="20"/>
      <c r="FH300" s="19"/>
      <c r="FI300" s="20"/>
      <c r="FJ300" s="19"/>
      <c r="FK300" s="20"/>
      <c r="FL300" s="19"/>
      <c r="FM300" s="20"/>
      <c r="FN300" s="19"/>
      <c r="FO300" s="20"/>
      <c r="FP300" s="19"/>
      <c r="FQ300" s="20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</row>
    <row r="301" spans="1:189" ht="15" customHeight="1" outlineLevel="1" x14ac:dyDescent="0.3">
      <c r="A301" s="63"/>
      <c r="B301" s="407" t="s">
        <v>417</v>
      </c>
      <c r="C301" s="313" t="s">
        <v>24</v>
      </c>
      <c r="D301" s="313" t="s">
        <v>25</v>
      </c>
      <c r="E301" s="313" t="s">
        <v>244</v>
      </c>
      <c r="F301" s="313" t="s">
        <v>114</v>
      </c>
      <c r="G301" s="5" t="s">
        <v>28</v>
      </c>
      <c r="H301" s="5"/>
      <c r="I301" s="341">
        <v>1.4</v>
      </c>
      <c r="J301" s="281"/>
      <c r="K301" s="341">
        <v>1.4</v>
      </c>
      <c r="L301" s="281"/>
      <c r="M301" s="341">
        <v>1.4</v>
      </c>
      <c r="N301" s="281"/>
      <c r="O301" s="341">
        <v>1.4</v>
      </c>
      <c r="P301" s="281"/>
      <c r="Q301" s="341">
        <v>1.4</v>
      </c>
      <c r="R301" s="281"/>
      <c r="S301" s="341">
        <v>1.4</v>
      </c>
      <c r="T301" s="281"/>
      <c r="U301" s="341">
        <v>1.4</v>
      </c>
      <c r="V301" s="281"/>
      <c r="W301" s="341">
        <v>1.4</v>
      </c>
      <c r="X301" s="281"/>
      <c r="Y301" s="341">
        <v>1.4</v>
      </c>
      <c r="Z301" s="281"/>
      <c r="AA301" s="341">
        <v>1.4</v>
      </c>
      <c r="AB301" s="281"/>
      <c r="AC301" s="341">
        <v>1.4</v>
      </c>
      <c r="AD301" s="281"/>
      <c r="AE301" s="341">
        <v>1.4</v>
      </c>
      <c r="AF301" s="281"/>
      <c r="AG301" s="341">
        <v>1.4</v>
      </c>
      <c r="AH301" s="281"/>
      <c r="AI301" s="341">
        <v>1</v>
      </c>
      <c r="AJ301" s="281"/>
      <c r="AK301" s="341">
        <v>1</v>
      </c>
      <c r="AL301" s="281"/>
      <c r="AM301" s="341">
        <v>1</v>
      </c>
      <c r="AN301" s="281"/>
      <c r="AO301" s="341">
        <v>1</v>
      </c>
      <c r="AP301" s="281"/>
      <c r="AQ301" s="341">
        <v>1</v>
      </c>
      <c r="AR301" s="281"/>
      <c r="AS301" s="341">
        <v>1</v>
      </c>
      <c r="AT301" s="281"/>
      <c r="AU301" s="341">
        <v>1</v>
      </c>
      <c r="AV301" s="281"/>
      <c r="AW301" s="341">
        <v>1</v>
      </c>
      <c r="AX301" s="281"/>
      <c r="AY301" s="341">
        <v>1</v>
      </c>
      <c r="AZ301" s="281"/>
      <c r="BA301" s="341">
        <v>1</v>
      </c>
      <c r="BB301" s="281"/>
      <c r="BC301" s="341">
        <v>1</v>
      </c>
      <c r="BD301" s="281"/>
      <c r="BE301" s="341">
        <v>1</v>
      </c>
      <c r="BF301" s="281"/>
      <c r="BG301" s="341">
        <v>1</v>
      </c>
      <c r="BH301" s="281"/>
      <c r="BI301" s="341">
        <v>1</v>
      </c>
      <c r="BJ301" s="281"/>
      <c r="BK301" s="341">
        <v>1</v>
      </c>
      <c r="BL301" s="281"/>
      <c r="BM301" s="341">
        <v>1</v>
      </c>
      <c r="BN301" s="281"/>
      <c r="BO301" s="341">
        <v>1</v>
      </c>
      <c r="BP301" s="281"/>
      <c r="BQ301" s="341">
        <v>1</v>
      </c>
      <c r="BR301" s="281"/>
      <c r="BS301" s="341">
        <v>1</v>
      </c>
      <c r="BT301" s="281"/>
      <c r="BU301" s="341">
        <v>1</v>
      </c>
      <c r="BV301" s="281"/>
      <c r="BW301" s="341">
        <v>1</v>
      </c>
      <c r="BX301" s="281"/>
      <c r="BY301" s="341">
        <v>1</v>
      </c>
      <c r="BZ301" s="281"/>
      <c r="CA301" s="341">
        <v>1</v>
      </c>
      <c r="CB301" s="281"/>
      <c r="CC301" s="341">
        <v>1</v>
      </c>
      <c r="CD301" s="281"/>
      <c r="CE301" s="341">
        <v>1</v>
      </c>
      <c r="CF301" s="281"/>
      <c r="CG301" s="341">
        <v>1</v>
      </c>
      <c r="CH301" s="281"/>
      <c r="CI301" s="341">
        <v>1</v>
      </c>
      <c r="CJ301" s="281"/>
      <c r="CK301" s="341">
        <v>1</v>
      </c>
      <c r="CL301" s="281"/>
      <c r="CM301" s="341">
        <v>1</v>
      </c>
      <c r="CN301" s="281"/>
      <c r="CO301" s="341">
        <v>1</v>
      </c>
      <c r="CP301" s="281"/>
      <c r="CQ301" s="341">
        <v>1</v>
      </c>
      <c r="CR301" s="281"/>
      <c r="CS301" s="341">
        <v>1</v>
      </c>
      <c r="CT301" s="281"/>
      <c r="CU301" s="341">
        <v>1</v>
      </c>
      <c r="CV301" s="281"/>
      <c r="CW301" s="341">
        <v>1</v>
      </c>
      <c r="CX301" s="281"/>
      <c r="CY301" s="341">
        <v>1</v>
      </c>
      <c r="CZ301" s="281"/>
      <c r="DA301" s="341">
        <v>1</v>
      </c>
      <c r="DB301" s="281"/>
      <c r="DC301" s="341">
        <v>1</v>
      </c>
      <c r="DD301" s="281"/>
      <c r="DE301" s="341">
        <v>1</v>
      </c>
      <c r="DF301" s="281"/>
      <c r="DG301" s="341">
        <v>1</v>
      </c>
      <c r="DH301" s="281"/>
      <c r="DI301" s="341">
        <v>1</v>
      </c>
      <c r="DJ301" s="281"/>
      <c r="DK301" s="341">
        <v>1</v>
      </c>
      <c r="DL301" s="281"/>
      <c r="DM301" s="341">
        <v>1</v>
      </c>
      <c r="DN301" s="281"/>
      <c r="DO301" s="341">
        <v>1</v>
      </c>
      <c r="DP301" s="281"/>
      <c r="DQ301" s="341">
        <v>1</v>
      </c>
      <c r="DR301" s="281"/>
      <c r="DS301" s="341">
        <v>1</v>
      </c>
      <c r="DT301" s="281"/>
      <c r="DU301" s="148"/>
      <c r="DV301" s="148"/>
      <c r="DW301" s="148"/>
      <c r="DX301" s="148"/>
      <c r="DY301" s="148"/>
      <c r="DZ301" s="148"/>
      <c r="EA301" s="148"/>
      <c r="EB301" s="148"/>
      <c r="EC301" s="148"/>
      <c r="ED301" s="148"/>
      <c r="EE301" s="148"/>
      <c r="EF301" s="148"/>
      <c r="EG301" s="148"/>
      <c r="EH301" s="148"/>
      <c r="EI301" s="148"/>
      <c r="EJ301" s="148"/>
      <c r="EK301" s="148"/>
      <c r="EL301" s="148"/>
      <c r="EM301" s="148"/>
      <c r="EN301" s="341">
        <v>1</v>
      </c>
      <c r="EO301" s="281"/>
      <c r="EP301" s="341">
        <v>1</v>
      </c>
      <c r="EQ301" s="281"/>
      <c r="ER301" s="341">
        <v>1</v>
      </c>
      <c r="ES301" s="281"/>
      <c r="ET301" s="341">
        <v>1</v>
      </c>
      <c r="EU301" s="281"/>
      <c r="EV301" s="341">
        <v>1</v>
      </c>
      <c r="EW301" s="281"/>
      <c r="EX301" s="341">
        <v>1</v>
      </c>
      <c r="EY301" s="281"/>
      <c r="EZ301" s="341">
        <v>1</v>
      </c>
      <c r="FA301" s="281"/>
      <c r="FB301" s="341">
        <v>1</v>
      </c>
      <c r="FC301" s="281"/>
      <c r="FD301" s="341">
        <v>1</v>
      </c>
      <c r="FE301" s="281"/>
      <c r="FF301" s="341">
        <v>1</v>
      </c>
      <c r="FG301" s="281"/>
      <c r="FH301" s="341">
        <v>1</v>
      </c>
      <c r="FI301" s="281"/>
      <c r="FJ301" s="341">
        <v>1</v>
      </c>
      <c r="FK301" s="281"/>
      <c r="FL301" s="341">
        <v>1</v>
      </c>
      <c r="FM301" s="281"/>
      <c r="FN301" s="341">
        <v>1</v>
      </c>
      <c r="FO301" s="281"/>
      <c r="FP301" s="341">
        <v>1</v>
      </c>
      <c r="FQ301" s="281"/>
      <c r="FR301" s="148"/>
      <c r="FS301" s="148"/>
      <c r="FT301" s="148"/>
      <c r="FU301" s="148"/>
      <c r="FV301" s="148"/>
      <c r="FW301" s="148"/>
      <c r="FX301" s="148"/>
      <c r="FY301" s="148"/>
      <c r="FZ301" s="148"/>
      <c r="GA301" s="148"/>
      <c r="GB301" s="148"/>
      <c r="GC301" s="148"/>
      <c r="GD301" s="148"/>
      <c r="GE301" s="148"/>
      <c r="GF301" s="254" t="s">
        <v>443</v>
      </c>
      <c r="GG301" s="254" t="s">
        <v>443</v>
      </c>
    </row>
    <row r="302" spans="1:189" ht="4.5" customHeight="1" outlineLevel="1" x14ac:dyDescent="0.3">
      <c r="A302" s="1"/>
      <c r="B302" s="286"/>
      <c r="C302" s="301"/>
      <c r="D302" s="301"/>
      <c r="E302" s="301"/>
      <c r="F302" s="301"/>
      <c r="G302" s="5"/>
      <c r="H302" s="5"/>
      <c r="I302" s="348"/>
      <c r="J302" s="281"/>
      <c r="K302" s="351"/>
      <c r="L302" s="281"/>
      <c r="M302" s="351"/>
      <c r="N302" s="281"/>
      <c r="O302" s="351"/>
      <c r="P302" s="281"/>
      <c r="Q302" s="351"/>
      <c r="R302" s="281"/>
      <c r="S302" s="351"/>
      <c r="T302" s="281"/>
      <c r="U302" s="351"/>
      <c r="V302" s="281"/>
      <c r="W302" s="348"/>
      <c r="X302" s="281"/>
      <c r="Y302" s="348"/>
      <c r="Z302" s="281"/>
      <c r="AA302" s="348"/>
      <c r="AB302" s="281"/>
      <c r="AC302" s="348"/>
      <c r="AD302" s="281"/>
      <c r="AE302" s="348"/>
      <c r="AF302" s="281"/>
      <c r="AG302" s="351"/>
      <c r="AH302" s="281"/>
      <c r="AI302" s="351"/>
      <c r="AJ302" s="281"/>
      <c r="AK302" s="348"/>
      <c r="AL302" s="281"/>
      <c r="AM302" s="351"/>
      <c r="AN302" s="281"/>
      <c r="AO302" s="348"/>
      <c r="AP302" s="281"/>
      <c r="AQ302" s="348"/>
      <c r="AR302" s="281"/>
      <c r="AS302" s="351"/>
      <c r="AT302" s="281"/>
      <c r="AU302" s="348"/>
      <c r="AV302" s="281"/>
      <c r="AW302" s="348"/>
      <c r="AX302" s="281"/>
      <c r="AY302" s="351"/>
      <c r="AZ302" s="281"/>
      <c r="BA302" s="348"/>
      <c r="BB302" s="281"/>
      <c r="BC302" s="348"/>
      <c r="BD302" s="281"/>
      <c r="BE302" s="348"/>
      <c r="BF302" s="281"/>
      <c r="BG302" s="348"/>
      <c r="BH302" s="281"/>
      <c r="BI302" s="348"/>
      <c r="BJ302" s="281"/>
      <c r="BK302" s="348"/>
      <c r="BL302" s="281"/>
      <c r="BM302" s="348"/>
      <c r="BN302" s="281"/>
      <c r="BO302" s="348"/>
      <c r="BP302" s="281"/>
      <c r="BQ302" s="348"/>
      <c r="BR302" s="281"/>
      <c r="BS302" s="348"/>
      <c r="BT302" s="281"/>
      <c r="BU302" s="348"/>
      <c r="BV302" s="281"/>
      <c r="BW302" s="348"/>
      <c r="BX302" s="281"/>
      <c r="BY302" s="348"/>
      <c r="BZ302" s="281"/>
      <c r="CA302" s="348"/>
      <c r="CB302" s="281"/>
      <c r="CC302" s="348"/>
      <c r="CD302" s="281"/>
      <c r="CE302" s="348"/>
      <c r="CF302" s="281"/>
      <c r="CG302" s="348"/>
      <c r="CH302" s="281"/>
      <c r="CI302" s="348"/>
      <c r="CJ302" s="281"/>
      <c r="CK302" s="348"/>
      <c r="CL302" s="281"/>
      <c r="CM302" s="348"/>
      <c r="CN302" s="281"/>
      <c r="CO302" s="348"/>
      <c r="CP302" s="281"/>
      <c r="CQ302" s="348"/>
      <c r="CR302" s="281"/>
      <c r="CS302" s="348"/>
      <c r="CT302" s="281"/>
      <c r="CU302" s="348"/>
      <c r="CV302" s="281"/>
      <c r="CW302" s="348"/>
      <c r="CX302" s="281"/>
      <c r="CY302" s="348"/>
      <c r="CZ302" s="281"/>
      <c r="DA302" s="348"/>
      <c r="DB302" s="281"/>
      <c r="DC302" s="348"/>
      <c r="DD302" s="281"/>
      <c r="DE302" s="348"/>
      <c r="DF302" s="281"/>
      <c r="DG302" s="348"/>
      <c r="DH302" s="281"/>
      <c r="DI302" s="348"/>
      <c r="DJ302" s="281"/>
      <c r="DK302" s="348"/>
      <c r="DL302" s="281"/>
      <c r="DM302" s="348"/>
      <c r="DN302" s="281"/>
      <c r="DO302" s="348"/>
      <c r="DP302" s="281"/>
      <c r="DQ302" s="348"/>
      <c r="DR302" s="281"/>
      <c r="DS302" s="348"/>
      <c r="DT302" s="281"/>
      <c r="DU302" s="148"/>
      <c r="DV302" s="148"/>
      <c r="DW302" s="148"/>
      <c r="DX302" s="148"/>
      <c r="DY302" s="148"/>
      <c r="DZ302" s="148"/>
      <c r="EA302" s="148"/>
      <c r="EB302" s="148"/>
      <c r="EC302" s="148"/>
      <c r="ED302" s="148"/>
      <c r="EE302" s="148"/>
      <c r="EF302" s="148"/>
      <c r="EG302" s="148"/>
      <c r="EH302" s="148"/>
      <c r="EI302" s="148"/>
      <c r="EJ302" s="148"/>
      <c r="EK302" s="148"/>
      <c r="EL302" s="148"/>
      <c r="EM302" s="148"/>
      <c r="EN302" s="348"/>
      <c r="EO302" s="281"/>
      <c r="EP302" s="348"/>
      <c r="EQ302" s="281"/>
      <c r="ER302" s="348"/>
      <c r="ES302" s="281"/>
      <c r="ET302" s="348"/>
      <c r="EU302" s="281"/>
      <c r="EV302" s="348"/>
      <c r="EW302" s="281"/>
      <c r="EX302" s="348"/>
      <c r="EY302" s="281"/>
      <c r="EZ302" s="348"/>
      <c r="FA302" s="281"/>
      <c r="FB302" s="348"/>
      <c r="FC302" s="281"/>
      <c r="FD302" s="348"/>
      <c r="FE302" s="281"/>
      <c r="FF302" s="348"/>
      <c r="FG302" s="281"/>
      <c r="FH302" s="348"/>
      <c r="FI302" s="281"/>
      <c r="FJ302" s="348"/>
      <c r="FK302" s="281"/>
      <c r="FL302" s="348"/>
      <c r="FM302" s="281"/>
      <c r="FN302" s="348"/>
      <c r="FO302" s="281"/>
      <c r="FP302" s="348"/>
      <c r="FQ302" s="281"/>
      <c r="FR302" s="148"/>
      <c r="FS302" s="148"/>
      <c r="FT302" s="148"/>
      <c r="FU302" s="148"/>
      <c r="FV302" s="148"/>
      <c r="FW302" s="148"/>
      <c r="FX302" s="148"/>
      <c r="FY302" s="148"/>
      <c r="FZ302" s="148"/>
      <c r="GA302" s="148"/>
      <c r="GB302" s="148"/>
      <c r="GC302" s="148"/>
      <c r="GD302" s="148"/>
      <c r="GE302" s="148"/>
      <c r="GF302" s="254"/>
      <c r="GG302" s="254"/>
    </row>
    <row r="303" spans="1:189" ht="15" customHeight="1" outlineLevel="1" x14ac:dyDescent="0.3">
      <c r="A303" s="1"/>
      <c r="B303" s="286"/>
      <c r="C303" s="301"/>
      <c r="D303" s="301"/>
      <c r="E303" s="301"/>
      <c r="F303" s="301"/>
      <c r="G303" s="5" t="s">
        <v>245</v>
      </c>
      <c r="H303" s="5"/>
      <c r="I303" s="341">
        <f>I304/I4</f>
        <v>1.4477900801152219</v>
      </c>
      <c r="J303" s="281"/>
      <c r="K303" s="341">
        <f>K304/K4</f>
        <v>2.3048465266558966</v>
      </c>
      <c r="L303" s="281"/>
      <c r="M303" s="341">
        <f>M304/M4</f>
        <v>2.1986742054981478</v>
      </c>
      <c r="N303" s="281"/>
      <c r="O303" s="341">
        <f>O304/O4</f>
        <v>1.782699715290571</v>
      </c>
      <c r="P303" s="281"/>
      <c r="Q303" s="341">
        <f>Q304/Q4</f>
        <v>1.6199580509841884</v>
      </c>
      <c r="R303" s="281"/>
      <c r="S303" s="341">
        <f>S304/S4</f>
        <v>1.8125658125658126</v>
      </c>
      <c r="T303" s="281"/>
      <c r="U303" s="341">
        <f>U304/U4</f>
        <v>1.5015914622729827</v>
      </c>
      <c r="V303" s="281"/>
      <c r="W303" s="341">
        <f>W304/W4</f>
        <v>1.1415014958863126</v>
      </c>
      <c r="X303" s="281"/>
      <c r="Y303" s="341">
        <f>Y304/Y4</f>
        <v>1.0727679339411664</v>
      </c>
      <c r="Z303" s="281"/>
      <c r="AA303" s="341">
        <f>AA304/AA4</f>
        <v>0.98070090439276481</v>
      </c>
      <c r="AB303" s="281"/>
      <c r="AC303" s="341">
        <f>AC304/AC4</f>
        <v>1.3719265961253386</v>
      </c>
      <c r="AD303" s="281"/>
      <c r="AE303" s="341">
        <f>AE304/AE4</f>
        <v>1.088858095526783</v>
      </c>
      <c r="AF303" s="281"/>
      <c r="AG303" s="341">
        <f>AG304/AG4</f>
        <v>1.9773316541966071</v>
      </c>
      <c r="AH303" s="281"/>
      <c r="AI303" s="341">
        <f>AI304/AI4</f>
        <v>1.5687102028727973</v>
      </c>
      <c r="AJ303" s="281"/>
      <c r="AK303" s="341">
        <f>AK304/AK4</f>
        <v>1.0637176731609235</v>
      </c>
      <c r="AL303" s="281"/>
      <c r="AM303" s="341">
        <f>AM304/AM4</f>
        <v>1.3381364790204568</v>
      </c>
      <c r="AN303" s="281"/>
      <c r="AO303" s="341">
        <f>AO304/AO4</f>
        <v>0.87743370030912737</v>
      </c>
      <c r="AP303" s="281"/>
      <c r="AQ303" s="341">
        <f>AQ304/AQ4</f>
        <v>0.85609311621891715</v>
      </c>
      <c r="AR303" s="281"/>
      <c r="AS303" s="341">
        <f>AS304/AS4</f>
        <v>1.0606060606060606</v>
      </c>
      <c r="AT303" s="281"/>
      <c r="AU303" s="341">
        <f>AU304/AU4</f>
        <v>0.93828423349699941</v>
      </c>
      <c r="AV303" s="281"/>
      <c r="AW303" s="341">
        <f>AW304/AW4</f>
        <v>1.0060572687224669</v>
      </c>
      <c r="AX303" s="281"/>
      <c r="AY303" s="341">
        <f>AY304/AY4</f>
        <v>1.1422099169393405</v>
      </c>
      <c r="AZ303" s="281"/>
      <c r="BA303" s="341">
        <f>BA304/BA4</f>
        <v>0.90506804709025634</v>
      </c>
      <c r="BB303" s="281"/>
      <c r="BC303" s="341">
        <f>BC304/BC4</f>
        <v>0.61115147112241186</v>
      </c>
      <c r="BD303" s="281"/>
      <c r="BE303" s="341">
        <f>BE304/BE4</f>
        <v>0.93286052009456266</v>
      </c>
      <c r="BF303" s="281"/>
      <c r="BG303" s="341">
        <f>BG304/BG4</f>
        <v>1.0173366561924369</v>
      </c>
      <c r="BH303" s="281"/>
      <c r="BI303" s="341">
        <f>BI304/BI4</f>
        <v>0.72965559280707104</v>
      </c>
      <c r="BJ303" s="281"/>
      <c r="BK303" s="341">
        <f>BK304/BK4</f>
        <v>0.60886580868518103</v>
      </c>
      <c r="BL303" s="281"/>
      <c r="BM303" s="341">
        <f>BM304/BM4</f>
        <v>0.65768964322826462</v>
      </c>
      <c r="BN303" s="281"/>
      <c r="BO303" s="441">
        <f>BO304/BO4</f>
        <v>0.67427895550905281</v>
      </c>
      <c r="BP303" s="281"/>
      <c r="BQ303" s="341">
        <f>BQ304/BQ4</f>
        <v>0.71943927065973923</v>
      </c>
      <c r="BR303" s="281"/>
      <c r="BS303" s="341">
        <f>BS304/BS4</f>
        <v>0.46671590804173207</v>
      </c>
      <c r="BT303" s="281"/>
      <c r="BU303" s="341">
        <f>BU304/BU4</f>
        <v>0.4249905051272313</v>
      </c>
      <c r="BV303" s="281"/>
      <c r="BW303" s="341">
        <f>BW304/BW4</f>
        <v>0.29666276346604215</v>
      </c>
      <c r="BX303" s="281"/>
      <c r="BY303" s="341">
        <f>BY304/BY4</f>
        <v>0.37456133510099043</v>
      </c>
      <c r="BZ303" s="281"/>
      <c r="CA303" s="440">
        <f>CA304/CA4</f>
        <v>0.36330679556440149</v>
      </c>
      <c r="CB303" s="281"/>
      <c r="CC303" s="440">
        <f>CC304/CC4</f>
        <v>0.34212046800520007</v>
      </c>
      <c r="CD303" s="281"/>
      <c r="CE303" s="341">
        <f>CE304/CE4</f>
        <v>0.68512289780077618</v>
      </c>
      <c r="CF303" s="281"/>
      <c r="CG303" s="341">
        <f>CG304/CG4</f>
        <v>0.5427277872099604</v>
      </c>
      <c r="CH303" s="281"/>
      <c r="CI303" s="341">
        <f>CI304/CI4</f>
        <v>0.48941945212364918</v>
      </c>
      <c r="CJ303" s="281"/>
      <c r="CK303" s="341">
        <f>CK304/CK4</f>
        <v>0.41716982089400784</v>
      </c>
      <c r="CL303" s="281"/>
      <c r="CM303" s="341">
        <f>CM304/CM4</f>
        <v>0.49747461598542048</v>
      </c>
      <c r="CN303" s="281"/>
      <c r="CO303" s="341">
        <f>CO304/CO4</f>
        <v>0.50784031512764183</v>
      </c>
      <c r="CP303" s="281"/>
      <c r="CQ303" s="341">
        <f>CQ304/CQ4</f>
        <v>0.52065920201860905</v>
      </c>
      <c r="CR303" s="281"/>
      <c r="CS303" s="341">
        <f>CS304/CS4</f>
        <v>0.40944926873857401</v>
      </c>
      <c r="CT303" s="281"/>
      <c r="CU303" s="341">
        <f>CU304/CU4</f>
        <v>0.37659257625062048</v>
      </c>
      <c r="CV303" s="281"/>
      <c r="CW303" s="341">
        <f>CW304/CW4</f>
        <v>0.32728065870549106</v>
      </c>
      <c r="CX303" s="281"/>
      <c r="CY303" s="341">
        <f>CY304/CY4</f>
        <v>0.30194014268313901</v>
      </c>
      <c r="CZ303" s="281"/>
      <c r="DA303" s="341">
        <f>DA304/DA4</f>
        <v>0.38593908629441626</v>
      </c>
      <c r="DB303" s="281"/>
      <c r="DC303" s="341">
        <f>DC304/DC4</f>
        <v>0.4496825834943417</v>
      </c>
      <c r="DD303" s="281"/>
      <c r="DE303" s="341">
        <f>DE304/DE4</f>
        <v>0.49839107583395903</v>
      </c>
      <c r="DF303" s="281"/>
      <c r="DG303" s="341">
        <f>DG304/DG4</f>
        <v>0.53900170810400461</v>
      </c>
      <c r="DH303" s="281"/>
      <c r="DI303" s="341">
        <f>DI304/DI4</f>
        <v>0.44624650258453075</v>
      </c>
      <c r="DJ303" s="281"/>
      <c r="DK303" s="341">
        <f>DK304/DK4</f>
        <v>0.53323619554840984</v>
      </c>
      <c r="DL303" s="281"/>
      <c r="DM303" s="341">
        <f>DM304/DM4</f>
        <v>0.4873311216885427</v>
      </c>
      <c r="DN303" s="281"/>
      <c r="DO303" s="341">
        <f>DO304/DO4</f>
        <v>0.4982823077700313</v>
      </c>
      <c r="DP303" s="281"/>
      <c r="DQ303" s="341">
        <f>DQ304/DQ4</f>
        <v>0.56403228262524741</v>
      </c>
      <c r="DR303" s="281"/>
      <c r="DS303" s="341">
        <f>DS304/DS4</f>
        <v>0.48407444416687484</v>
      </c>
      <c r="DT303" s="281"/>
      <c r="DU303" s="148"/>
      <c r="DV303" s="148"/>
      <c r="DW303" s="148"/>
      <c r="DX303" s="148"/>
      <c r="DY303" s="148"/>
      <c r="DZ303" s="148"/>
      <c r="EA303" s="148"/>
      <c r="EB303" s="148"/>
      <c r="EC303" s="148" t="s">
        <v>29</v>
      </c>
      <c r="ED303" s="148" t="s">
        <v>29</v>
      </c>
      <c r="EE303" s="148" t="s">
        <v>29</v>
      </c>
      <c r="EF303" s="148" t="s">
        <v>29</v>
      </c>
      <c r="EG303" s="148" t="s">
        <v>29</v>
      </c>
      <c r="EH303" s="148" t="s">
        <v>29</v>
      </c>
      <c r="EI303" s="148" t="s">
        <v>29</v>
      </c>
      <c r="EJ303" s="148" t="s">
        <v>29</v>
      </c>
      <c r="EK303" s="148"/>
      <c r="EL303" s="148"/>
      <c r="EM303" s="148" t="s">
        <v>29</v>
      </c>
      <c r="EN303" s="341">
        <f>EN304/EN4</f>
        <v>0.45147812875862503</v>
      </c>
      <c r="EO303" s="281"/>
      <c r="EP303" s="341">
        <f>EP304/EP4</f>
        <v>0.29749828234248071</v>
      </c>
      <c r="EQ303" s="281"/>
      <c r="ER303" s="341">
        <f>ER304/ER4</f>
        <v>0.39013872291785734</v>
      </c>
      <c r="ES303" s="281"/>
      <c r="ET303" s="341">
        <f>ET304/ET4</f>
        <v>0.79913368438933241</v>
      </c>
      <c r="EU303" s="281"/>
      <c r="EV303" s="341">
        <f>EV304/EV4</f>
        <v>0.52479488855006173</v>
      </c>
      <c r="EW303" s="281"/>
      <c r="EX303" s="341">
        <f>EX304/EX4</f>
        <v>0.38798759090677926</v>
      </c>
      <c r="EY303" s="281"/>
      <c r="EZ303" s="341">
        <f>EZ304/EZ4</f>
        <v>0.43892558344341698</v>
      </c>
      <c r="FA303" s="281"/>
      <c r="FB303" s="341">
        <f>FB304/FB4</f>
        <v>0.4464143426294821</v>
      </c>
      <c r="FC303" s="281"/>
      <c r="FD303" s="341">
        <f>FD304/FD4</f>
        <v>0.43566043581534647</v>
      </c>
      <c r="FE303" s="281"/>
      <c r="FF303" s="341">
        <f>FF304/FF4</f>
        <v>0.4559554690877648</v>
      </c>
      <c r="FG303" s="281"/>
      <c r="FH303" s="341">
        <f>FH304/FH4</f>
        <v>0.39429897248922768</v>
      </c>
      <c r="FI303" s="281"/>
      <c r="FJ303" s="341">
        <f>FJ304/FJ4</f>
        <v>0.44814285714285712</v>
      </c>
      <c r="FK303" s="281"/>
      <c r="FL303" s="341">
        <f>FL304/FL4</f>
        <v>0.53438999563763268</v>
      </c>
      <c r="FM303" s="281"/>
      <c r="FN303" s="341">
        <f>FN304/FN4</f>
        <v>0.88751130052951055</v>
      </c>
      <c r="FO303" s="281"/>
      <c r="FP303" s="341">
        <f>FP304/FP4</f>
        <v>0.63399162178336321</v>
      </c>
      <c r="FQ303" s="281"/>
      <c r="FR303" s="148" t="s">
        <v>29</v>
      </c>
      <c r="FS303" s="148" t="s">
        <v>29</v>
      </c>
      <c r="FT303" s="148" t="s">
        <v>29</v>
      </c>
      <c r="FU303" s="148" t="s">
        <v>29</v>
      </c>
      <c r="FV303" s="148" t="s">
        <v>29</v>
      </c>
      <c r="FW303" s="148" t="s">
        <v>29</v>
      </c>
      <c r="FX303" s="148" t="s">
        <v>29</v>
      </c>
      <c r="FY303" s="148" t="s">
        <v>29</v>
      </c>
      <c r="FZ303" s="148" t="s">
        <v>29</v>
      </c>
      <c r="GA303" s="148" t="s">
        <v>29</v>
      </c>
      <c r="GB303" s="148" t="s">
        <v>29</v>
      </c>
      <c r="GC303" s="148" t="s">
        <v>29</v>
      </c>
      <c r="GD303" s="148" t="s">
        <v>29</v>
      </c>
      <c r="GE303" s="148" t="s">
        <v>29</v>
      </c>
      <c r="GF303" s="254"/>
      <c r="GG303" s="254"/>
    </row>
    <row r="304" spans="1:189" ht="15" customHeight="1" outlineLevel="1" x14ac:dyDescent="0.3">
      <c r="A304" s="1"/>
      <c r="B304" s="287"/>
      <c r="C304" s="302"/>
      <c r="D304" s="302"/>
      <c r="E304" s="302"/>
      <c r="F304" s="302"/>
      <c r="G304" s="5" t="s">
        <v>416</v>
      </c>
      <c r="H304" s="5"/>
      <c r="I304" s="284">
        <f>SUM(K304:AH304)</f>
        <v>289503</v>
      </c>
      <c r="J304" s="281"/>
      <c r="K304" s="284">
        <v>28534</v>
      </c>
      <c r="L304" s="281"/>
      <c r="M304" s="284">
        <v>22554</v>
      </c>
      <c r="N304" s="281"/>
      <c r="O304" s="284">
        <v>21289</v>
      </c>
      <c r="P304" s="281"/>
      <c r="Q304" s="284">
        <v>20081</v>
      </c>
      <c r="R304" s="281"/>
      <c r="S304" s="284">
        <v>20656</v>
      </c>
      <c r="T304" s="281"/>
      <c r="U304" s="284">
        <v>24060</v>
      </c>
      <c r="V304" s="281"/>
      <c r="W304" s="284">
        <v>24419</v>
      </c>
      <c r="X304" s="281"/>
      <c r="Y304" s="284">
        <v>24944</v>
      </c>
      <c r="Z304" s="281"/>
      <c r="AA304" s="284">
        <v>24290</v>
      </c>
      <c r="AB304" s="281"/>
      <c r="AC304" s="284">
        <v>26839</v>
      </c>
      <c r="AD304" s="281"/>
      <c r="AE304" s="284">
        <v>25145</v>
      </c>
      <c r="AF304" s="281"/>
      <c r="AG304" s="284">
        <v>26692</v>
      </c>
      <c r="AH304" s="281"/>
      <c r="AI304" s="284">
        <v>21187</v>
      </c>
      <c r="AJ304" s="281"/>
      <c r="AK304" s="284">
        <v>15342</v>
      </c>
      <c r="AL304" s="281"/>
      <c r="AM304" s="284">
        <v>17923</v>
      </c>
      <c r="AN304" s="281"/>
      <c r="AO304" s="284">
        <v>16179</v>
      </c>
      <c r="AP304" s="281"/>
      <c r="AQ304" s="284">
        <v>14563</v>
      </c>
      <c r="AR304" s="281"/>
      <c r="AS304" s="284">
        <v>14700</v>
      </c>
      <c r="AT304" s="281"/>
      <c r="AU304" s="284">
        <v>13759</v>
      </c>
      <c r="AV304" s="281"/>
      <c r="AW304" s="284">
        <v>12789</v>
      </c>
      <c r="AX304" s="281"/>
      <c r="AY304" s="284">
        <v>13614</v>
      </c>
      <c r="AZ304" s="281"/>
      <c r="BA304" s="284">
        <v>10840</v>
      </c>
      <c r="BB304" s="281"/>
      <c r="BC304" s="284">
        <v>10095</v>
      </c>
      <c r="BD304" s="281"/>
      <c r="BE304" s="284">
        <v>11838</v>
      </c>
      <c r="BF304" s="281"/>
      <c r="BG304" s="335">
        <v>9389</v>
      </c>
      <c r="BH304" s="281"/>
      <c r="BI304" s="335">
        <v>7182</v>
      </c>
      <c r="BJ304" s="281"/>
      <c r="BK304" s="335">
        <v>8090</v>
      </c>
      <c r="BL304" s="281"/>
      <c r="BM304" s="284">
        <v>7595</v>
      </c>
      <c r="BN304" s="281"/>
      <c r="BO304" s="284">
        <v>7411</v>
      </c>
      <c r="BP304" s="281"/>
      <c r="BQ304" s="335">
        <v>7339</v>
      </c>
      <c r="BR304" s="281"/>
      <c r="BS304" s="335">
        <v>5055</v>
      </c>
      <c r="BT304" s="281"/>
      <c r="BU304" s="284">
        <v>5595</v>
      </c>
      <c r="BV304" s="281"/>
      <c r="BW304" s="284">
        <v>5067</v>
      </c>
      <c r="BX304" s="281"/>
      <c r="BY304" s="284">
        <v>4803</v>
      </c>
      <c r="BZ304" s="281"/>
      <c r="CA304" s="284">
        <v>5111</v>
      </c>
      <c r="CB304" s="281"/>
      <c r="CC304" s="284">
        <v>4737</v>
      </c>
      <c r="CD304" s="281"/>
      <c r="CE304" s="332">
        <v>7944</v>
      </c>
      <c r="CF304" s="404"/>
      <c r="CG304" s="332">
        <v>7672</v>
      </c>
      <c r="CH304" s="404"/>
      <c r="CI304" s="332">
        <v>9737</v>
      </c>
      <c r="CJ304" s="404"/>
      <c r="CK304" s="332">
        <v>8222</v>
      </c>
      <c r="CL304" s="404"/>
      <c r="CM304" s="408">
        <v>9554</v>
      </c>
      <c r="CN304" s="409"/>
      <c r="CO304" s="410">
        <v>6704</v>
      </c>
      <c r="CP304" s="409"/>
      <c r="CQ304" s="410">
        <v>6603</v>
      </c>
      <c r="CR304" s="409"/>
      <c r="CS304" s="410">
        <v>7167</v>
      </c>
      <c r="CT304" s="409"/>
      <c r="CU304" s="410">
        <v>6828</v>
      </c>
      <c r="CV304" s="409"/>
      <c r="CW304" s="410">
        <v>6002</v>
      </c>
      <c r="CX304" s="409"/>
      <c r="CY304" s="410">
        <v>6941</v>
      </c>
      <c r="CZ304" s="409"/>
      <c r="DA304" s="410">
        <v>7603</v>
      </c>
      <c r="DB304" s="409"/>
      <c r="DC304" s="349">
        <v>8146</v>
      </c>
      <c r="DD304" s="350"/>
      <c r="DE304" s="349">
        <v>9293</v>
      </c>
      <c r="DF304" s="350"/>
      <c r="DG304" s="349">
        <v>11360</v>
      </c>
      <c r="DH304" s="350"/>
      <c r="DI304" s="349">
        <v>9410</v>
      </c>
      <c r="DJ304" s="350"/>
      <c r="DK304" s="349">
        <v>10613</v>
      </c>
      <c r="DL304" s="350"/>
      <c r="DM304" s="349">
        <v>10136</v>
      </c>
      <c r="DN304" s="350"/>
      <c r="DO304" s="349">
        <v>9863</v>
      </c>
      <c r="DP304" s="350"/>
      <c r="DQ304" s="349">
        <v>11112</v>
      </c>
      <c r="DR304" s="350"/>
      <c r="DS304" s="349">
        <v>7751</v>
      </c>
      <c r="DT304" s="350"/>
      <c r="DU304" s="148"/>
      <c r="DV304" s="148"/>
      <c r="DW304" s="148"/>
      <c r="DX304" s="148"/>
      <c r="DY304" s="148"/>
      <c r="DZ304" s="148"/>
      <c r="EA304" s="148"/>
      <c r="EB304" s="148"/>
      <c r="EC304" s="148"/>
      <c r="ED304" s="148"/>
      <c r="EE304" s="148"/>
      <c r="EF304" s="148"/>
      <c r="EG304" s="148"/>
      <c r="EH304" s="148"/>
      <c r="EI304" s="148"/>
      <c r="EJ304" s="148"/>
      <c r="EK304" s="148"/>
      <c r="EL304" s="148"/>
      <c r="EM304" s="148"/>
      <c r="EN304" s="349">
        <v>7132</v>
      </c>
      <c r="EO304" s="350"/>
      <c r="EP304" s="349">
        <v>7361</v>
      </c>
      <c r="EQ304" s="350"/>
      <c r="ER304" s="349">
        <v>7509</v>
      </c>
      <c r="ES304" s="350"/>
      <c r="ET304" s="349">
        <v>9409</v>
      </c>
      <c r="EU304" s="350"/>
      <c r="EV304" s="349">
        <v>7228</v>
      </c>
      <c r="EW304" s="350"/>
      <c r="EX304" s="349">
        <v>7629</v>
      </c>
      <c r="EY304" s="350"/>
      <c r="EZ304" s="349">
        <v>9968</v>
      </c>
      <c r="FA304" s="350"/>
      <c r="FB304" s="349">
        <v>8964</v>
      </c>
      <c r="FC304" s="350"/>
      <c r="FD304" s="349">
        <v>8437</v>
      </c>
      <c r="FE304" s="350"/>
      <c r="FF304" s="349">
        <v>8437</v>
      </c>
      <c r="FG304" s="350"/>
      <c r="FH304" s="349">
        <v>5948</v>
      </c>
      <c r="FI304" s="350"/>
      <c r="FJ304" s="349">
        <v>6274</v>
      </c>
      <c r="FK304" s="350"/>
      <c r="FL304" s="349">
        <v>7350</v>
      </c>
      <c r="FM304" s="350"/>
      <c r="FN304" s="349">
        <v>6872</v>
      </c>
      <c r="FO304" s="350"/>
      <c r="FP304" s="349">
        <f>3792+1505</f>
        <v>5297</v>
      </c>
      <c r="FQ304" s="350"/>
      <c r="FR304" s="148"/>
      <c r="FS304" s="148"/>
      <c r="FT304" s="148"/>
      <c r="FU304" s="148"/>
      <c r="FV304" s="148"/>
      <c r="FW304" s="148"/>
      <c r="FX304" s="148"/>
      <c r="FY304" s="148"/>
      <c r="FZ304" s="148"/>
      <c r="GA304" s="148"/>
      <c r="GB304" s="148"/>
      <c r="GC304" s="148"/>
      <c r="GD304" s="148"/>
      <c r="GE304" s="148"/>
      <c r="GF304" s="254"/>
      <c r="GG304" s="254"/>
    </row>
    <row r="305" spans="1:189" s="211" customFormat="1" ht="15" customHeight="1" outlineLevel="1" x14ac:dyDescent="0.3">
      <c r="A305" s="21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  <c r="AA305" s="192"/>
      <c r="AB305" s="192"/>
      <c r="AC305" s="192"/>
      <c r="AD305" s="192"/>
      <c r="AE305" s="192"/>
      <c r="AF305" s="192"/>
      <c r="AG305" s="192"/>
      <c r="AH305" s="192"/>
      <c r="AI305" s="192"/>
      <c r="AJ305" s="192"/>
      <c r="AK305" s="192"/>
      <c r="AL305" s="192"/>
      <c r="AM305" s="192"/>
      <c r="AN305" s="192"/>
      <c r="AO305" s="192"/>
      <c r="AP305" s="192"/>
      <c r="AQ305" s="192"/>
      <c r="AR305" s="192"/>
      <c r="AS305" s="192"/>
      <c r="AT305" s="192"/>
      <c r="AU305" s="192"/>
      <c r="AV305" s="192"/>
      <c r="AW305" s="192"/>
      <c r="AX305" s="192"/>
      <c r="AY305" s="192"/>
      <c r="AZ305" s="192"/>
      <c r="BA305" s="192"/>
      <c r="BB305" s="192"/>
      <c r="BC305" s="192"/>
      <c r="BD305" s="192"/>
      <c r="BE305" s="192"/>
      <c r="BF305" s="192"/>
      <c r="BG305" s="192"/>
      <c r="BH305" s="192"/>
      <c r="BI305" s="192"/>
      <c r="BJ305" s="192"/>
      <c r="BK305" s="192"/>
      <c r="BL305" s="192"/>
      <c r="BM305" s="192"/>
      <c r="BN305" s="192"/>
      <c r="BO305" s="192"/>
      <c r="BP305" s="192"/>
      <c r="BQ305" s="192"/>
      <c r="BR305" s="192"/>
      <c r="BS305" s="192"/>
      <c r="BT305" s="192"/>
      <c r="BU305" s="192"/>
      <c r="BV305" s="192"/>
      <c r="BW305" s="192"/>
      <c r="BX305" s="192"/>
      <c r="BY305" s="192"/>
      <c r="BZ305" s="192"/>
      <c r="CA305" s="192"/>
      <c r="CB305" s="192"/>
      <c r="CC305" s="192"/>
      <c r="CD305" s="192"/>
      <c r="CE305" s="192"/>
      <c r="CF305" s="192"/>
      <c r="CG305" s="192"/>
      <c r="CH305" s="192"/>
      <c r="CI305" s="192"/>
      <c r="CJ305" s="192"/>
      <c r="CK305" s="192"/>
      <c r="CL305" s="192"/>
      <c r="CM305" s="192"/>
      <c r="CN305" s="192"/>
      <c r="CO305" s="192"/>
      <c r="CP305" s="192"/>
      <c r="CQ305" s="192"/>
      <c r="CR305" s="192"/>
      <c r="CS305" s="192"/>
      <c r="CT305" s="192"/>
      <c r="CU305" s="192"/>
      <c r="CV305" s="192"/>
      <c r="CW305" s="192"/>
      <c r="CX305" s="192"/>
      <c r="CY305" s="192"/>
      <c r="CZ305" s="192"/>
      <c r="DA305" s="192"/>
      <c r="DB305" s="192"/>
      <c r="DC305" s="192"/>
      <c r="DD305" s="192"/>
      <c r="DE305" s="192"/>
      <c r="DF305" s="192"/>
      <c r="DG305" s="192"/>
      <c r="DH305" s="192"/>
      <c r="DI305" s="192"/>
      <c r="DJ305" s="192"/>
      <c r="DK305" s="192"/>
      <c r="DL305" s="192"/>
      <c r="DM305" s="192"/>
      <c r="DN305" s="192"/>
      <c r="DO305" s="192"/>
      <c r="DP305" s="192"/>
      <c r="DQ305" s="192"/>
      <c r="DR305" s="192"/>
      <c r="DS305" s="192"/>
      <c r="DT305" s="192"/>
      <c r="DU305" s="210"/>
      <c r="DV305" s="210"/>
      <c r="DW305" s="210"/>
      <c r="DX305" s="210"/>
      <c r="DY305" s="210"/>
      <c r="DZ305" s="210"/>
      <c r="EA305" s="210"/>
      <c r="EB305" s="210"/>
      <c r="EC305" s="210"/>
      <c r="ED305" s="210"/>
      <c r="EE305" s="210"/>
      <c r="EF305" s="210"/>
      <c r="EG305" s="210"/>
      <c r="EH305" s="210"/>
      <c r="EI305" s="210"/>
      <c r="EJ305" s="210"/>
      <c r="EK305" s="210"/>
      <c r="EL305" s="210"/>
      <c r="EM305" s="210"/>
      <c r="EN305" s="192"/>
      <c r="EO305" s="192"/>
      <c r="EP305" s="192"/>
      <c r="EQ305" s="192"/>
      <c r="ER305" s="192"/>
      <c r="ES305" s="192"/>
      <c r="ET305" s="192"/>
      <c r="EU305" s="192"/>
      <c r="EV305" s="192"/>
      <c r="EW305" s="192"/>
      <c r="EX305" s="192"/>
      <c r="EY305" s="192"/>
      <c r="EZ305" s="192"/>
      <c r="FA305" s="192"/>
      <c r="FB305" s="192"/>
      <c r="FC305" s="192"/>
      <c r="FD305" s="192"/>
      <c r="FE305" s="192"/>
      <c r="FF305" s="192"/>
      <c r="FG305" s="192"/>
      <c r="FH305" s="192"/>
      <c r="FI305" s="192"/>
      <c r="FJ305" s="192"/>
      <c r="FK305" s="192"/>
      <c r="FL305" s="192"/>
      <c r="FM305" s="192"/>
      <c r="FN305" s="192"/>
      <c r="FO305" s="192"/>
      <c r="FP305" s="192"/>
      <c r="FQ305" s="192"/>
      <c r="FR305" s="210"/>
      <c r="FS305" s="210"/>
      <c r="FT305" s="210"/>
      <c r="FU305" s="210"/>
      <c r="FV305" s="210"/>
      <c r="FW305" s="210"/>
      <c r="FX305" s="210"/>
      <c r="FY305" s="210"/>
      <c r="FZ305" s="210"/>
      <c r="GA305" s="210"/>
      <c r="GB305" s="210"/>
      <c r="GC305" s="210"/>
      <c r="GD305" s="210"/>
      <c r="GE305" s="210"/>
      <c r="GF305" s="210"/>
      <c r="GG305" s="210"/>
    </row>
    <row r="306" spans="1:189" ht="15" customHeight="1" outlineLevel="1" x14ac:dyDescent="0.3">
      <c r="A306" s="1"/>
      <c r="B306" s="407" t="s">
        <v>420</v>
      </c>
      <c r="C306" s="313" t="s">
        <v>24</v>
      </c>
      <c r="D306" s="313" t="s">
        <v>25</v>
      </c>
      <c r="E306" s="313" t="s">
        <v>244</v>
      </c>
      <c r="F306" s="313" t="s">
        <v>114</v>
      </c>
      <c r="G306" s="5" t="s">
        <v>28</v>
      </c>
      <c r="H306" s="5"/>
      <c r="I306" s="341">
        <v>1.4</v>
      </c>
      <c r="J306" s="281"/>
      <c r="K306" s="341">
        <v>1.4</v>
      </c>
      <c r="L306" s="281"/>
      <c r="M306" s="341">
        <v>1.4</v>
      </c>
      <c r="N306" s="281"/>
      <c r="O306" s="341">
        <v>1.4</v>
      </c>
      <c r="P306" s="281"/>
      <c r="Q306" s="341">
        <v>1.4</v>
      </c>
      <c r="R306" s="281"/>
      <c r="S306" s="341">
        <v>1.4</v>
      </c>
      <c r="T306" s="281"/>
      <c r="U306" s="341">
        <v>1.4</v>
      </c>
      <c r="V306" s="281"/>
      <c r="W306" s="341">
        <v>1.4</v>
      </c>
      <c r="X306" s="281"/>
      <c r="Y306" s="341">
        <v>1.4</v>
      </c>
      <c r="Z306" s="281"/>
      <c r="AA306" s="341">
        <v>1.4</v>
      </c>
      <c r="AB306" s="281"/>
      <c r="AC306" s="341">
        <v>1.4</v>
      </c>
      <c r="AD306" s="281"/>
      <c r="AE306" s="341">
        <v>1.4</v>
      </c>
      <c r="AF306" s="281"/>
      <c r="AG306" s="341">
        <v>1.4</v>
      </c>
      <c r="AH306" s="281"/>
      <c r="AI306" s="341">
        <v>1</v>
      </c>
      <c r="AJ306" s="281"/>
      <c r="AK306" s="341">
        <v>1</v>
      </c>
      <c r="AL306" s="281"/>
      <c r="AM306" s="341">
        <v>1</v>
      </c>
      <c r="AN306" s="281"/>
      <c r="AO306" s="341">
        <v>1</v>
      </c>
      <c r="AP306" s="281"/>
      <c r="AQ306" s="341">
        <v>1</v>
      </c>
      <c r="AR306" s="281"/>
      <c r="AS306" s="341">
        <v>1</v>
      </c>
      <c r="AT306" s="281"/>
      <c r="AU306" s="341">
        <v>1</v>
      </c>
      <c r="AV306" s="281"/>
      <c r="AW306" s="341">
        <v>1</v>
      </c>
      <c r="AX306" s="281"/>
      <c r="AY306" s="341">
        <v>1</v>
      </c>
      <c r="AZ306" s="281"/>
      <c r="BA306" s="341">
        <v>1</v>
      </c>
      <c r="BB306" s="281"/>
      <c r="BC306" s="341">
        <v>1</v>
      </c>
      <c r="BD306" s="281"/>
      <c r="BE306" s="341">
        <v>1</v>
      </c>
      <c r="BF306" s="281"/>
      <c r="BG306" s="341">
        <v>1</v>
      </c>
      <c r="BH306" s="281"/>
      <c r="BI306" s="341">
        <v>1</v>
      </c>
      <c r="BJ306" s="281"/>
      <c r="BK306" s="341">
        <v>1</v>
      </c>
      <c r="BL306" s="281"/>
      <c r="BM306" s="341">
        <v>1</v>
      </c>
      <c r="BN306" s="281"/>
      <c r="BO306" s="341">
        <v>1</v>
      </c>
      <c r="BP306" s="281"/>
      <c r="BQ306" s="341">
        <v>1</v>
      </c>
      <c r="BR306" s="281"/>
      <c r="BS306" s="341">
        <v>1</v>
      </c>
      <c r="BT306" s="281"/>
      <c r="BU306" s="341">
        <v>1</v>
      </c>
      <c r="BV306" s="281"/>
      <c r="BW306" s="341">
        <v>1</v>
      </c>
      <c r="BX306" s="281"/>
      <c r="BY306" s="341">
        <v>1</v>
      </c>
      <c r="BZ306" s="281"/>
      <c r="CA306" s="341">
        <v>1</v>
      </c>
      <c r="CB306" s="281"/>
      <c r="CC306" s="341">
        <v>1</v>
      </c>
      <c r="CD306" s="281"/>
      <c r="CE306" s="341">
        <v>1</v>
      </c>
      <c r="CF306" s="281"/>
      <c r="CG306" s="341">
        <v>1</v>
      </c>
      <c r="CH306" s="281"/>
      <c r="CI306" s="341">
        <v>1</v>
      </c>
      <c r="CJ306" s="281"/>
      <c r="CK306" s="341">
        <v>1</v>
      </c>
      <c r="CL306" s="281"/>
      <c r="CM306" s="341">
        <v>1</v>
      </c>
      <c r="CN306" s="281"/>
      <c r="CO306" s="341">
        <v>1</v>
      </c>
      <c r="CP306" s="281"/>
      <c r="CQ306" s="341">
        <v>1</v>
      </c>
      <c r="CR306" s="281"/>
      <c r="CS306" s="341">
        <v>1</v>
      </c>
      <c r="CT306" s="281"/>
      <c r="CU306" s="341">
        <v>1</v>
      </c>
      <c r="CV306" s="281"/>
      <c r="CW306" s="341">
        <v>1</v>
      </c>
      <c r="CX306" s="281"/>
      <c r="CY306" s="341">
        <v>1</v>
      </c>
      <c r="CZ306" s="281"/>
      <c r="DA306" s="341">
        <v>1</v>
      </c>
      <c r="DB306" s="281"/>
      <c r="DC306" s="341">
        <v>1</v>
      </c>
      <c r="DD306" s="281"/>
      <c r="DE306" s="341">
        <v>1</v>
      </c>
      <c r="DF306" s="281"/>
      <c r="DG306" s="341">
        <v>1</v>
      </c>
      <c r="DH306" s="281"/>
      <c r="DI306" s="341">
        <v>1</v>
      </c>
      <c r="DJ306" s="281"/>
      <c r="DK306" s="341">
        <v>1</v>
      </c>
      <c r="DL306" s="281"/>
      <c r="DM306" s="341">
        <v>1</v>
      </c>
      <c r="DN306" s="281"/>
      <c r="DO306" s="341">
        <v>1</v>
      </c>
      <c r="DP306" s="281"/>
      <c r="DQ306" s="341">
        <v>1</v>
      </c>
      <c r="DR306" s="281"/>
      <c r="DS306" s="341">
        <v>1</v>
      </c>
      <c r="DT306" s="281"/>
      <c r="DU306" s="148"/>
      <c r="DV306" s="148"/>
      <c r="DW306" s="148"/>
      <c r="DX306" s="148"/>
      <c r="DY306" s="148"/>
      <c r="DZ306" s="148"/>
      <c r="EA306" s="148"/>
      <c r="EB306" s="148"/>
      <c r="EC306" s="148"/>
      <c r="ED306" s="148"/>
      <c r="EE306" s="148"/>
      <c r="EF306" s="148"/>
      <c r="EG306" s="148"/>
      <c r="EH306" s="148"/>
      <c r="EI306" s="148"/>
      <c r="EJ306" s="148"/>
      <c r="EK306" s="148"/>
      <c r="EL306" s="148"/>
      <c r="EM306" s="148"/>
      <c r="EN306" s="341">
        <v>1</v>
      </c>
      <c r="EO306" s="281"/>
      <c r="EP306" s="341">
        <v>1</v>
      </c>
      <c r="EQ306" s="281"/>
      <c r="ER306" s="341">
        <v>1</v>
      </c>
      <c r="ES306" s="281"/>
      <c r="ET306" s="341">
        <v>1</v>
      </c>
      <c r="EU306" s="281"/>
      <c r="EV306" s="341">
        <v>1</v>
      </c>
      <c r="EW306" s="281"/>
      <c r="EX306" s="341">
        <v>1</v>
      </c>
      <c r="EY306" s="281"/>
      <c r="EZ306" s="341">
        <v>1</v>
      </c>
      <c r="FA306" s="281"/>
      <c r="FB306" s="341">
        <v>1</v>
      </c>
      <c r="FC306" s="281"/>
      <c r="FD306" s="341">
        <v>1</v>
      </c>
      <c r="FE306" s="281"/>
      <c r="FF306" s="341">
        <v>1</v>
      </c>
      <c r="FG306" s="281"/>
      <c r="FH306" s="341">
        <v>1</v>
      </c>
      <c r="FI306" s="281"/>
      <c r="FJ306" s="341">
        <v>1</v>
      </c>
      <c r="FK306" s="281"/>
      <c r="FL306" s="341">
        <v>1</v>
      </c>
      <c r="FM306" s="281"/>
      <c r="FN306" s="341">
        <v>1</v>
      </c>
      <c r="FO306" s="281"/>
      <c r="FP306" s="341">
        <v>1</v>
      </c>
      <c r="FQ306" s="281"/>
      <c r="FR306" s="148"/>
      <c r="FS306" s="148"/>
      <c r="FT306" s="148"/>
      <c r="FU306" s="148"/>
      <c r="FV306" s="148"/>
      <c r="FW306" s="148"/>
      <c r="FX306" s="148"/>
      <c r="FY306" s="148"/>
      <c r="FZ306" s="148"/>
      <c r="GA306" s="148"/>
      <c r="GB306" s="148"/>
      <c r="GC306" s="148"/>
      <c r="GD306" s="148"/>
      <c r="GE306" s="148"/>
      <c r="GF306" s="148"/>
      <c r="GG306" s="148"/>
    </row>
    <row r="307" spans="1:189" ht="4.95" customHeight="1" outlineLevel="1" x14ac:dyDescent="0.3">
      <c r="A307" s="1"/>
      <c r="B307" s="411"/>
      <c r="C307" s="412"/>
      <c r="D307" s="412"/>
      <c r="E307" s="412"/>
      <c r="F307" s="412"/>
      <c r="G307" s="5"/>
      <c r="H307" s="5"/>
      <c r="I307" s="206"/>
      <c r="J307" s="199"/>
      <c r="K307" s="206"/>
      <c r="L307" s="199"/>
      <c r="M307" s="206"/>
      <c r="N307" s="199"/>
      <c r="O307" s="206"/>
      <c r="P307" s="199"/>
      <c r="Q307" s="206"/>
      <c r="R307" s="199"/>
      <c r="S307" s="206"/>
      <c r="T307" s="199"/>
      <c r="U307" s="206"/>
      <c r="V307" s="199"/>
      <c r="W307" s="206"/>
      <c r="X307" s="199"/>
      <c r="Y307" s="206"/>
      <c r="Z307" s="199"/>
      <c r="AA307" s="206"/>
      <c r="AB307" s="199"/>
      <c r="AC307" s="206"/>
      <c r="AD307" s="199"/>
      <c r="AE307" s="206"/>
      <c r="AF307" s="199"/>
      <c r="AG307" s="206"/>
      <c r="AH307" s="199"/>
      <c r="AI307" s="206"/>
      <c r="AJ307" s="199"/>
      <c r="AK307" s="206"/>
      <c r="AL307" s="199"/>
      <c r="AM307" s="206"/>
      <c r="AN307" s="199"/>
      <c r="AO307" s="206"/>
      <c r="AP307" s="199"/>
      <c r="AQ307" s="206"/>
      <c r="AR307" s="199"/>
      <c r="AS307" s="206"/>
      <c r="AT307" s="199"/>
      <c r="AU307" s="206"/>
      <c r="AV307" s="199"/>
      <c r="AW307" s="206"/>
      <c r="AX307" s="199"/>
      <c r="AY307" s="206"/>
      <c r="AZ307" s="199"/>
      <c r="BA307" s="206"/>
      <c r="BB307" s="199"/>
      <c r="BC307" s="206"/>
      <c r="BD307" s="199"/>
      <c r="BE307" s="206"/>
      <c r="BF307" s="199"/>
      <c r="BG307" s="206"/>
      <c r="BH307" s="199"/>
      <c r="BI307" s="206"/>
      <c r="BJ307" s="199"/>
      <c r="BK307" s="206"/>
      <c r="BL307" s="199"/>
      <c r="BM307" s="206"/>
      <c r="BN307" s="199"/>
      <c r="BO307" s="206"/>
      <c r="BP307" s="199"/>
      <c r="BQ307" s="206"/>
      <c r="BR307" s="199"/>
      <c r="BS307" s="206"/>
      <c r="BT307" s="199"/>
      <c r="BU307" s="206"/>
      <c r="BV307" s="199"/>
      <c r="BW307" s="206"/>
      <c r="BX307" s="199"/>
      <c r="BY307" s="206"/>
      <c r="BZ307" s="199"/>
      <c r="CA307" s="206"/>
      <c r="CB307" s="199"/>
      <c r="CC307" s="206"/>
      <c r="CD307" s="199"/>
      <c r="CE307" s="206"/>
      <c r="CF307" s="199"/>
      <c r="CG307" s="206"/>
      <c r="CH307" s="199"/>
      <c r="CI307" s="206"/>
      <c r="CJ307" s="199"/>
      <c r="CK307" s="206"/>
      <c r="CL307" s="199"/>
      <c r="CM307" s="206"/>
      <c r="CN307" s="199"/>
      <c r="CO307" s="206"/>
      <c r="CP307" s="199"/>
      <c r="CQ307" s="206"/>
      <c r="CR307" s="199"/>
      <c r="CS307" s="206"/>
      <c r="CT307" s="199"/>
      <c r="CU307" s="206"/>
      <c r="CV307" s="199"/>
      <c r="CW307" s="206"/>
      <c r="CX307" s="199"/>
      <c r="CY307" s="206"/>
      <c r="CZ307" s="199"/>
      <c r="DA307" s="206"/>
      <c r="DB307" s="199"/>
      <c r="DC307" s="206"/>
      <c r="DD307" s="199"/>
      <c r="DE307" s="206"/>
      <c r="DF307" s="199"/>
      <c r="DG307" s="206"/>
      <c r="DH307" s="199"/>
      <c r="DI307" s="206"/>
      <c r="DJ307" s="199"/>
      <c r="DK307" s="206"/>
      <c r="DL307" s="199"/>
      <c r="DM307" s="206"/>
      <c r="DN307" s="199"/>
      <c r="DO307" s="206"/>
      <c r="DP307" s="199"/>
      <c r="DQ307" s="206"/>
      <c r="DR307" s="199"/>
      <c r="DS307" s="206"/>
      <c r="DT307" s="199"/>
      <c r="DU307" s="148"/>
      <c r="DV307" s="148"/>
      <c r="DW307" s="148"/>
      <c r="DX307" s="148"/>
      <c r="DY307" s="148"/>
      <c r="DZ307" s="148"/>
      <c r="EA307" s="148"/>
      <c r="EB307" s="148"/>
      <c r="EC307" s="148"/>
      <c r="ED307" s="148"/>
      <c r="EE307" s="148"/>
      <c r="EF307" s="148"/>
      <c r="EG307" s="148"/>
      <c r="EH307" s="148"/>
      <c r="EI307" s="148"/>
      <c r="EJ307" s="148"/>
      <c r="EK307" s="148"/>
      <c r="EL307" s="148"/>
      <c r="EM307" s="148"/>
      <c r="EN307" s="206"/>
      <c r="EO307" s="199"/>
      <c r="EP307" s="206"/>
      <c r="EQ307" s="209"/>
      <c r="ER307" s="206"/>
      <c r="ES307" s="209"/>
      <c r="ET307" s="348"/>
      <c r="EU307" s="281"/>
      <c r="EV307" s="348"/>
      <c r="EW307" s="281"/>
      <c r="EX307" s="348"/>
      <c r="EY307" s="281"/>
      <c r="EZ307" s="348"/>
      <c r="FA307" s="281"/>
      <c r="FB307" s="348"/>
      <c r="FC307" s="281"/>
      <c r="FD307" s="348"/>
      <c r="FE307" s="281"/>
      <c r="FF307" s="348"/>
      <c r="FG307" s="281"/>
      <c r="FH307" s="348"/>
      <c r="FI307" s="281"/>
      <c r="FJ307" s="348"/>
      <c r="FK307" s="281"/>
      <c r="FL307" s="348"/>
      <c r="FM307" s="281"/>
      <c r="FN307" s="348"/>
      <c r="FO307" s="281"/>
      <c r="FP307" s="348"/>
      <c r="FQ307" s="281"/>
      <c r="FR307" s="148"/>
      <c r="FS307" s="148"/>
      <c r="FT307" s="148"/>
      <c r="FU307" s="148"/>
      <c r="FV307" s="148"/>
      <c r="FW307" s="148"/>
      <c r="FX307" s="148"/>
      <c r="FY307" s="148"/>
      <c r="FZ307" s="148"/>
      <c r="GA307" s="148"/>
      <c r="GB307" s="148"/>
      <c r="GC307" s="148"/>
      <c r="GD307" s="148"/>
      <c r="GE307" s="148"/>
      <c r="GF307" s="148"/>
      <c r="GG307" s="148"/>
    </row>
    <row r="308" spans="1:189" ht="15" customHeight="1" outlineLevel="1" x14ac:dyDescent="0.3">
      <c r="A308" s="1"/>
      <c r="B308" s="411"/>
      <c r="C308" s="412"/>
      <c r="D308" s="412"/>
      <c r="E308" s="412"/>
      <c r="F308" s="412"/>
      <c r="G308" s="5" t="s">
        <v>245</v>
      </c>
      <c r="H308" s="5"/>
      <c r="I308" s="206"/>
      <c r="J308" s="199"/>
      <c r="K308" s="206"/>
      <c r="L308" s="199"/>
      <c r="M308" s="206"/>
      <c r="N308" s="199"/>
      <c r="O308" s="206"/>
      <c r="P308" s="199"/>
      <c r="Q308" s="206"/>
      <c r="R308" s="199"/>
      <c r="S308" s="206"/>
      <c r="T308" s="199"/>
      <c r="U308" s="206"/>
      <c r="V308" s="199"/>
      <c r="W308" s="206"/>
      <c r="X308" s="199"/>
      <c r="Y308" s="206"/>
      <c r="Z308" s="199"/>
      <c r="AA308" s="206"/>
      <c r="AB308" s="199"/>
      <c r="AC308" s="206"/>
      <c r="AD308" s="199"/>
      <c r="AE308" s="206"/>
      <c r="AF308" s="199"/>
      <c r="AG308" s="206"/>
      <c r="AH308" s="199"/>
      <c r="AI308" s="206"/>
      <c r="AJ308" s="199"/>
      <c r="AK308" s="206"/>
      <c r="AL308" s="199"/>
      <c r="AM308" s="206"/>
      <c r="AN308" s="199"/>
      <c r="AO308" s="206"/>
      <c r="AP308" s="199"/>
      <c r="AQ308" s="206"/>
      <c r="AR308" s="199"/>
      <c r="AS308" s="206"/>
      <c r="AT308" s="199"/>
      <c r="AU308" s="206"/>
      <c r="AV308" s="199"/>
      <c r="AW308" s="206"/>
      <c r="AX308" s="199"/>
      <c r="AY308" s="206"/>
      <c r="AZ308" s="199"/>
      <c r="BA308" s="206"/>
      <c r="BB308" s="199"/>
      <c r="BC308" s="206"/>
      <c r="BD308" s="199"/>
      <c r="BE308" s="206"/>
      <c r="BF308" s="199"/>
      <c r="BG308" s="206"/>
      <c r="BH308" s="199"/>
      <c r="BI308" s="206"/>
      <c r="BJ308" s="199"/>
      <c r="BK308" s="206"/>
      <c r="BL308" s="199"/>
      <c r="BM308" s="206"/>
      <c r="BN308" s="199"/>
      <c r="BO308" s="206"/>
      <c r="BP308" s="199"/>
      <c r="BQ308" s="206"/>
      <c r="BR308" s="199"/>
      <c r="BS308" s="206"/>
      <c r="BT308" s="199"/>
      <c r="BU308" s="206"/>
      <c r="BV308" s="199"/>
      <c r="BW308" s="206"/>
      <c r="BX308" s="199"/>
      <c r="BY308" s="206"/>
      <c r="BZ308" s="199"/>
      <c r="CA308" s="206"/>
      <c r="CB308" s="199"/>
      <c r="CC308" s="206"/>
      <c r="CD308" s="199"/>
      <c r="CE308" s="206"/>
      <c r="CF308" s="199"/>
      <c r="CG308" s="206"/>
      <c r="CH308" s="199"/>
      <c r="CI308" s="206"/>
      <c r="CJ308" s="199"/>
      <c r="CK308" s="206"/>
      <c r="CL308" s="199"/>
      <c r="CM308" s="206"/>
      <c r="CN308" s="199"/>
      <c r="CO308" s="206"/>
      <c r="CP308" s="199"/>
      <c r="CQ308" s="206"/>
      <c r="CR308" s="199"/>
      <c r="CS308" s="206"/>
      <c r="CT308" s="199"/>
      <c r="CU308" s="206"/>
      <c r="CV308" s="199"/>
      <c r="CW308" s="206"/>
      <c r="CX308" s="199"/>
      <c r="CY308" s="206"/>
      <c r="CZ308" s="199"/>
      <c r="DA308" s="206"/>
      <c r="DB308" s="199"/>
      <c r="DC308" s="206" t="e">
        <f>DC310/DC309</f>
        <v>#DIV/0!</v>
      </c>
      <c r="DD308" s="199"/>
      <c r="DE308" s="206" t="e">
        <f>DE310/DE309</f>
        <v>#DIV/0!</v>
      </c>
      <c r="DF308" s="199"/>
      <c r="DG308" s="206" t="e">
        <f t="shared" ref="DG308" si="693">DG310/DG309</f>
        <v>#DIV/0!</v>
      </c>
      <c r="DH308" s="199"/>
      <c r="DI308" s="206" t="e">
        <f t="shared" ref="DI308" si="694">DI310/DI309</f>
        <v>#DIV/0!</v>
      </c>
      <c r="DJ308" s="199"/>
      <c r="DK308" s="206" t="e">
        <f t="shared" ref="DK308" si="695">DK310/DK309</f>
        <v>#DIV/0!</v>
      </c>
      <c r="DL308" s="199"/>
      <c r="DM308" s="206" t="e">
        <f t="shared" ref="DM308" si="696">DM310/DM309</f>
        <v>#DIV/0!</v>
      </c>
      <c r="DN308" s="199"/>
      <c r="DO308" s="206" t="e">
        <f t="shared" ref="DO308" si="697">DO310/DO309</f>
        <v>#DIV/0!</v>
      </c>
      <c r="DP308" s="199"/>
      <c r="DQ308" s="206" t="e">
        <f t="shared" ref="DQ308" si="698">DQ310/DQ309</f>
        <v>#DIV/0!</v>
      </c>
      <c r="DR308" s="199"/>
      <c r="DS308" s="206" t="e">
        <f t="shared" ref="DS308" si="699">DS310/DS309</f>
        <v>#DIV/0!</v>
      </c>
      <c r="DT308" s="199"/>
      <c r="DU308" s="148"/>
      <c r="DV308" s="148"/>
      <c r="DW308" s="148"/>
      <c r="DX308" s="148"/>
      <c r="DY308" s="148"/>
      <c r="DZ308" s="148"/>
      <c r="EA308" s="148"/>
      <c r="EB308" s="148"/>
      <c r="EC308" s="148"/>
      <c r="ED308" s="148"/>
      <c r="EE308" s="148"/>
      <c r="EF308" s="148"/>
      <c r="EG308" s="148"/>
      <c r="EH308" s="148"/>
      <c r="EI308" s="148"/>
      <c r="EJ308" s="148"/>
      <c r="EK308" s="148"/>
      <c r="EL308" s="148"/>
      <c r="EM308" s="148"/>
      <c r="EN308" s="206" t="e">
        <f t="shared" ref="EN308:EP308" si="700">EN310/EN309</f>
        <v>#DIV/0!</v>
      </c>
      <c r="EO308" s="199"/>
      <c r="EP308" s="206" t="e">
        <f t="shared" si="700"/>
        <v>#DIV/0!</v>
      </c>
      <c r="EQ308" s="199"/>
      <c r="ER308" s="206" t="e">
        <f t="shared" ref="ER308:ET308" si="701">ER310/ER309</f>
        <v>#DIV/0!</v>
      </c>
      <c r="ES308" s="199"/>
      <c r="ET308" s="206">
        <f t="shared" si="701"/>
        <v>0.90364025695931482</v>
      </c>
      <c r="EU308" s="199"/>
      <c r="EV308" s="206">
        <f>EV310/EV309</f>
        <v>0.56934931506849318</v>
      </c>
      <c r="EW308" s="199"/>
      <c r="EX308" s="206">
        <f t="shared" ref="EX308" si="702">EX310/EX309</f>
        <v>0.36697819314641744</v>
      </c>
      <c r="EY308" s="199"/>
      <c r="EZ308" s="206">
        <f t="shared" ref="EZ308" si="703">EZ310/EZ309</f>
        <v>0.61745689655172409</v>
      </c>
      <c r="FA308" s="199"/>
      <c r="FB308" s="206">
        <f>FB310/FB309</f>
        <v>0.39753737906772207</v>
      </c>
      <c r="FC308" s="199"/>
      <c r="FD308" s="206">
        <f t="shared" ref="FD308:FF308" si="704">FD310/FD309</f>
        <v>0.53612167300380231</v>
      </c>
      <c r="FE308" s="199"/>
      <c r="FF308" s="206">
        <f t="shared" si="704"/>
        <v>0.43766937669376693</v>
      </c>
      <c r="FG308" s="199"/>
      <c r="FH308" s="206">
        <f t="shared" ref="FH308" si="705">FH310/FH309</f>
        <v>0.48821548821548821</v>
      </c>
      <c r="FI308" s="199"/>
      <c r="FJ308" s="206">
        <f t="shared" ref="FJ308" si="706">FJ310/FJ309</f>
        <v>0.47099447513812154</v>
      </c>
      <c r="FK308" s="199"/>
      <c r="FL308" s="206">
        <f>FL310/FL309</f>
        <v>0.60835509138381205</v>
      </c>
      <c r="FM308" s="199"/>
      <c r="FN308" s="206">
        <f>FN310/FN309</f>
        <v>0.3177366702937976</v>
      </c>
      <c r="FO308" s="199"/>
      <c r="FP308" s="206">
        <f>FP310/FP309</f>
        <v>0.22876254180602007</v>
      </c>
      <c r="FQ308" s="199"/>
      <c r="FR308" s="148" t="s">
        <v>29</v>
      </c>
      <c r="FS308" s="148" t="s">
        <v>29</v>
      </c>
      <c r="FT308" s="148" t="s">
        <v>29</v>
      </c>
      <c r="FU308" s="148" t="s">
        <v>29</v>
      </c>
      <c r="FV308" s="148" t="s">
        <v>29</v>
      </c>
      <c r="FW308" s="148" t="s">
        <v>29</v>
      </c>
      <c r="FX308" s="148" t="s">
        <v>29</v>
      </c>
      <c r="FY308" s="148" t="s">
        <v>29</v>
      </c>
      <c r="FZ308" s="148" t="s">
        <v>29</v>
      </c>
      <c r="GA308" s="148" t="s">
        <v>29</v>
      </c>
      <c r="GB308" s="148" t="s">
        <v>29</v>
      </c>
      <c r="GC308" s="148" t="s">
        <v>29</v>
      </c>
      <c r="GD308" s="148" t="s">
        <v>29</v>
      </c>
      <c r="GE308" s="148" t="s">
        <v>29</v>
      </c>
      <c r="GF308" s="148"/>
      <c r="GG308" s="148"/>
    </row>
    <row r="309" spans="1:189" ht="13.2" customHeight="1" outlineLevel="1" x14ac:dyDescent="0.3">
      <c r="A309" s="1"/>
      <c r="B309" s="286"/>
      <c r="C309" s="301"/>
      <c r="D309" s="301"/>
      <c r="E309" s="301"/>
      <c r="F309" s="301"/>
      <c r="G309" s="5" t="s">
        <v>422</v>
      </c>
      <c r="H309" s="5"/>
      <c r="I309" s="348"/>
      <c r="J309" s="281"/>
      <c r="K309" s="351"/>
      <c r="L309" s="281"/>
      <c r="M309" s="351"/>
      <c r="N309" s="281"/>
      <c r="O309" s="351"/>
      <c r="P309" s="281"/>
      <c r="Q309" s="351"/>
      <c r="R309" s="281"/>
      <c r="S309" s="351"/>
      <c r="T309" s="281"/>
      <c r="U309" s="351"/>
      <c r="V309" s="281"/>
      <c r="W309" s="348"/>
      <c r="X309" s="281"/>
      <c r="Y309" s="348"/>
      <c r="Z309" s="281"/>
      <c r="AA309" s="348"/>
      <c r="AB309" s="281"/>
      <c r="AC309" s="348"/>
      <c r="AD309" s="281"/>
      <c r="AE309" s="348"/>
      <c r="AF309" s="281"/>
      <c r="AG309" s="351"/>
      <c r="AH309" s="281"/>
      <c r="AI309" s="351"/>
      <c r="AJ309" s="281"/>
      <c r="AK309" s="348"/>
      <c r="AL309" s="281"/>
      <c r="AM309" s="351"/>
      <c r="AN309" s="281"/>
      <c r="AO309" s="348"/>
      <c r="AP309" s="281"/>
      <c r="AQ309" s="348"/>
      <c r="AR309" s="281"/>
      <c r="AS309" s="351"/>
      <c r="AT309" s="281"/>
      <c r="AU309" s="348"/>
      <c r="AV309" s="281"/>
      <c r="AW309" s="348"/>
      <c r="AX309" s="281"/>
      <c r="AY309" s="351"/>
      <c r="AZ309" s="281"/>
      <c r="BA309" s="348"/>
      <c r="BB309" s="281"/>
      <c r="BC309" s="348"/>
      <c r="BD309" s="281"/>
      <c r="BE309" s="348"/>
      <c r="BF309" s="281"/>
      <c r="BG309" s="348"/>
      <c r="BH309" s="281"/>
      <c r="BI309" s="348"/>
      <c r="BJ309" s="281"/>
      <c r="BK309" s="348"/>
      <c r="BL309" s="281"/>
      <c r="BM309" s="348"/>
      <c r="BN309" s="281"/>
      <c r="BO309" s="348"/>
      <c r="BP309" s="281"/>
      <c r="BQ309" s="348"/>
      <c r="BR309" s="281"/>
      <c r="BS309" s="348"/>
      <c r="BT309" s="281"/>
      <c r="BU309" s="348"/>
      <c r="BV309" s="281"/>
      <c r="BW309" s="348"/>
      <c r="BX309" s="281"/>
      <c r="BY309" s="348"/>
      <c r="BZ309" s="281"/>
      <c r="CA309" s="348"/>
      <c r="CB309" s="281"/>
      <c r="CC309" s="348"/>
      <c r="CD309" s="281"/>
      <c r="CE309" s="348"/>
      <c r="CF309" s="281"/>
      <c r="CG309" s="348"/>
      <c r="CH309" s="281"/>
      <c r="CI309" s="348"/>
      <c r="CJ309" s="281"/>
      <c r="CK309" s="348"/>
      <c r="CL309" s="281"/>
      <c r="CM309" s="348"/>
      <c r="CN309" s="281"/>
      <c r="CO309" s="348"/>
      <c r="CP309" s="281"/>
      <c r="CQ309" s="348"/>
      <c r="CR309" s="281"/>
      <c r="CS309" s="348"/>
      <c r="CT309" s="281"/>
      <c r="CU309" s="348"/>
      <c r="CV309" s="281"/>
      <c r="CW309" s="348"/>
      <c r="CX309" s="281"/>
      <c r="CY309" s="348"/>
      <c r="CZ309" s="281"/>
      <c r="DA309" s="348"/>
      <c r="DB309" s="281"/>
      <c r="DC309" s="335"/>
      <c r="DD309" s="281"/>
      <c r="DE309" s="335"/>
      <c r="DF309" s="281"/>
      <c r="DG309" s="335"/>
      <c r="DH309" s="281"/>
      <c r="DI309" s="335"/>
      <c r="DJ309" s="281"/>
      <c r="DK309" s="335"/>
      <c r="DL309" s="281"/>
      <c r="DM309" s="335"/>
      <c r="DN309" s="281"/>
      <c r="DO309" s="335"/>
      <c r="DP309" s="281"/>
      <c r="DQ309" s="335"/>
      <c r="DR309" s="281"/>
      <c r="DS309" s="335"/>
      <c r="DT309" s="281"/>
      <c r="DU309" s="148"/>
      <c r="DV309" s="148"/>
      <c r="DW309" s="148"/>
      <c r="DX309" s="148"/>
      <c r="DY309" s="148"/>
      <c r="DZ309" s="148"/>
      <c r="EA309" s="148"/>
      <c r="EB309" s="148"/>
      <c r="EC309" s="148"/>
      <c r="ED309" s="148"/>
      <c r="EE309" s="148"/>
      <c r="EF309" s="148"/>
      <c r="EG309" s="148"/>
      <c r="EH309" s="148"/>
      <c r="EI309" s="148"/>
      <c r="EJ309" s="148"/>
      <c r="EK309" s="148"/>
      <c r="EL309" s="148"/>
      <c r="EM309" s="148"/>
      <c r="EN309" s="335"/>
      <c r="EO309" s="281"/>
      <c r="EP309" s="335"/>
      <c r="EQ309" s="281"/>
      <c r="ER309" s="335"/>
      <c r="ES309" s="281"/>
      <c r="ET309" s="402">
        <v>934</v>
      </c>
      <c r="EU309" s="403"/>
      <c r="EV309" s="335">
        <v>1168</v>
      </c>
      <c r="EW309" s="281"/>
      <c r="EX309" s="335">
        <v>1605</v>
      </c>
      <c r="EY309" s="281"/>
      <c r="EZ309" s="335">
        <v>928</v>
      </c>
      <c r="FA309" s="281"/>
      <c r="FB309" s="335">
        <v>1137</v>
      </c>
      <c r="FC309" s="281"/>
      <c r="FD309" s="335">
        <v>789</v>
      </c>
      <c r="FE309" s="281"/>
      <c r="FF309" s="335">
        <v>738</v>
      </c>
      <c r="FG309" s="281"/>
      <c r="FH309" s="335">
        <v>594</v>
      </c>
      <c r="FI309" s="281"/>
      <c r="FJ309" s="335">
        <v>724</v>
      </c>
      <c r="FK309" s="281"/>
      <c r="FL309" s="335">
        <v>766</v>
      </c>
      <c r="FM309" s="281"/>
      <c r="FN309" s="335">
        <v>919</v>
      </c>
      <c r="FO309" s="281"/>
      <c r="FP309" s="335">
        <v>1495</v>
      </c>
      <c r="FQ309" s="281"/>
      <c r="FR309" s="148"/>
      <c r="FS309" s="148"/>
      <c r="FT309" s="148"/>
      <c r="FU309" s="148"/>
      <c r="FV309" s="148"/>
      <c r="FW309" s="148"/>
      <c r="FX309" s="148"/>
      <c r="FY309" s="148"/>
      <c r="FZ309" s="148"/>
      <c r="GA309" s="148"/>
      <c r="GB309" s="148"/>
      <c r="GC309" s="148"/>
      <c r="GD309" s="148"/>
      <c r="GE309" s="148"/>
      <c r="GF309" s="148"/>
      <c r="GG309" s="148"/>
    </row>
    <row r="310" spans="1:189" ht="19.2" customHeight="1" outlineLevel="1" x14ac:dyDescent="0.3">
      <c r="A310" s="1"/>
      <c r="B310" s="287"/>
      <c r="C310" s="302"/>
      <c r="D310" s="302"/>
      <c r="E310" s="302"/>
      <c r="F310" s="302"/>
      <c r="G310" s="5" t="s">
        <v>415</v>
      </c>
      <c r="H310" s="5"/>
      <c r="I310" s="284">
        <f>SUM(K310:AH310)</f>
        <v>289503</v>
      </c>
      <c r="J310" s="281"/>
      <c r="K310" s="284">
        <v>28534</v>
      </c>
      <c r="L310" s="281"/>
      <c r="M310" s="284">
        <v>22554</v>
      </c>
      <c r="N310" s="281"/>
      <c r="O310" s="284">
        <v>21289</v>
      </c>
      <c r="P310" s="281"/>
      <c r="Q310" s="284">
        <v>20081</v>
      </c>
      <c r="R310" s="281"/>
      <c r="S310" s="284">
        <v>20656</v>
      </c>
      <c r="T310" s="281"/>
      <c r="U310" s="284">
        <v>24060</v>
      </c>
      <c r="V310" s="281"/>
      <c r="W310" s="284">
        <v>24419</v>
      </c>
      <c r="X310" s="281"/>
      <c r="Y310" s="284">
        <v>24944</v>
      </c>
      <c r="Z310" s="281"/>
      <c r="AA310" s="284">
        <v>24290</v>
      </c>
      <c r="AB310" s="281"/>
      <c r="AC310" s="284">
        <v>26839</v>
      </c>
      <c r="AD310" s="281"/>
      <c r="AE310" s="284">
        <v>25145</v>
      </c>
      <c r="AF310" s="281"/>
      <c r="AG310" s="284">
        <v>26692</v>
      </c>
      <c r="AH310" s="281"/>
      <c r="AI310" s="284">
        <v>21187</v>
      </c>
      <c r="AJ310" s="281"/>
      <c r="AK310" s="284">
        <v>15342</v>
      </c>
      <c r="AL310" s="281"/>
      <c r="AM310" s="284">
        <v>17923</v>
      </c>
      <c r="AN310" s="281"/>
      <c r="AO310" s="284">
        <v>16179</v>
      </c>
      <c r="AP310" s="281"/>
      <c r="AQ310" s="284">
        <v>14563</v>
      </c>
      <c r="AR310" s="281"/>
      <c r="AS310" s="284">
        <v>14700</v>
      </c>
      <c r="AT310" s="281"/>
      <c r="AU310" s="284">
        <v>13759</v>
      </c>
      <c r="AV310" s="281"/>
      <c r="AW310" s="284">
        <v>12789</v>
      </c>
      <c r="AX310" s="281"/>
      <c r="AY310" s="284">
        <v>13614</v>
      </c>
      <c r="AZ310" s="281"/>
      <c r="BA310" s="284">
        <v>10840</v>
      </c>
      <c r="BB310" s="281"/>
      <c r="BC310" s="284">
        <v>10095</v>
      </c>
      <c r="BD310" s="281"/>
      <c r="BE310" s="284">
        <v>11838</v>
      </c>
      <c r="BF310" s="281"/>
      <c r="BG310" s="335">
        <v>9389</v>
      </c>
      <c r="BH310" s="281"/>
      <c r="BI310" s="335">
        <v>7182</v>
      </c>
      <c r="BJ310" s="281"/>
      <c r="BK310" s="335">
        <v>8090</v>
      </c>
      <c r="BL310" s="281"/>
      <c r="BM310" s="284">
        <v>7595</v>
      </c>
      <c r="BN310" s="281"/>
      <c r="BO310" s="284">
        <v>7411</v>
      </c>
      <c r="BP310" s="281"/>
      <c r="BQ310" s="335">
        <v>7339</v>
      </c>
      <c r="BR310" s="281"/>
      <c r="BS310" s="335">
        <v>5055</v>
      </c>
      <c r="BT310" s="281"/>
      <c r="BU310" s="284">
        <v>5595</v>
      </c>
      <c r="BV310" s="281"/>
      <c r="BW310" s="284">
        <v>5067</v>
      </c>
      <c r="BX310" s="281"/>
      <c r="BY310" s="284">
        <v>4803</v>
      </c>
      <c r="BZ310" s="281"/>
      <c r="CA310" s="284">
        <v>5111</v>
      </c>
      <c r="CB310" s="281"/>
      <c r="CC310" s="284">
        <v>4737</v>
      </c>
      <c r="CD310" s="281"/>
      <c r="CE310" s="332">
        <v>7944</v>
      </c>
      <c r="CF310" s="404"/>
      <c r="CG310" s="332">
        <v>7672</v>
      </c>
      <c r="CH310" s="404"/>
      <c r="CI310" s="332">
        <v>9737</v>
      </c>
      <c r="CJ310" s="404"/>
      <c r="CK310" s="332">
        <v>8222</v>
      </c>
      <c r="CL310" s="404"/>
      <c r="CM310" s="408">
        <v>9554</v>
      </c>
      <c r="CN310" s="409"/>
      <c r="CO310" s="410">
        <v>6704</v>
      </c>
      <c r="CP310" s="409"/>
      <c r="CQ310" s="410">
        <v>6603</v>
      </c>
      <c r="CR310" s="409"/>
      <c r="CS310" s="410">
        <v>7167</v>
      </c>
      <c r="CT310" s="409"/>
      <c r="CU310" s="410">
        <v>6828</v>
      </c>
      <c r="CV310" s="409"/>
      <c r="CW310" s="410">
        <v>6002</v>
      </c>
      <c r="CX310" s="409"/>
      <c r="CY310" s="410">
        <v>6941</v>
      </c>
      <c r="CZ310" s="409"/>
      <c r="DA310" s="410">
        <v>7603</v>
      </c>
      <c r="DB310" s="409"/>
      <c r="DC310" s="349"/>
      <c r="DD310" s="350"/>
      <c r="DE310" s="349"/>
      <c r="DF310" s="350"/>
      <c r="DG310" s="349"/>
      <c r="DH310" s="350"/>
      <c r="DI310" s="349"/>
      <c r="DJ310" s="350"/>
      <c r="DK310" s="349"/>
      <c r="DL310" s="350"/>
      <c r="DM310" s="349"/>
      <c r="DN310" s="350"/>
      <c r="DO310" s="349"/>
      <c r="DP310" s="350"/>
      <c r="DQ310" s="349"/>
      <c r="DR310" s="350"/>
      <c r="DS310" s="349">
        <v>1377</v>
      </c>
      <c r="DT310" s="350"/>
      <c r="DU310" s="148"/>
      <c r="DV310" s="148"/>
      <c r="DW310" s="148"/>
      <c r="DX310" s="148"/>
      <c r="DY310" s="148"/>
      <c r="DZ310" s="148"/>
      <c r="EA310" s="148"/>
      <c r="EB310" s="148"/>
      <c r="EC310" s="148"/>
      <c r="ED310" s="148"/>
      <c r="EE310" s="148"/>
      <c r="EF310" s="148"/>
      <c r="EG310" s="148"/>
      <c r="EH310" s="148"/>
      <c r="EI310" s="148"/>
      <c r="EJ310" s="148"/>
      <c r="EK310" s="148"/>
      <c r="EL310" s="148"/>
      <c r="EM310" s="148"/>
      <c r="EN310" s="349">
        <v>1467</v>
      </c>
      <c r="EO310" s="350"/>
      <c r="EP310" s="349">
        <v>1285</v>
      </c>
      <c r="EQ310" s="350"/>
      <c r="ER310" s="349">
        <v>641</v>
      </c>
      <c r="ES310" s="350"/>
      <c r="ET310" s="349">
        <v>844</v>
      </c>
      <c r="EU310" s="350"/>
      <c r="EV310" s="349">
        <v>665</v>
      </c>
      <c r="EW310" s="350"/>
      <c r="EX310" s="349">
        <v>589</v>
      </c>
      <c r="EY310" s="350"/>
      <c r="EZ310" s="349">
        <v>573</v>
      </c>
      <c r="FA310" s="350"/>
      <c r="FB310" s="349">
        <v>452</v>
      </c>
      <c r="FC310" s="350"/>
      <c r="FD310" s="349">
        <v>423</v>
      </c>
      <c r="FE310" s="350"/>
      <c r="FF310" s="349">
        <v>323</v>
      </c>
      <c r="FG310" s="350"/>
      <c r="FH310" s="349">
        <v>290</v>
      </c>
      <c r="FI310" s="350"/>
      <c r="FJ310" s="349">
        <v>341</v>
      </c>
      <c r="FK310" s="350"/>
      <c r="FL310" s="349">
        <v>466</v>
      </c>
      <c r="FM310" s="350"/>
      <c r="FN310" s="349">
        <v>292</v>
      </c>
      <c r="FO310" s="350"/>
      <c r="FP310" s="349">
        <f>234+108</f>
        <v>342</v>
      </c>
      <c r="FQ310" s="350"/>
      <c r="FR310" s="148"/>
      <c r="FS310" s="148"/>
      <c r="FT310" s="148"/>
      <c r="FU310" s="148"/>
      <c r="FV310" s="148"/>
      <c r="FW310" s="148"/>
      <c r="FX310" s="148"/>
      <c r="FY310" s="148"/>
      <c r="FZ310" s="148"/>
      <c r="GA310" s="148"/>
      <c r="GB310" s="148"/>
      <c r="GC310" s="148"/>
      <c r="GD310" s="148"/>
      <c r="GE310" s="148"/>
      <c r="GF310" s="148"/>
      <c r="GG310" s="148"/>
    </row>
    <row r="311" spans="1:189" ht="15" customHeight="1" outlineLevel="1" x14ac:dyDescent="0.3">
      <c r="A311" s="1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48"/>
      <c r="DV311" s="148"/>
      <c r="DW311" s="148"/>
      <c r="DX311" s="148"/>
      <c r="DY311" s="148"/>
      <c r="DZ311" s="148"/>
      <c r="EA311" s="148"/>
      <c r="EB311" s="148"/>
      <c r="EC311" s="148"/>
      <c r="ED311" s="148"/>
      <c r="EE311" s="148"/>
      <c r="EF311" s="148"/>
      <c r="EG311" s="148"/>
      <c r="EH311" s="148"/>
      <c r="EI311" s="148"/>
      <c r="EJ311" s="148"/>
      <c r="EK311" s="148"/>
      <c r="EL311" s="148"/>
      <c r="EM311" s="148"/>
      <c r="EN311" s="19"/>
      <c r="EO311" s="19"/>
      <c r="EP311" s="19"/>
      <c r="EQ311" s="192"/>
      <c r="ER311" s="19"/>
      <c r="ES311" s="192"/>
      <c r="ET311" s="19"/>
      <c r="EU311" s="192"/>
      <c r="EV311" s="19"/>
      <c r="EW311" s="192"/>
      <c r="EX311" s="19"/>
      <c r="EY311" s="192"/>
      <c r="EZ311" s="19"/>
      <c r="FA311" s="192"/>
      <c r="FB311" s="19"/>
      <c r="FC311" s="192"/>
      <c r="FD311" s="19"/>
      <c r="FE311" s="192"/>
      <c r="FF311" s="19"/>
      <c r="FG311" s="192"/>
      <c r="FH311" s="19"/>
      <c r="FI311" s="192"/>
      <c r="FJ311" s="19"/>
      <c r="FK311" s="192"/>
      <c r="FL311" s="19"/>
      <c r="FM311" s="192"/>
      <c r="FN311" s="19"/>
      <c r="FO311" s="192"/>
      <c r="FP311" s="19"/>
      <c r="FQ311" s="192"/>
      <c r="FR311" s="210"/>
      <c r="FS311" s="210"/>
      <c r="FT311" s="210"/>
      <c r="FU311" s="210"/>
      <c r="FV311" s="210"/>
      <c r="FW311" s="210"/>
      <c r="FX311" s="210"/>
      <c r="FY311" s="210"/>
      <c r="FZ311" s="210"/>
      <c r="GA311" s="210"/>
      <c r="GB311" s="210"/>
      <c r="GC311" s="210"/>
      <c r="GD311" s="210"/>
      <c r="GE311" s="210"/>
      <c r="GF311" s="210"/>
      <c r="GG311" s="210"/>
    </row>
    <row r="312" spans="1:189" ht="8.25" customHeight="1" outlineLevel="1" x14ac:dyDescent="0.3">
      <c r="A312" s="1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19"/>
      <c r="EO312" s="19"/>
      <c r="EP312" s="19"/>
      <c r="EQ312" s="19"/>
      <c r="ER312" s="19"/>
      <c r="ES312" s="19"/>
      <c r="ET312" s="19"/>
      <c r="EU312" s="19"/>
      <c r="EV312" s="19"/>
      <c r="EW312" s="19"/>
      <c r="EX312" s="19"/>
      <c r="EY312" s="19"/>
      <c r="EZ312" s="19"/>
      <c r="FA312" s="19"/>
      <c r="FB312" s="19"/>
      <c r="FC312" s="19"/>
      <c r="FD312" s="19"/>
      <c r="FE312" s="19"/>
      <c r="FF312" s="19"/>
      <c r="FG312" s="19"/>
      <c r="FH312" s="19"/>
      <c r="FI312" s="19"/>
      <c r="FJ312" s="19"/>
      <c r="FK312" s="19"/>
      <c r="FL312" s="19"/>
      <c r="FM312" s="19"/>
      <c r="FN312" s="19"/>
      <c r="FO312" s="19"/>
      <c r="FP312" s="19"/>
      <c r="FQ312" s="19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</row>
    <row r="313" spans="1:189" ht="15" customHeight="1" outlineLevel="1" x14ac:dyDescent="0.3">
      <c r="A313" s="63"/>
      <c r="B313" s="407" t="s">
        <v>246</v>
      </c>
      <c r="C313" s="313" t="s">
        <v>247</v>
      </c>
      <c r="D313" s="313" t="s">
        <v>25</v>
      </c>
      <c r="E313" s="313" t="s">
        <v>248</v>
      </c>
      <c r="F313" s="313" t="s">
        <v>114</v>
      </c>
      <c r="G313" s="5" t="s">
        <v>28</v>
      </c>
      <c r="H313" s="5"/>
      <c r="I313" s="341">
        <v>1.4</v>
      </c>
      <c r="J313" s="281"/>
      <c r="K313" s="341">
        <v>1.4</v>
      </c>
      <c r="L313" s="281"/>
      <c r="M313" s="341">
        <v>1.4</v>
      </c>
      <c r="N313" s="281"/>
      <c r="O313" s="341">
        <v>1.4</v>
      </c>
      <c r="P313" s="281"/>
      <c r="Q313" s="341">
        <v>1.4</v>
      </c>
      <c r="R313" s="281"/>
      <c r="S313" s="341">
        <v>1.4</v>
      </c>
      <c r="T313" s="281"/>
      <c r="U313" s="341">
        <v>1.4</v>
      </c>
      <c r="V313" s="281"/>
      <c r="W313" s="341">
        <v>1.4</v>
      </c>
      <c r="X313" s="281"/>
      <c r="Y313" s="341">
        <v>1.4</v>
      </c>
      <c r="Z313" s="281"/>
      <c r="AA313" s="341">
        <v>1.4</v>
      </c>
      <c r="AB313" s="281"/>
      <c r="AC313" s="341">
        <v>1.4</v>
      </c>
      <c r="AD313" s="281"/>
      <c r="AE313" s="341">
        <v>1.4</v>
      </c>
      <c r="AF313" s="281"/>
      <c r="AG313" s="341">
        <v>1.4</v>
      </c>
      <c r="AH313" s="281"/>
      <c r="AI313" s="341">
        <v>1.4</v>
      </c>
      <c r="AJ313" s="281"/>
      <c r="AK313" s="341">
        <v>1.4</v>
      </c>
      <c r="AL313" s="281"/>
      <c r="AM313" s="341">
        <v>1.4</v>
      </c>
      <c r="AN313" s="281"/>
      <c r="AO313" s="341">
        <v>1.4</v>
      </c>
      <c r="AP313" s="281"/>
      <c r="AQ313" s="341">
        <v>1.4</v>
      </c>
      <c r="AR313" s="281"/>
      <c r="AS313" s="341">
        <v>1.4</v>
      </c>
      <c r="AT313" s="281"/>
      <c r="AU313" s="341">
        <v>1.4</v>
      </c>
      <c r="AV313" s="281"/>
      <c r="AW313" s="341">
        <v>1.4</v>
      </c>
      <c r="AX313" s="281"/>
      <c r="AY313" s="341">
        <v>1.4</v>
      </c>
      <c r="AZ313" s="281"/>
      <c r="BA313" s="341">
        <v>1.4</v>
      </c>
      <c r="BB313" s="281"/>
      <c r="BC313" s="341">
        <v>1.4</v>
      </c>
      <c r="BD313" s="281"/>
      <c r="BE313" s="341">
        <v>1.4</v>
      </c>
      <c r="BF313" s="281"/>
      <c r="BG313" s="341">
        <v>1.4</v>
      </c>
      <c r="BH313" s="281"/>
      <c r="BI313" s="341">
        <v>1.4</v>
      </c>
      <c r="BJ313" s="281"/>
      <c r="BK313" s="341">
        <v>1.4</v>
      </c>
      <c r="BL313" s="281"/>
      <c r="BM313" s="341">
        <v>1.4</v>
      </c>
      <c r="BN313" s="281"/>
      <c r="BO313" s="341">
        <v>1.4</v>
      </c>
      <c r="BP313" s="281"/>
      <c r="BQ313" s="341">
        <v>1.4</v>
      </c>
      <c r="BR313" s="281"/>
      <c r="BS313" s="341">
        <v>1.4</v>
      </c>
      <c r="BT313" s="281"/>
      <c r="BU313" s="341">
        <v>1.4</v>
      </c>
      <c r="BV313" s="281"/>
      <c r="BW313" s="341">
        <v>1.4</v>
      </c>
      <c r="BX313" s="281"/>
      <c r="BY313" s="341">
        <v>1.4</v>
      </c>
      <c r="BZ313" s="281"/>
      <c r="CA313" s="341">
        <v>1.4</v>
      </c>
      <c r="CB313" s="281"/>
      <c r="CC313" s="341">
        <v>1.4</v>
      </c>
      <c r="CD313" s="281"/>
      <c r="CE313" s="341">
        <v>1.4</v>
      </c>
      <c r="CF313" s="281"/>
      <c r="CG313" s="341">
        <v>1.4</v>
      </c>
      <c r="CH313" s="281"/>
      <c r="CI313" s="341">
        <v>1.4</v>
      </c>
      <c r="CJ313" s="281"/>
      <c r="CK313" s="341">
        <v>1.4</v>
      </c>
      <c r="CL313" s="281"/>
      <c r="CM313" s="341">
        <v>1.4</v>
      </c>
      <c r="CN313" s="281"/>
      <c r="CO313" s="341">
        <v>1.4</v>
      </c>
      <c r="CP313" s="281"/>
      <c r="CQ313" s="341">
        <v>1.4</v>
      </c>
      <c r="CR313" s="281"/>
      <c r="CS313" s="341">
        <v>1.4</v>
      </c>
      <c r="CT313" s="281"/>
      <c r="CU313" s="341">
        <v>1.4</v>
      </c>
      <c r="CV313" s="281"/>
      <c r="CW313" s="341">
        <v>1.4</v>
      </c>
      <c r="CX313" s="281"/>
      <c r="CY313" s="341">
        <v>1.4</v>
      </c>
      <c r="CZ313" s="281"/>
      <c r="DA313" s="341">
        <v>1.4</v>
      </c>
      <c r="DB313" s="281"/>
      <c r="DC313" s="341">
        <v>1.4</v>
      </c>
      <c r="DD313" s="281"/>
      <c r="DE313" s="341">
        <v>1.4</v>
      </c>
      <c r="DF313" s="281"/>
      <c r="DG313" s="341">
        <v>1.4</v>
      </c>
      <c r="DH313" s="281"/>
      <c r="DI313" s="341">
        <v>1.4</v>
      </c>
      <c r="DJ313" s="281"/>
      <c r="DK313" s="341">
        <v>1.4</v>
      </c>
      <c r="DL313" s="281"/>
      <c r="DM313" s="341">
        <v>1.4</v>
      </c>
      <c r="DN313" s="281"/>
      <c r="DO313" s="341">
        <v>1.4</v>
      </c>
      <c r="DP313" s="281"/>
      <c r="DQ313" s="341">
        <v>1.4</v>
      </c>
      <c r="DR313" s="281"/>
      <c r="DS313" s="341">
        <v>1.4</v>
      </c>
      <c r="DT313" s="281"/>
      <c r="DU313" s="148"/>
      <c r="DV313" s="148"/>
      <c r="DW313" s="148"/>
      <c r="DX313" s="148"/>
      <c r="DY313" s="148"/>
      <c r="DZ313" s="148"/>
      <c r="EA313" s="148"/>
      <c r="EB313" s="148"/>
      <c r="EC313" s="148"/>
      <c r="ED313" s="148"/>
      <c r="EE313" s="148"/>
      <c r="EF313" s="148"/>
      <c r="EG313" s="148"/>
      <c r="EH313" s="148"/>
      <c r="EI313" s="148"/>
      <c r="EJ313" s="148"/>
      <c r="EK313" s="148"/>
      <c r="EL313" s="148"/>
      <c r="EM313" s="148"/>
      <c r="EN313" s="341">
        <v>1.4</v>
      </c>
      <c r="EO313" s="281"/>
      <c r="EP313" s="341">
        <v>1.4</v>
      </c>
      <c r="EQ313" s="281"/>
      <c r="ER313" s="341">
        <v>1.4</v>
      </c>
      <c r="ES313" s="281"/>
      <c r="ET313" s="341">
        <v>1.4</v>
      </c>
      <c r="EU313" s="281"/>
      <c r="EV313" s="341">
        <v>1.4</v>
      </c>
      <c r="EW313" s="281"/>
      <c r="EX313" s="341">
        <v>1.4</v>
      </c>
      <c r="EY313" s="281"/>
      <c r="EZ313" s="341">
        <v>1.4</v>
      </c>
      <c r="FA313" s="281"/>
      <c r="FB313" s="341">
        <v>1.4</v>
      </c>
      <c r="FC313" s="281"/>
      <c r="FD313" s="341">
        <v>1.4</v>
      </c>
      <c r="FE313" s="281"/>
      <c r="FF313" s="341">
        <v>1.4</v>
      </c>
      <c r="FG313" s="281"/>
      <c r="FH313" s="341">
        <v>1.4</v>
      </c>
      <c r="FI313" s="281"/>
      <c r="FJ313" s="341">
        <v>1.4</v>
      </c>
      <c r="FK313" s="281"/>
      <c r="FL313" s="341">
        <v>1.4</v>
      </c>
      <c r="FM313" s="281"/>
      <c r="FN313" s="341">
        <v>1.4</v>
      </c>
      <c r="FO313" s="281"/>
      <c r="FP313" s="341">
        <v>1.4</v>
      </c>
      <c r="FQ313" s="281"/>
      <c r="FR313" s="148"/>
      <c r="FS313" s="148"/>
      <c r="FT313" s="148"/>
      <c r="FU313" s="148"/>
      <c r="FV313" s="148"/>
      <c r="FW313" s="148"/>
      <c r="FX313" s="148"/>
      <c r="FY313" s="148"/>
      <c r="FZ313" s="148"/>
      <c r="GA313" s="148"/>
      <c r="GB313" s="148"/>
      <c r="GC313" s="148"/>
      <c r="GD313" s="148"/>
      <c r="GE313" s="148"/>
      <c r="GF313" s="148"/>
      <c r="GG313" s="148"/>
    </row>
    <row r="314" spans="1:189" ht="4.5" customHeight="1" outlineLevel="1" x14ac:dyDescent="0.3">
      <c r="A314" s="1"/>
      <c r="B314" s="286"/>
      <c r="C314" s="301"/>
      <c r="D314" s="301"/>
      <c r="E314" s="301"/>
      <c r="F314" s="301"/>
      <c r="G314" s="5"/>
      <c r="H314" s="5"/>
      <c r="I314" s="348"/>
      <c r="J314" s="281"/>
      <c r="K314" s="351"/>
      <c r="L314" s="281"/>
      <c r="M314" s="351"/>
      <c r="N314" s="281"/>
      <c r="O314" s="351"/>
      <c r="P314" s="281"/>
      <c r="Q314" s="348"/>
      <c r="R314" s="281"/>
      <c r="S314" s="348"/>
      <c r="T314" s="281"/>
      <c r="U314" s="348"/>
      <c r="V314" s="281"/>
      <c r="W314" s="351"/>
      <c r="X314" s="281"/>
      <c r="Y314" s="348"/>
      <c r="Z314" s="281"/>
      <c r="AA314" s="348"/>
      <c r="AB314" s="281"/>
      <c r="AC314" s="348"/>
      <c r="AD314" s="281"/>
      <c r="AE314" s="348"/>
      <c r="AF314" s="281"/>
      <c r="AG314" s="348"/>
      <c r="AH314" s="281"/>
      <c r="AI314" s="348"/>
      <c r="AJ314" s="281"/>
      <c r="AK314" s="348"/>
      <c r="AL314" s="281"/>
      <c r="AM314" s="348"/>
      <c r="AN314" s="281"/>
      <c r="AO314" s="348"/>
      <c r="AP314" s="281"/>
      <c r="AQ314" s="351"/>
      <c r="AR314" s="281"/>
      <c r="AS314" s="348"/>
      <c r="AT314" s="281"/>
      <c r="AU314" s="351"/>
      <c r="AV314" s="281"/>
      <c r="AW314" s="348"/>
      <c r="AX314" s="281"/>
      <c r="AY314" s="348"/>
      <c r="AZ314" s="281"/>
      <c r="BA314" s="348"/>
      <c r="BB314" s="281"/>
      <c r="BC314" s="348"/>
      <c r="BD314" s="281"/>
      <c r="BE314" s="348"/>
      <c r="BF314" s="281"/>
      <c r="BG314" s="348"/>
      <c r="BH314" s="281"/>
      <c r="BI314" s="348"/>
      <c r="BJ314" s="281"/>
      <c r="BK314" s="348"/>
      <c r="BL314" s="281"/>
      <c r="BM314" s="282"/>
      <c r="BN314" s="281"/>
      <c r="BO314" s="282"/>
      <c r="BP314" s="281"/>
      <c r="BQ314" s="282"/>
      <c r="BR314" s="281"/>
      <c r="BS314" s="282"/>
      <c r="BT314" s="281"/>
      <c r="BU314" s="282"/>
      <c r="BV314" s="281"/>
      <c r="BW314" s="282"/>
      <c r="BX314" s="281"/>
      <c r="BY314" s="348"/>
      <c r="BZ314" s="281"/>
      <c r="CA314" s="348"/>
      <c r="CB314" s="281"/>
      <c r="CC314" s="282"/>
      <c r="CD314" s="281"/>
      <c r="CE314" s="348"/>
      <c r="CF314" s="281"/>
      <c r="CG314" s="348"/>
      <c r="CH314" s="281"/>
      <c r="CI314" s="348"/>
      <c r="CJ314" s="281"/>
      <c r="CK314" s="348"/>
      <c r="CL314" s="281"/>
      <c r="CM314" s="348"/>
      <c r="CN314" s="281"/>
      <c r="CO314" s="348"/>
      <c r="CP314" s="281"/>
      <c r="CQ314" s="348"/>
      <c r="CR314" s="281"/>
      <c r="CS314" s="348"/>
      <c r="CT314" s="281"/>
      <c r="CU314" s="348"/>
      <c r="CV314" s="281"/>
      <c r="CW314" s="348"/>
      <c r="CX314" s="281"/>
      <c r="CY314" s="348"/>
      <c r="CZ314" s="281"/>
      <c r="DA314" s="348"/>
      <c r="DB314" s="281"/>
      <c r="DC314" s="348"/>
      <c r="DD314" s="281"/>
      <c r="DE314" s="348"/>
      <c r="DF314" s="281"/>
      <c r="DG314" s="348"/>
      <c r="DH314" s="281"/>
      <c r="DI314" s="348"/>
      <c r="DJ314" s="281"/>
      <c r="DK314" s="348"/>
      <c r="DL314" s="281"/>
      <c r="DM314" s="348"/>
      <c r="DN314" s="281"/>
      <c r="DO314" s="348"/>
      <c r="DP314" s="281"/>
      <c r="DQ314" s="348"/>
      <c r="DR314" s="281"/>
      <c r="DS314" s="348"/>
      <c r="DT314" s="281"/>
      <c r="DU314" s="148"/>
      <c r="DV314" s="148"/>
      <c r="DW314" s="148"/>
      <c r="DX314" s="148"/>
      <c r="DY314" s="148"/>
      <c r="DZ314" s="148"/>
      <c r="EA314" s="148"/>
      <c r="EB314" s="148"/>
      <c r="EC314" s="148"/>
      <c r="ED314" s="148"/>
      <c r="EE314" s="148"/>
      <c r="EF314" s="148"/>
      <c r="EG314" s="148"/>
      <c r="EH314" s="148"/>
      <c r="EI314" s="148"/>
      <c r="EJ314" s="148"/>
      <c r="EK314" s="148"/>
      <c r="EL314" s="148"/>
      <c r="EM314" s="148"/>
      <c r="EN314" s="348"/>
      <c r="EO314" s="281"/>
      <c r="EP314" s="348"/>
      <c r="EQ314" s="281"/>
      <c r="ER314" s="348"/>
      <c r="ES314" s="281"/>
      <c r="ET314" s="348"/>
      <c r="EU314" s="281"/>
      <c r="EV314" s="348"/>
      <c r="EW314" s="281"/>
      <c r="EX314" s="348"/>
      <c r="EY314" s="281"/>
      <c r="EZ314" s="348"/>
      <c r="FA314" s="281"/>
      <c r="FB314" s="348"/>
      <c r="FC314" s="281"/>
      <c r="FD314" s="348"/>
      <c r="FE314" s="281"/>
      <c r="FF314" s="348"/>
      <c r="FG314" s="281"/>
      <c r="FH314" s="282"/>
      <c r="FI314" s="281"/>
      <c r="FJ314" s="282"/>
      <c r="FK314" s="281"/>
      <c r="FL314" s="348"/>
      <c r="FM314" s="281"/>
      <c r="FN314" s="348"/>
      <c r="FO314" s="281"/>
      <c r="FP314" s="348"/>
      <c r="FQ314" s="281"/>
      <c r="FR314" s="148"/>
      <c r="FS314" s="148"/>
      <c r="FT314" s="148"/>
      <c r="FU314" s="148"/>
      <c r="FV314" s="148"/>
      <c r="FW314" s="148"/>
      <c r="FX314" s="148"/>
      <c r="FY314" s="148"/>
      <c r="FZ314" s="148"/>
      <c r="GA314" s="148"/>
      <c r="GB314" s="148"/>
      <c r="GC314" s="148"/>
      <c r="GD314" s="148"/>
      <c r="GE314" s="148"/>
      <c r="GF314" s="148"/>
      <c r="GG314" s="148"/>
    </row>
    <row r="315" spans="1:189" ht="15" customHeight="1" outlineLevel="1" x14ac:dyDescent="0.3">
      <c r="A315" s="1"/>
      <c r="B315" s="286"/>
      <c r="C315" s="301"/>
      <c r="D315" s="301"/>
      <c r="E315" s="301"/>
      <c r="F315" s="301"/>
      <c r="G315" s="5" t="s">
        <v>249</v>
      </c>
      <c r="H315" s="5"/>
      <c r="I315" s="341">
        <f>I316/I304</f>
        <v>1.3780202623116169</v>
      </c>
      <c r="J315" s="281"/>
      <c r="K315" s="341">
        <f>K316/K304</f>
        <v>1.595815518329011</v>
      </c>
      <c r="L315" s="281"/>
      <c r="M315" s="341">
        <f>M316/M304</f>
        <v>1.5854393899086636</v>
      </c>
      <c r="N315" s="281"/>
      <c r="O315" s="341">
        <f>O316/O304</f>
        <v>1.70341490910799</v>
      </c>
      <c r="P315" s="281"/>
      <c r="Q315" s="341">
        <f>Q316/Q304</f>
        <v>1.4138738110651861</v>
      </c>
      <c r="R315" s="281"/>
      <c r="S315" s="341">
        <f>S316/S304</f>
        <v>1.3187451587916343</v>
      </c>
      <c r="T315" s="281"/>
      <c r="U315" s="341">
        <f>U316/U304</f>
        <v>1.1737738985868662</v>
      </c>
      <c r="V315" s="281"/>
      <c r="W315" s="341">
        <f>W316/W304</f>
        <v>1.4620582333428886</v>
      </c>
      <c r="X315" s="281"/>
      <c r="Y315" s="341">
        <f>Y316/Y304</f>
        <v>1.3960070558050033</v>
      </c>
      <c r="Z315" s="281"/>
      <c r="AA315" s="341">
        <f>AA316/AA304</f>
        <v>1.2872787155207905</v>
      </c>
      <c r="AB315" s="281"/>
      <c r="AC315" s="341">
        <f>AC316/AC304</f>
        <v>1.3125675323223667</v>
      </c>
      <c r="AD315" s="281"/>
      <c r="AE315" s="341">
        <f>AE316/AE304</f>
        <v>1.2226685225690992</v>
      </c>
      <c r="AF315" s="281"/>
      <c r="AG315" s="341">
        <f>AG316/AG304</f>
        <v>1.1144537689195264</v>
      </c>
      <c r="AH315" s="281"/>
      <c r="AI315" s="341">
        <f>AI316/AI304</f>
        <v>1.3453060839193844</v>
      </c>
      <c r="AJ315" s="281"/>
      <c r="AK315" s="341">
        <f>AK316/AK304</f>
        <v>1.33633163863903</v>
      </c>
      <c r="AL315" s="281"/>
      <c r="AM315" s="341">
        <f>AM316/AM304</f>
        <v>1.3382804218043853</v>
      </c>
      <c r="AN315" s="281"/>
      <c r="AO315" s="341">
        <f>AO316/AO304</f>
        <v>1.3374745039866494</v>
      </c>
      <c r="AP315" s="281"/>
      <c r="AQ315" s="341">
        <f>AQ316/AQ304</f>
        <v>1.469271441323903</v>
      </c>
      <c r="AR315" s="281"/>
      <c r="AS315" s="341">
        <f>AS316/AS304</f>
        <v>1.4055102040816327</v>
      </c>
      <c r="AT315" s="281"/>
      <c r="AU315" s="341">
        <f>AU316/AU304</f>
        <v>1.5009084962569954</v>
      </c>
      <c r="AV315" s="281"/>
      <c r="AW315" s="341">
        <f>AW316/AW304</f>
        <v>1.351630307295332</v>
      </c>
      <c r="AX315" s="281"/>
      <c r="AY315" s="341">
        <f>AY316/AY304</f>
        <v>1.3127662700161598</v>
      </c>
      <c r="AZ315" s="281"/>
      <c r="BA315" s="341">
        <f>BA316/BA304</f>
        <v>1.320479704797048</v>
      </c>
      <c r="BB315" s="281"/>
      <c r="BC315" s="341">
        <f>BC316/BC304</f>
        <v>1.3389796929172857</v>
      </c>
      <c r="BD315" s="281"/>
      <c r="BE315" s="341">
        <f>BE316/BE304</f>
        <v>1.3811454637607703</v>
      </c>
      <c r="BF315" s="281"/>
      <c r="BG315" s="341">
        <f>BG316/BG304</f>
        <v>1.4264564916391522</v>
      </c>
      <c r="BH315" s="281"/>
      <c r="BI315" s="341">
        <f>BI316/BI304</f>
        <v>1.5026455026455026</v>
      </c>
      <c r="BJ315" s="281"/>
      <c r="BK315" s="341">
        <f>BK316/BK304</f>
        <v>1.5095179233621756</v>
      </c>
      <c r="BL315" s="281"/>
      <c r="BM315" s="341">
        <f>BM316/BM304</f>
        <v>1.5278472679394339</v>
      </c>
      <c r="BN315" s="281"/>
      <c r="BO315" s="341">
        <f>BO316/BO304</f>
        <v>1.5196329780056672</v>
      </c>
      <c r="BP315" s="281"/>
      <c r="BQ315" s="341">
        <f>BQ316/BQ304</f>
        <v>1.5645183267475133</v>
      </c>
      <c r="BR315" s="281"/>
      <c r="BS315" s="341">
        <f>BS316/BS304</f>
        <v>1.6358061325420377</v>
      </c>
      <c r="BT315" s="281"/>
      <c r="BU315" s="341">
        <f>BU316/BU304</f>
        <v>1.9193923145665772</v>
      </c>
      <c r="BV315" s="281"/>
      <c r="BW315" s="341">
        <f>BW316/BW304</f>
        <v>2.1300572330767711</v>
      </c>
      <c r="BX315" s="281"/>
      <c r="BY315" s="341">
        <f>BY316/BY304</f>
        <v>1.9579429523214658</v>
      </c>
      <c r="BZ315" s="281"/>
      <c r="CA315" s="341">
        <f>CA316/CA304</f>
        <v>2.0946977108198004</v>
      </c>
      <c r="CB315" s="281"/>
      <c r="CC315" s="341">
        <f>CC316/CC304</f>
        <v>3.5839138695376822</v>
      </c>
      <c r="CD315" s="281"/>
      <c r="CE315" s="341">
        <f>CE316/CE304</f>
        <v>1.2761832829808661</v>
      </c>
      <c r="CF315" s="281"/>
      <c r="CG315" s="341">
        <f>CG316/CG304</f>
        <v>1.1942127215849843</v>
      </c>
      <c r="CH315" s="281"/>
      <c r="CI315" s="341">
        <f>CI316/CI304</f>
        <v>1.234466468111328</v>
      </c>
      <c r="CJ315" s="281"/>
      <c r="CK315" s="341">
        <f>CK316/CK304</f>
        <v>1.3207248844563366</v>
      </c>
      <c r="CL315" s="281"/>
      <c r="CM315" s="341">
        <f>CM316/CM304</f>
        <v>1.2917102784174168</v>
      </c>
      <c r="CN315" s="281"/>
      <c r="CO315" s="341">
        <f>CO316/CO304</f>
        <v>1.4861276849642004</v>
      </c>
      <c r="CP315" s="281"/>
      <c r="CQ315" s="341">
        <f>CQ316/CQ304</f>
        <v>1.752839618355293</v>
      </c>
      <c r="CR315" s="281"/>
      <c r="CS315" s="341">
        <f>CS316/CS304</f>
        <v>1.9578624250034882</v>
      </c>
      <c r="CT315" s="281"/>
      <c r="CU315" s="341">
        <f>CU316/CU304</f>
        <v>1.9543057996485063</v>
      </c>
      <c r="CV315" s="281"/>
      <c r="CW315" s="341">
        <f>CW316/CW304</f>
        <v>2.2052649116961014</v>
      </c>
      <c r="CX315" s="281"/>
      <c r="CY315" s="341">
        <f>CY316/CY304</f>
        <v>2.1907506123037028</v>
      </c>
      <c r="CZ315" s="281"/>
      <c r="DA315" s="341">
        <f>DA316/DA304</f>
        <v>2.1187689070103906</v>
      </c>
      <c r="DB315" s="281"/>
      <c r="DC315" s="341">
        <f>DC316/DC304</f>
        <v>1.6501350356002946</v>
      </c>
      <c r="DD315" s="281"/>
      <c r="DE315" s="341">
        <f>DE316/DE304</f>
        <v>1.41924028838911</v>
      </c>
      <c r="DF315" s="281"/>
      <c r="DG315" s="341">
        <f>DG316/DG304</f>
        <v>1.3668133802816902</v>
      </c>
      <c r="DH315" s="281"/>
      <c r="DI315" s="341">
        <f>DI316/DI304</f>
        <v>1.4395324123273114</v>
      </c>
      <c r="DJ315" s="281"/>
      <c r="DK315" s="341">
        <f>DK316/DK304</f>
        <v>1.4746066145293508</v>
      </c>
      <c r="DL315" s="281"/>
      <c r="DM315" s="341">
        <f>DM316/DM304</f>
        <v>1.3741120757695344</v>
      </c>
      <c r="DN315" s="281"/>
      <c r="DO315" s="341">
        <f>DO316/DO304</f>
        <v>1.3867991483321505</v>
      </c>
      <c r="DP315" s="281"/>
      <c r="DQ315" s="341">
        <f>DQ316/DQ304</f>
        <v>1.3974982001439884</v>
      </c>
      <c r="DR315" s="281"/>
      <c r="DS315" s="341">
        <f>DS316/DS304</f>
        <v>1.4368468584698748</v>
      </c>
      <c r="DT315" s="281"/>
      <c r="DU315" s="148" t="s">
        <v>29</v>
      </c>
      <c r="DV315" s="148" t="s">
        <v>29</v>
      </c>
      <c r="DW315" s="148" t="s">
        <v>29</v>
      </c>
      <c r="DX315" s="148" t="s">
        <v>29</v>
      </c>
      <c r="DY315" s="148"/>
      <c r="DZ315" s="148"/>
      <c r="EA315" s="148"/>
      <c r="EB315" s="148"/>
      <c r="EC315" s="148"/>
      <c r="ED315" s="148"/>
      <c r="EE315" s="148" t="s">
        <v>29</v>
      </c>
      <c r="EF315" s="148" t="s">
        <v>29</v>
      </c>
      <c r="EG315" s="148" t="s">
        <v>29</v>
      </c>
      <c r="EH315" s="148" t="s">
        <v>29</v>
      </c>
      <c r="EI315" s="148" t="s">
        <v>29</v>
      </c>
      <c r="EJ315" s="148" t="s">
        <v>29</v>
      </c>
      <c r="EK315" s="148"/>
      <c r="EL315" s="148"/>
      <c r="EM315" s="148" t="s">
        <v>29</v>
      </c>
      <c r="EN315" s="341">
        <f>EN316/EN304</f>
        <v>1.4579360628154796</v>
      </c>
      <c r="EO315" s="281"/>
      <c r="EP315" s="341">
        <f>EP316/EP304</f>
        <v>1.4041570438799076</v>
      </c>
      <c r="EQ315" s="281"/>
      <c r="ER315" s="341">
        <f>ER316/ER304</f>
        <v>1.4000532694100414</v>
      </c>
      <c r="ES315" s="281"/>
      <c r="ET315" s="341">
        <f>ET316/ET304</f>
        <v>1.3595493676267403</v>
      </c>
      <c r="EU315" s="281"/>
      <c r="EV315" s="341">
        <f>EV316/EV304</f>
        <v>1.4438295517432209</v>
      </c>
      <c r="EW315" s="281"/>
      <c r="EX315" s="341">
        <f>EX316/EX304</f>
        <v>1.2518023332022545</v>
      </c>
      <c r="EY315" s="281"/>
      <c r="EZ315" s="341">
        <f>EZ316/EZ304</f>
        <v>1.290228731942215</v>
      </c>
      <c r="FA315" s="281"/>
      <c r="FB315" s="341">
        <f>FB316/FB304</f>
        <v>1.395470771976796</v>
      </c>
      <c r="FC315" s="281"/>
      <c r="FD315" s="341">
        <f>FD316/FD304</f>
        <v>1.1136659950219272</v>
      </c>
      <c r="FE315" s="281"/>
      <c r="FF315" s="341">
        <f>FF316/FF304</f>
        <v>1.2451108213820079</v>
      </c>
      <c r="FG315" s="281"/>
      <c r="FH315" s="341">
        <f>FH316/FH304</f>
        <v>1.5571620712844654</v>
      </c>
      <c r="FI315" s="281"/>
      <c r="FJ315" s="341">
        <f>FJ316/FJ304</f>
        <v>1.5259802358941663</v>
      </c>
      <c r="FK315" s="281"/>
      <c r="FL315" s="341">
        <f>FL316/FL304</f>
        <v>1.3397278911564625</v>
      </c>
      <c r="FM315" s="281"/>
      <c r="FN315" s="341">
        <f>FN316/FN304</f>
        <v>1.304278230500582</v>
      </c>
      <c r="FO315" s="281"/>
      <c r="FP315" s="341">
        <f>FP316/FP304</f>
        <v>1.3069662072871437</v>
      </c>
      <c r="FQ315" s="281"/>
      <c r="FR315" s="148" t="s">
        <v>29</v>
      </c>
      <c r="FS315" s="148" t="s">
        <v>29</v>
      </c>
      <c r="FT315" s="148" t="s">
        <v>29</v>
      </c>
      <c r="FU315" s="148" t="s">
        <v>29</v>
      </c>
      <c r="FV315" s="148" t="s">
        <v>29</v>
      </c>
      <c r="FW315" s="148" t="s">
        <v>29</v>
      </c>
      <c r="FX315" s="148" t="s">
        <v>29</v>
      </c>
      <c r="FY315" s="148" t="s">
        <v>29</v>
      </c>
      <c r="FZ315" s="148" t="s">
        <v>29</v>
      </c>
      <c r="GA315" s="148" t="s">
        <v>29</v>
      </c>
      <c r="GB315" s="148" t="s">
        <v>29</v>
      </c>
      <c r="GC315" s="148" t="s">
        <v>29</v>
      </c>
      <c r="GD315" s="148" t="s">
        <v>29</v>
      </c>
      <c r="GE315" s="148" t="s">
        <v>29</v>
      </c>
      <c r="GF315" s="148" t="s">
        <v>29</v>
      </c>
      <c r="GG315" s="148" t="s">
        <v>29</v>
      </c>
    </row>
    <row r="316" spans="1:189" ht="15" customHeight="1" outlineLevel="1" x14ac:dyDescent="0.3">
      <c r="A316" s="186"/>
      <c r="B316" s="287"/>
      <c r="C316" s="302"/>
      <c r="D316" s="302"/>
      <c r="E316" s="302"/>
      <c r="F316" s="302"/>
      <c r="G316" s="41" t="s">
        <v>419</v>
      </c>
      <c r="H316" s="149"/>
      <c r="I316" s="371">
        <f>SUM(K316:AH316)</f>
        <v>398941</v>
      </c>
      <c r="J316" s="281"/>
      <c r="K316" s="371">
        <v>45535</v>
      </c>
      <c r="L316" s="281"/>
      <c r="M316" s="371">
        <v>35758</v>
      </c>
      <c r="N316" s="281"/>
      <c r="O316" s="371">
        <v>36264</v>
      </c>
      <c r="P316" s="281"/>
      <c r="Q316" s="371">
        <v>28392</v>
      </c>
      <c r="R316" s="281"/>
      <c r="S316" s="371">
        <v>27240</v>
      </c>
      <c r="T316" s="281"/>
      <c r="U316" s="371">
        <v>28241</v>
      </c>
      <c r="V316" s="281"/>
      <c r="W316" s="371">
        <v>35702</v>
      </c>
      <c r="X316" s="281"/>
      <c r="Y316" s="371">
        <v>34822</v>
      </c>
      <c r="Z316" s="281"/>
      <c r="AA316" s="371">
        <v>31268</v>
      </c>
      <c r="AB316" s="281"/>
      <c r="AC316" s="371">
        <v>35228</v>
      </c>
      <c r="AD316" s="281"/>
      <c r="AE316" s="371">
        <v>30744</v>
      </c>
      <c r="AF316" s="281"/>
      <c r="AG316" s="371">
        <v>29747</v>
      </c>
      <c r="AH316" s="281"/>
      <c r="AI316" s="371">
        <v>28503</v>
      </c>
      <c r="AJ316" s="281"/>
      <c r="AK316" s="371">
        <v>20502</v>
      </c>
      <c r="AL316" s="281"/>
      <c r="AM316" s="371">
        <v>23986</v>
      </c>
      <c r="AN316" s="281"/>
      <c r="AO316" s="371">
        <v>21639</v>
      </c>
      <c r="AP316" s="281"/>
      <c r="AQ316" s="371">
        <v>21397</v>
      </c>
      <c r="AR316" s="281"/>
      <c r="AS316" s="371">
        <v>20661</v>
      </c>
      <c r="AT316" s="281"/>
      <c r="AU316" s="371">
        <v>20651</v>
      </c>
      <c r="AV316" s="281"/>
      <c r="AW316" s="371">
        <v>17286</v>
      </c>
      <c r="AX316" s="281"/>
      <c r="AY316" s="371">
        <v>17872</v>
      </c>
      <c r="AZ316" s="281"/>
      <c r="BA316" s="371">
        <v>14314</v>
      </c>
      <c r="BB316" s="281"/>
      <c r="BC316" s="371">
        <v>13517</v>
      </c>
      <c r="BD316" s="281"/>
      <c r="BE316" s="371">
        <v>16350</v>
      </c>
      <c r="BF316" s="281"/>
      <c r="BG316" s="371">
        <v>13393</v>
      </c>
      <c r="BH316" s="281"/>
      <c r="BI316" s="371">
        <v>10792</v>
      </c>
      <c r="BJ316" s="281"/>
      <c r="BK316" s="371">
        <v>12212</v>
      </c>
      <c r="BL316" s="281"/>
      <c r="BM316" s="371">
        <v>11604</v>
      </c>
      <c r="BN316" s="281"/>
      <c r="BO316" s="371">
        <v>11262</v>
      </c>
      <c r="BP316" s="281"/>
      <c r="BQ316" s="371">
        <v>11482</v>
      </c>
      <c r="BR316" s="281"/>
      <c r="BS316" s="371">
        <v>8269</v>
      </c>
      <c r="BT316" s="281"/>
      <c r="BU316" s="371">
        <f>10570+169</f>
        <v>10739</v>
      </c>
      <c r="BV316" s="281"/>
      <c r="BW316" s="371">
        <f>10710+83</f>
        <v>10793</v>
      </c>
      <c r="BX316" s="281"/>
      <c r="BY316" s="371">
        <f>9340+64</f>
        <v>9404</v>
      </c>
      <c r="BZ316" s="281"/>
      <c r="CA316" s="371">
        <f>10640+66</f>
        <v>10706</v>
      </c>
      <c r="CB316" s="281"/>
      <c r="CC316" s="371">
        <f>16830+147</f>
        <v>16977</v>
      </c>
      <c r="CD316" s="281"/>
      <c r="CE316" s="406">
        <v>10138</v>
      </c>
      <c r="CF316" s="404"/>
      <c r="CG316" s="406">
        <v>9162</v>
      </c>
      <c r="CH316" s="404"/>
      <c r="CI316" s="406">
        <v>12020</v>
      </c>
      <c r="CJ316" s="404"/>
      <c r="CK316" s="406">
        <v>10859</v>
      </c>
      <c r="CL316" s="404"/>
      <c r="CM316" s="406">
        <v>12341</v>
      </c>
      <c r="CN316" s="404"/>
      <c r="CO316" s="406">
        <v>9963</v>
      </c>
      <c r="CP316" s="404"/>
      <c r="CQ316" s="406">
        <v>11574</v>
      </c>
      <c r="CR316" s="404"/>
      <c r="CS316" s="406">
        <v>14032</v>
      </c>
      <c r="CT316" s="404"/>
      <c r="CU316" s="406">
        <v>13344</v>
      </c>
      <c r="CV316" s="404"/>
      <c r="CW316" s="406">
        <v>13236</v>
      </c>
      <c r="CX316" s="404"/>
      <c r="CY316" s="406">
        <v>15206</v>
      </c>
      <c r="CZ316" s="404"/>
      <c r="DA316" s="406">
        <v>16109</v>
      </c>
      <c r="DB316" s="404"/>
      <c r="DC316" s="371">
        <v>13442</v>
      </c>
      <c r="DD316" s="281"/>
      <c r="DE316" s="371">
        <v>13189</v>
      </c>
      <c r="DF316" s="281"/>
      <c r="DG316" s="371">
        <v>15527</v>
      </c>
      <c r="DH316" s="281"/>
      <c r="DI316" s="371">
        <v>13546</v>
      </c>
      <c r="DJ316" s="281"/>
      <c r="DK316" s="371">
        <v>15650</v>
      </c>
      <c r="DL316" s="281"/>
      <c r="DM316" s="371">
        <v>13928</v>
      </c>
      <c r="DN316" s="281"/>
      <c r="DO316" s="371">
        <v>13678</v>
      </c>
      <c r="DP316" s="281"/>
      <c r="DQ316" s="371">
        <v>15529</v>
      </c>
      <c r="DR316" s="281"/>
      <c r="DS316" s="371">
        <v>11137</v>
      </c>
      <c r="DT316" s="281"/>
      <c r="DU316" s="150"/>
      <c r="DV316" s="150"/>
      <c r="DW316" s="150"/>
      <c r="DX316" s="150"/>
      <c r="DY316" s="150"/>
      <c r="DZ316" s="150"/>
      <c r="EA316" s="150"/>
      <c r="EB316" s="150"/>
      <c r="EC316" s="150"/>
      <c r="ED316" s="150"/>
      <c r="EE316" s="148"/>
      <c r="EF316" s="148"/>
      <c r="EG316" s="148"/>
      <c r="EH316" s="148"/>
      <c r="EI316" s="148"/>
      <c r="EJ316" s="148"/>
      <c r="EK316" s="148"/>
      <c r="EL316" s="148"/>
      <c r="EM316" s="148"/>
      <c r="EN316" s="371">
        <v>10398</v>
      </c>
      <c r="EO316" s="281"/>
      <c r="EP316" s="371">
        <v>10336</v>
      </c>
      <c r="EQ316" s="281"/>
      <c r="ER316" s="371">
        <v>10513</v>
      </c>
      <c r="ES316" s="281"/>
      <c r="ET316" s="371">
        <v>12792</v>
      </c>
      <c r="EU316" s="281"/>
      <c r="EV316" s="371">
        <v>10436</v>
      </c>
      <c r="EW316" s="281"/>
      <c r="EX316" s="371">
        <v>9550</v>
      </c>
      <c r="EY316" s="281"/>
      <c r="EZ316" s="371">
        <v>12861</v>
      </c>
      <c r="FA316" s="281"/>
      <c r="FB316" s="371">
        <v>12509</v>
      </c>
      <c r="FC316" s="281"/>
      <c r="FD316" s="371">
        <v>9396</v>
      </c>
      <c r="FE316" s="281"/>
      <c r="FF316" s="371">
        <v>10505</v>
      </c>
      <c r="FG316" s="281"/>
      <c r="FH316" s="371">
        <v>9262</v>
      </c>
      <c r="FI316" s="281"/>
      <c r="FJ316" s="371">
        <v>9574</v>
      </c>
      <c r="FK316" s="281"/>
      <c r="FL316" s="371">
        <v>9847</v>
      </c>
      <c r="FM316" s="281"/>
      <c r="FN316" s="371">
        <v>8963</v>
      </c>
      <c r="FO316" s="281"/>
      <c r="FP316" s="371">
        <f>5418+1505</f>
        <v>6923</v>
      </c>
      <c r="FQ316" s="281"/>
      <c r="FR316" s="148"/>
      <c r="FS316" s="148"/>
      <c r="FT316" s="148"/>
      <c r="FU316" s="148"/>
      <c r="FV316" s="148"/>
      <c r="FW316" s="148"/>
      <c r="FX316" s="148"/>
      <c r="FY316" s="148"/>
      <c r="FZ316" s="148"/>
      <c r="GA316" s="148"/>
      <c r="GB316" s="148"/>
      <c r="GC316" s="148"/>
      <c r="GD316" s="148"/>
      <c r="GE316" s="148"/>
      <c r="GF316" s="148"/>
      <c r="GG316" s="148"/>
    </row>
    <row r="317" spans="1:189" ht="15" customHeight="1" outlineLevel="1" x14ac:dyDescent="0.3">
      <c r="A317" s="186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50"/>
      <c r="DV317" s="150"/>
      <c r="DW317" s="150"/>
      <c r="DX317" s="150"/>
      <c r="DY317" s="150"/>
      <c r="DZ317" s="150"/>
      <c r="EA317" s="150"/>
      <c r="EB317" s="150"/>
      <c r="EC317" s="150"/>
      <c r="ED317" s="150"/>
      <c r="EE317" s="148"/>
      <c r="EF317" s="148"/>
      <c r="EG317" s="148"/>
      <c r="EH317" s="148"/>
      <c r="EI317" s="148"/>
      <c r="EJ317" s="148"/>
      <c r="EK317" s="148"/>
      <c r="EL317" s="148"/>
      <c r="EM317" s="148"/>
      <c r="EN317" s="19"/>
      <c r="EO317" s="19"/>
      <c r="EP317" s="19"/>
      <c r="EQ317" s="192"/>
      <c r="ER317" s="19"/>
      <c r="ES317" s="192"/>
      <c r="ET317" s="19"/>
      <c r="EU317" s="192"/>
      <c r="EV317" s="19"/>
      <c r="EW317" s="192"/>
      <c r="EX317" s="19"/>
      <c r="EY317" s="192"/>
      <c r="EZ317" s="19"/>
      <c r="FA317" s="192"/>
      <c r="FB317" s="19"/>
      <c r="FC317" s="192"/>
      <c r="FD317" s="19"/>
      <c r="FE317" s="192"/>
      <c r="FF317" s="19"/>
      <c r="FG317" s="192"/>
      <c r="FH317" s="19"/>
      <c r="FI317" s="192"/>
      <c r="FJ317" s="19"/>
      <c r="FK317" s="192"/>
      <c r="FL317" s="19"/>
      <c r="FM317" s="192"/>
      <c r="FN317" s="19"/>
      <c r="FO317" s="192"/>
      <c r="FP317" s="19"/>
      <c r="FQ317" s="192"/>
      <c r="FR317" s="210"/>
      <c r="FS317" s="210"/>
      <c r="FT317" s="210"/>
      <c r="FU317" s="210"/>
      <c r="FV317" s="210"/>
      <c r="FW317" s="210"/>
      <c r="FX317" s="210"/>
      <c r="FY317" s="210"/>
      <c r="FZ317" s="210"/>
      <c r="GA317" s="210"/>
      <c r="GB317" s="210"/>
      <c r="GC317" s="210"/>
      <c r="GD317" s="210"/>
      <c r="GE317" s="210"/>
      <c r="GF317" s="210"/>
      <c r="GG317" s="210"/>
    </row>
    <row r="318" spans="1:189" ht="15" customHeight="1" outlineLevel="1" x14ac:dyDescent="0.3">
      <c r="A318" s="186"/>
      <c r="B318" s="407" t="s">
        <v>246</v>
      </c>
      <c r="C318" s="313" t="s">
        <v>247</v>
      </c>
      <c r="D318" s="313" t="s">
        <v>25</v>
      </c>
      <c r="E318" s="313" t="s">
        <v>248</v>
      </c>
      <c r="F318" s="313" t="s">
        <v>114</v>
      </c>
      <c r="G318" s="5" t="s">
        <v>28</v>
      </c>
      <c r="H318" s="5"/>
      <c r="I318" s="341">
        <v>1.4</v>
      </c>
      <c r="J318" s="281"/>
      <c r="K318" s="341">
        <v>1.4</v>
      </c>
      <c r="L318" s="281"/>
      <c r="M318" s="341">
        <v>1.4</v>
      </c>
      <c r="N318" s="281"/>
      <c r="O318" s="341">
        <v>1.4</v>
      </c>
      <c r="P318" s="281"/>
      <c r="Q318" s="341">
        <v>1.4</v>
      </c>
      <c r="R318" s="281"/>
      <c r="S318" s="341">
        <v>1.4</v>
      </c>
      <c r="T318" s="281"/>
      <c r="U318" s="341">
        <v>1.4</v>
      </c>
      <c r="V318" s="281"/>
      <c r="W318" s="341">
        <v>1.4</v>
      </c>
      <c r="X318" s="281"/>
      <c r="Y318" s="341">
        <v>1.4</v>
      </c>
      <c r="Z318" s="281"/>
      <c r="AA318" s="341">
        <v>1.4</v>
      </c>
      <c r="AB318" s="281"/>
      <c r="AC318" s="341">
        <v>1.4</v>
      </c>
      <c r="AD318" s="281"/>
      <c r="AE318" s="341">
        <v>1.4</v>
      </c>
      <c r="AF318" s="281"/>
      <c r="AG318" s="341">
        <v>1.4</v>
      </c>
      <c r="AH318" s="281"/>
      <c r="AI318" s="341">
        <v>1.4</v>
      </c>
      <c r="AJ318" s="281"/>
      <c r="AK318" s="341">
        <v>1.4</v>
      </c>
      <c r="AL318" s="281"/>
      <c r="AM318" s="341">
        <v>1.4</v>
      </c>
      <c r="AN318" s="281"/>
      <c r="AO318" s="341">
        <v>1.4</v>
      </c>
      <c r="AP318" s="281"/>
      <c r="AQ318" s="341">
        <v>1.4</v>
      </c>
      <c r="AR318" s="281"/>
      <c r="AS318" s="341">
        <v>1.4</v>
      </c>
      <c r="AT318" s="281"/>
      <c r="AU318" s="341">
        <v>1.4</v>
      </c>
      <c r="AV318" s="281"/>
      <c r="AW318" s="341">
        <v>1.4</v>
      </c>
      <c r="AX318" s="281"/>
      <c r="AY318" s="341">
        <v>1.4</v>
      </c>
      <c r="AZ318" s="281"/>
      <c r="BA318" s="341">
        <v>1.4</v>
      </c>
      <c r="BB318" s="281"/>
      <c r="BC318" s="341">
        <v>1.4</v>
      </c>
      <c r="BD318" s="281"/>
      <c r="BE318" s="341">
        <v>1.4</v>
      </c>
      <c r="BF318" s="281"/>
      <c r="BG318" s="341">
        <v>1.4</v>
      </c>
      <c r="BH318" s="281"/>
      <c r="BI318" s="341">
        <v>1.4</v>
      </c>
      <c r="BJ318" s="281"/>
      <c r="BK318" s="341">
        <v>1.4</v>
      </c>
      <c r="BL318" s="281"/>
      <c r="BM318" s="341">
        <v>1.4</v>
      </c>
      <c r="BN318" s="281"/>
      <c r="BO318" s="341">
        <v>1.4</v>
      </c>
      <c r="BP318" s="281"/>
      <c r="BQ318" s="341">
        <v>1.4</v>
      </c>
      <c r="BR318" s="281"/>
      <c r="BS318" s="341">
        <v>1.4</v>
      </c>
      <c r="BT318" s="281"/>
      <c r="BU318" s="341">
        <v>1.4</v>
      </c>
      <c r="BV318" s="281"/>
      <c r="BW318" s="341">
        <v>1.4</v>
      </c>
      <c r="BX318" s="281"/>
      <c r="BY318" s="341">
        <v>1.4</v>
      </c>
      <c r="BZ318" s="281"/>
      <c r="CA318" s="341">
        <v>1.4</v>
      </c>
      <c r="CB318" s="281"/>
      <c r="CC318" s="341">
        <v>1.4</v>
      </c>
      <c r="CD318" s="281"/>
      <c r="CE318" s="341">
        <v>1.4</v>
      </c>
      <c r="CF318" s="281"/>
      <c r="CG318" s="341">
        <v>1.4</v>
      </c>
      <c r="CH318" s="281"/>
      <c r="CI318" s="341">
        <v>1.4</v>
      </c>
      <c r="CJ318" s="281"/>
      <c r="CK318" s="341">
        <v>1.4</v>
      </c>
      <c r="CL318" s="281"/>
      <c r="CM318" s="341">
        <v>1.4</v>
      </c>
      <c r="CN318" s="281"/>
      <c r="CO318" s="341">
        <v>1.4</v>
      </c>
      <c r="CP318" s="281"/>
      <c r="CQ318" s="341">
        <v>1.4</v>
      </c>
      <c r="CR318" s="281"/>
      <c r="CS318" s="341">
        <v>1.4</v>
      </c>
      <c r="CT318" s="281"/>
      <c r="CU318" s="341">
        <v>1.4</v>
      </c>
      <c r="CV318" s="281"/>
      <c r="CW318" s="341">
        <v>1.4</v>
      </c>
      <c r="CX318" s="281"/>
      <c r="CY318" s="341">
        <v>1.4</v>
      </c>
      <c r="CZ318" s="281"/>
      <c r="DA318" s="341">
        <v>1.4</v>
      </c>
      <c r="DB318" s="281"/>
      <c r="DC318" s="341">
        <v>1.4</v>
      </c>
      <c r="DD318" s="281"/>
      <c r="DE318" s="341">
        <v>1.4</v>
      </c>
      <c r="DF318" s="281"/>
      <c r="DG318" s="341">
        <v>1.4</v>
      </c>
      <c r="DH318" s="281"/>
      <c r="DI318" s="341">
        <v>1.4</v>
      </c>
      <c r="DJ318" s="281"/>
      <c r="DK318" s="341">
        <v>1.4</v>
      </c>
      <c r="DL318" s="281"/>
      <c r="DM318" s="341">
        <v>1.4</v>
      </c>
      <c r="DN318" s="281"/>
      <c r="DO318" s="341">
        <v>1.4</v>
      </c>
      <c r="DP318" s="281"/>
      <c r="DQ318" s="341">
        <v>1.4</v>
      </c>
      <c r="DR318" s="281"/>
      <c r="DS318" s="341">
        <v>1.4</v>
      </c>
      <c r="DT318" s="281"/>
      <c r="DU318" s="150"/>
      <c r="DV318" s="150"/>
      <c r="DW318" s="150"/>
      <c r="DX318" s="150"/>
      <c r="DY318" s="150"/>
      <c r="DZ318" s="150"/>
      <c r="EA318" s="150"/>
      <c r="EB318" s="150"/>
      <c r="EC318" s="150"/>
      <c r="ED318" s="150"/>
      <c r="EE318" s="148"/>
      <c r="EF318" s="148"/>
      <c r="EG318" s="148"/>
      <c r="EH318" s="148"/>
      <c r="EI318" s="148"/>
      <c r="EJ318" s="148"/>
      <c r="EK318" s="148"/>
      <c r="EL318" s="148"/>
      <c r="EM318" s="148"/>
      <c r="EN318" s="341">
        <v>1.4</v>
      </c>
      <c r="EO318" s="281"/>
      <c r="EP318" s="341">
        <v>1.4</v>
      </c>
      <c r="EQ318" s="281"/>
      <c r="ER318" s="341">
        <v>1.4</v>
      </c>
      <c r="ES318" s="281"/>
      <c r="ET318" s="341">
        <v>1.4</v>
      </c>
      <c r="EU318" s="281"/>
      <c r="EV318" s="341">
        <v>1.4</v>
      </c>
      <c r="EW318" s="281"/>
      <c r="EX318" s="341">
        <v>1.4</v>
      </c>
      <c r="EY318" s="281"/>
      <c r="EZ318" s="341">
        <v>1.4</v>
      </c>
      <c r="FA318" s="281"/>
      <c r="FB318" s="341">
        <v>1.4</v>
      </c>
      <c r="FC318" s="281"/>
      <c r="FD318" s="341">
        <v>1.4</v>
      </c>
      <c r="FE318" s="281"/>
      <c r="FF318" s="341">
        <v>1.4</v>
      </c>
      <c r="FG318" s="281"/>
      <c r="FH318" s="341">
        <v>1.4</v>
      </c>
      <c r="FI318" s="281"/>
      <c r="FJ318" s="341">
        <v>1.4</v>
      </c>
      <c r="FK318" s="281"/>
      <c r="FL318" s="341">
        <v>1.4</v>
      </c>
      <c r="FM318" s="281"/>
      <c r="FN318" s="341">
        <v>1.4</v>
      </c>
      <c r="FO318" s="281"/>
      <c r="FP318" s="341">
        <v>1.4</v>
      </c>
      <c r="FQ318" s="281"/>
      <c r="FR318" s="148"/>
      <c r="FS318" s="148"/>
      <c r="FT318" s="148"/>
      <c r="FU318" s="148"/>
      <c r="FV318" s="148"/>
      <c r="FW318" s="148"/>
      <c r="FX318" s="148"/>
      <c r="FY318" s="148"/>
      <c r="FZ318" s="148"/>
      <c r="GA318" s="148"/>
      <c r="GB318" s="148"/>
      <c r="GC318" s="148"/>
      <c r="GD318" s="148"/>
      <c r="GE318" s="148"/>
      <c r="GF318" s="148"/>
      <c r="GG318" s="148"/>
    </row>
    <row r="319" spans="1:189" ht="6" customHeight="1" outlineLevel="1" x14ac:dyDescent="0.3">
      <c r="A319" s="186"/>
      <c r="B319" s="286"/>
      <c r="C319" s="301"/>
      <c r="D319" s="301"/>
      <c r="E319" s="301"/>
      <c r="F319" s="301"/>
      <c r="G319" s="5"/>
      <c r="H319" s="5"/>
      <c r="I319" s="348"/>
      <c r="J319" s="281"/>
      <c r="K319" s="351"/>
      <c r="L319" s="281"/>
      <c r="M319" s="351"/>
      <c r="N319" s="281"/>
      <c r="O319" s="351"/>
      <c r="P319" s="281"/>
      <c r="Q319" s="348"/>
      <c r="R319" s="281"/>
      <c r="S319" s="348"/>
      <c r="T319" s="281"/>
      <c r="U319" s="348"/>
      <c r="V319" s="281"/>
      <c r="W319" s="351"/>
      <c r="X319" s="281"/>
      <c r="Y319" s="348"/>
      <c r="Z319" s="281"/>
      <c r="AA319" s="348"/>
      <c r="AB319" s="281"/>
      <c r="AC319" s="348"/>
      <c r="AD319" s="281"/>
      <c r="AE319" s="348"/>
      <c r="AF319" s="281"/>
      <c r="AG319" s="348"/>
      <c r="AH319" s="281"/>
      <c r="AI319" s="348"/>
      <c r="AJ319" s="281"/>
      <c r="AK319" s="348"/>
      <c r="AL319" s="281"/>
      <c r="AM319" s="348"/>
      <c r="AN319" s="281"/>
      <c r="AO319" s="348"/>
      <c r="AP319" s="281"/>
      <c r="AQ319" s="351"/>
      <c r="AR319" s="281"/>
      <c r="AS319" s="348"/>
      <c r="AT319" s="281"/>
      <c r="AU319" s="351"/>
      <c r="AV319" s="281"/>
      <c r="AW319" s="348"/>
      <c r="AX319" s="281"/>
      <c r="AY319" s="348"/>
      <c r="AZ319" s="281"/>
      <c r="BA319" s="348"/>
      <c r="BB319" s="281"/>
      <c r="BC319" s="348"/>
      <c r="BD319" s="281"/>
      <c r="BE319" s="348"/>
      <c r="BF319" s="281"/>
      <c r="BG319" s="348"/>
      <c r="BH319" s="281"/>
      <c r="BI319" s="348"/>
      <c r="BJ319" s="281"/>
      <c r="BK319" s="348"/>
      <c r="BL319" s="281"/>
      <c r="BM319" s="282"/>
      <c r="BN319" s="281"/>
      <c r="BO319" s="282"/>
      <c r="BP319" s="281"/>
      <c r="BQ319" s="282"/>
      <c r="BR319" s="281"/>
      <c r="BS319" s="282"/>
      <c r="BT319" s="281"/>
      <c r="BU319" s="282"/>
      <c r="BV319" s="281"/>
      <c r="BW319" s="282"/>
      <c r="BX319" s="281"/>
      <c r="BY319" s="348"/>
      <c r="BZ319" s="281"/>
      <c r="CA319" s="348"/>
      <c r="CB319" s="281"/>
      <c r="CC319" s="282"/>
      <c r="CD319" s="281"/>
      <c r="CE319" s="348"/>
      <c r="CF319" s="281"/>
      <c r="CG319" s="348"/>
      <c r="CH319" s="281"/>
      <c r="CI319" s="348"/>
      <c r="CJ319" s="281"/>
      <c r="CK319" s="348"/>
      <c r="CL319" s="281"/>
      <c r="CM319" s="348"/>
      <c r="CN319" s="281"/>
      <c r="CO319" s="348"/>
      <c r="CP319" s="281"/>
      <c r="CQ319" s="348"/>
      <c r="CR319" s="281"/>
      <c r="CS319" s="348"/>
      <c r="CT319" s="281"/>
      <c r="CU319" s="348"/>
      <c r="CV319" s="281"/>
      <c r="CW319" s="348"/>
      <c r="CX319" s="281"/>
      <c r="CY319" s="348"/>
      <c r="CZ319" s="281"/>
      <c r="DA319" s="348"/>
      <c r="DB319" s="281"/>
      <c r="DC319" s="348"/>
      <c r="DD319" s="281"/>
      <c r="DE319" s="348"/>
      <c r="DF319" s="281"/>
      <c r="DG319" s="348"/>
      <c r="DH319" s="281"/>
      <c r="DI319" s="348"/>
      <c r="DJ319" s="281"/>
      <c r="DK319" s="348"/>
      <c r="DL319" s="281"/>
      <c r="DM319" s="348"/>
      <c r="DN319" s="281"/>
      <c r="DO319" s="348"/>
      <c r="DP319" s="281"/>
      <c r="DQ319" s="348"/>
      <c r="DR319" s="281"/>
      <c r="DS319" s="348"/>
      <c r="DT319" s="281"/>
      <c r="DU319" s="150"/>
      <c r="DV319" s="150"/>
      <c r="DW319" s="150"/>
      <c r="DX319" s="150"/>
      <c r="DY319" s="150"/>
      <c r="DZ319" s="150"/>
      <c r="EA319" s="150"/>
      <c r="EB319" s="150"/>
      <c r="EC319" s="150"/>
      <c r="ED319" s="150"/>
      <c r="EE319" s="148"/>
      <c r="EF319" s="148"/>
      <c r="EG319" s="148"/>
      <c r="EH319" s="148"/>
      <c r="EI319" s="148"/>
      <c r="EJ319" s="148"/>
      <c r="EK319" s="148"/>
      <c r="EL319" s="148"/>
      <c r="EM319" s="148"/>
      <c r="EN319" s="348"/>
      <c r="EO319" s="281"/>
      <c r="EP319" s="348"/>
      <c r="EQ319" s="281"/>
      <c r="ER319" s="348"/>
      <c r="ES319" s="281"/>
      <c r="ET319" s="348"/>
      <c r="EU319" s="281"/>
      <c r="EV319" s="348"/>
      <c r="EW319" s="281"/>
      <c r="EX319" s="348"/>
      <c r="EY319" s="281"/>
      <c r="EZ319" s="348"/>
      <c r="FA319" s="281"/>
      <c r="FB319" s="348"/>
      <c r="FC319" s="281"/>
      <c r="FD319" s="348"/>
      <c r="FE319" s="281"/>
      <c r="FF319" s="348"/>
      <c r="FG319" s="281"/>
      <c r="FH319" s="348"/>
      <c r="FI319" s="281"/>
      <c r="FJ319" s="348"/>
      <c r="FK319" s="281"/>
      <c r="FL319" s="348"/>
      <c r="FM319" s="281"/>
      <c r="FN319" s="348"/>
      <c r="FO319" s="281"/>
      <c r="FP319" s="348"/>
      <c r="FQ319" s="281"/>
      <c r="FR319" s="148"/>
      <c r="FS319" s="148"/>
      <c r="FT319" s="148"/>
      <c r="FU319" s="148"/>
      <c r="FV319" s="148"/>
      <c r="FW319" s="148"/>
      <c r="FX319" s="148"/>
      <c r="FY319" s="148"/>
      <c r="FZ319" s="148"/>
      <c r="GA319" s="148"/>
      <c r="GB319" s="148"/>
      <c r="GC319" s="148"/>
      <c r="GD319" s="148"/>
      <c r="GE319" s="148"/>
      <c r="GF319" s="148"/>
      <c r="GG319" s="148"/>
    </row>
    <row r="320" spans="1:189" ht="15" customHeight="1" outlineLevel="1" x14ac:dyDescent="0.3">
      <c r="A320" s="186"/>
      <c r="B320" s="286"/>
      <c r="C320" s="301"/>
      <c r="D320" s="301"/>
      <c r="E320" s="301"/>
      <c r="F320" s="301"/>
      <c r="G320" s="5" t="s">
        <v>421</v>
      </c>
      <c r="H320" s="5"/>
      <c r="I320" s="341">
        <f>I321/I310</f>
        <v>1.3780202623116169</v>
      </c>
      <c r="J320" s="281"/>
      <c r="K320" s="341">
        <f>K321/K310</f>
        <v>1.595815518329011</v>
      </c>
      <c r="L320" s="281"/>
      <c r="M320" s="341">
        <f>M321/M310</f>
        <v>1.5854393899086636</v>
      </c>
      <c r="N320" s="281"/>
      <c r="O320" s="341">
        <f>O321/O310</f>
        <v>1.70341490910799</v>
      </c>
      <c r="P320" s="281"/>
      <c r="Q320" s="341">
        <f>Q321/Q310</f>
        <v>1.4138738110651861</v>
      </c>
      <c r="R320" s="281"/>
      <c r="S320" s="341">
        <f>S321/S310</f>
        <v>1.3187451587916343</v>
      </c>
      <c r="T320" s="281"/>
      <c r="U320" s="341">
        <f>U321/U310</f>
        <v>1.1737738985868662</v>
      </c>
      <c r="V320" s="281"/>
      <c r="W320" s="341">
        <f>W321/W310</f>
        <v>1.4620582333428886</v>
      </c>
      <c r="X320" s="281"/>
      <c r="Y320" s="341">
        <f>Y321/Y310</f>
        <v>1.3960070558050033</v>
      </c>
      <c r="Z320" s="281"/>
      <c r="AA320" s="341">
        <f>AA321/AA310</f>
        <v>1.2872787155207905</v>
      </c>
      <c r="AB320" s="281"/>
      <c r="AC320" s="341">
        <f>AC321/AC310</f>
        <v>1.3125675323223667</v>
      </c>
      <c r="AD320" s="281"/>
      <c r="AE320" s="341">
        <f>AE321/AE310</f>
        <v>1.2226685225690992</v>
      </c>
      <c r="AF320" s="281"/>
      <c r="AG320" s="341">
        <f>AG321/AG310</f>
        <v>1.1144537689195264</v>
      </c>
      <c r="AH320" s="281"/>
      <c r="AI320" s="341">
        <f>AI321/AI310</f>
        <v>1.3453060839193844</v>
      </c>
      <c r="AJ320" s="281"/>
      <c r="AK320" s="341">
        <f>AK321/AK310</f>
        <v>1.33633163863903</v>
      </c>
      <c r="AL320" s="281"/>
      <c r="AM320" s="341">
        <f>AM321/AM310</f>
        <v>1.3382804218043853</v>
      </c>
      <c r="AN320" s="281"/>
      <c r="AO320" s="341">
        <f>AO321/AO310</f>
        <v>1.3374745039866494</v>
      </c>
      <c r="AP320" s="281"/>
      <c r="AQ320" s="341">
        <f>AQ321/AQ310</f>
        <v>1.469271441323903</v>
      </c>
      <c r="AR320" s="281"/>
      <c r="AS320" s="341">
        <f>AS321/AS310</f>
        <v>1.4055102040816327</v>
      </c>
      <c r="AT320" s="281"/>
      <c r="AU320" s="341">
        <f>AU321/AU310</f>
        <v>1.5009084962569954</v>
      </c>
      <c r="AV320" s="281"/>
      <c r="AW320" s="341">
        <f>AW321/AW310</f>
        <v>1.351630307295332</v>
      </c>
      <c r="AX320" s="281"/>
      <c r="AY320" s="341">
        <f>AY321/AY310</f>
        <v>1.3127662700161598</v>
      </c>
      <c r="AZ320" s="281"/>
      <c r="BA320" s="341">
        <f>BA321/BA310</f>
        <v>1.320479704797048</v>
      </c>
      <c r="BB320" s="281"/>
      <c r="BC320" s="341">
        <f>BC321/BC310</f>
        <v>1.3389796929172857</v>
      </c>
      <c r="BD320" s="281"/>
      <c r="BE320" s="341">
        <f>BE321/BE310</f>
        <v>1.3811454637607703</v>
      </c>
      <c r="BF320" s="281"/>
      <c r="BG320" s="341">
        <f>BG321/BG310</f>
        <v>1.4264564916391522</v>
      </c>
      <c r="BH320" s="281"/>
      <c r="BI320" s="341">
        <f>BI321/BI310</f>
        <v>1.5026455026455026</v>
      </c>
      <c r="BJ320" s="281"/>
      <c r="BK320" s="341">
        <f>BK321/BK310</f>
        <v>1.5095179233621756</v>
      </c>
      <c r="BL320" s="281"/>
      <c r="BM320" s="341">
        <f>BM321/BM310</f>
        <v>1.5278472679394339</v>
      </c>
      <c r="BN320" s="281"/>
      <c r="BO320" s="341">
        <f>BO321/BO310</f>
        <v>1.5196329780056672</v>
      </c>
      <c r="BP320" s="281"/>
      <c r="BQ320" s="341">
        <f>BQ321/BQ310</f>
        <v>1.5645183267475133</v>
      </c>
      <c r="BR320" s="281"/>
      <c r="BS320" s="341">
        <f>BS321/BS310</f>
        <v>1.6358061325420377</v>
      </c>
      <c r="BT320" s="281"/>
      <c r="BU320" s="341">
        <f>BU321/BU310</f>
        <v>1.9193923145665772</v>
      </c>
      <c r="BV320" s="281"/>
      <c r="BW320" s="341">
        <f>BW321/BW310</f>
        <v>2.1300572330767711</v>
      </c>
      <c r="BX320" s="281"/>
      <c r="BY320" s="341">
        <f>BY321/BY310</f>
        <v>1.9579429523214658</v>
      </c>
      <c r="BZ320" s="281"/>
      <c r="CA320" s="341">
        <f>CA321/CA310</f>
        <v>2.0946977108198004</v>
      </c>
      <c r="CB320" s="281"/>
      <c r="CC320" s="341">
        <f>CC321/CC310</f>
        <v>3.5839138695376822</v>
      </c>
      <c r="CD320" s="281"/>
      <c r="CE320" s="341">
        <f>CE321/CE310</f>
        <v>1.2761832829808661</v>
      </c>
      <c r="CF320" s="281"/>
      <c r="CG320" s="341">
        <f>CG321/CG310</f>
        <v>1.1942127215849843</v>
      </c>
      <c r="CH320" s="281"/>
      <c r="CI320" s="341">
        <f>CI321/CI310</f>
        <v>1.234466468111328</v>
      </c>
      <c r="CJ320" s="281"/>
      <c r="CK320" s="341">
        <f>CK321/CK310</f>
        <v>1.3207248844563366</v>
      </c>
      <c r="CL320" s="281"/>
      <c r="CM320" s="341">
        <f>CM321/CM310</f>
        <v>1.2917102784174168</v>
      </c>
      <c r="CN320" s="281"/>
      <c r="CO320" s="341">
        <f>CO321/CO310</f>
        <v>1.4861276849642004</v>
      </c>
      <c r="CP320" s="281"/>
      <c r="CQ320" s="341">
        <f>CQ321/CQ310</f>
        <v>1.752839618355293</v>
      </c>
      <c r="CR320" s="281"/>
      <c r="CS320" s="341">
        <f>CS321/CS310</f>
        <v>1.9578624250034882</v>
      </c>
      <c r="CT320" s="281"/>
      <c r="CU320" s="341">
        <f>CU321/CU310</f>
        <v>1.9543057996485063</v>
      </c>
      <c r="CV320" s="281"/>
      <c r="CW320" s="341">
        <f>CW321/CW310</f>
        <v>2.2052649116961014</v>
      </c>
      <c r="CX320" s="281"/>
      <c r="CY320" s="341">
        <f>CY321/CY310</f>
        <v>2.1907506123037028</v>
      </c>
      <c r="CZ320" s="281"/>
      <c r="DA320" s="341">
        <f>DA321/DA310</f>
        <v>2.1187689070103906</v>
      </c>
      <c r="DB320" s="281"/>
      <c r="DC320" s="198" t="e">
        <f>DC321/DC309</f>
        <v>#DIV/0!</v>
      </c>
      <c r="DD320" s="197"/>
      <c r="DE320" s="198" t="e">
        <f t="shared" ref="DE320" si="707">DE321/DE309</f>
        <v>#DIV/0!</v>
      </c>
      <c r="DF320" s="197"/>
      <c r="DG320" s="198" t="e">
        <f t="shared" ref="DG320" si="708">DG321/DG309</f>
        <v>#DIV/0!</v>
      </c>
      <c r="DH320" s="197"/>
      <c r="DI320" s="198" t="e">
        <f t="shared" ref="DI320" si="709">DI321/DI309</f>
        <v>#DIV/0!</v>
      </c>
      <c r="DJ320" s="197"/>
      <c r="DK320" s="198" t="e">
        <f t="shared" ref="DK320" si="710">DK321/DK309</f>
        <v>#DIV/0!</v>
      </c>
      <c r="DL320" s="197"/>
      <c r="DM320" s="198" t="e">
        <f t="shared" ref="DM320" si="711">DM321/DM309</f>
        <v>#DIV/0!</v>
      </c>
      <c r="DN320" s="197"/>
      <c r="DO320" s="198" t="e">
        <f t="shared" ref="DO320" si="712">DO321/DO309</f>
        <v>#DIV/0!</v>
      </c>
      <c r="DP320" s="197"/>
      <c r="DQ320" s="198" t="e">
        <f t="shared" ref="DQ320" si="713">DQ321/DQ309</f>
        <v>#DIV/0!</v>
      </c>
      <c r="DR320" s="197"/>
      <c r="DS320" s="198" t="e">
        <f t="shared" ref="DS320" si="714">DS321/DS309</f>
        <v>#DIV/0!</v>
      </c>
      <c r="DT320" s="197"/>
      <c r="DU320" s="150"/>
      <c r="DV320" s="150"/>
      <c r="DW320" s="150"/>
      <c r="DX320" s="150"/>
      <c r="DY320" s="150"/>
      <c r="DZ320" s="150"/>
      <c r="EA320" s="150"/>
      <c r="EB320" s="150"/>
      <c r="EC320" s="150"/>
      <c r="ED320" s="150"/>
      <c r="EE320" s="148"/>
      <c r="EF320" s="148"/>
      <c r="EG320" s="148"/>
      <c r="EH320" s="148"/>
      <c r="EI320" s="148"/>
      <c r="EJ320" s="148"/>
      <c r="EK320" s="148"/>
      <c r="EL320" s="148"/>
      <c r="EM320" s="148"/>
      <c r="EN320" s="198" t="e">
        <f t="shared" ref="EN320:EP320" si="715">EN321/EN309</f>
        <v>#DIV/0!</v>
      </c>
      <c r="EO320" s="197"/>
      <c r="EP320" s="198" t="e">
        <f t="shared" si="715"/>
        <v>#DIV/0!</v>
      </c>
      <c r="EQ320" s="197"/>
      <c r="ER320" s="198" t="e">
        <f t="shared" ref="ER320:ET320" si="716">ER321/ER309</f>
        <v>#DIV/0!</v>
      </c>
      <c r="ES320" s="197"/>
      <c r="ET320" s="198">
        <f t="shared" si="716"/>
        <v>1.0995717344753748</v>
      </c>
      <c r="EU320" s="197"/>
      <c r="EV320" s="198">
        <f t="shared" ref="EV320:EX320" si="717">EV321/EV309</f>
        <v>0.69434931506849318</v>
      </c>
      <c r="EW320" s="197"/>
      <c r="EX320" s="198">
        <f t="shared" si="717"/>
        <v>0.4193146417445483</v>
      </c>
      <c r="EY320" s="197"/>
      <c r="EZ320" s="198">
        <f t="shared" ref="EZ320:FB320" si="718">EZ321/EZ309</f>
        <v>0.72413793103448276</v>
      </c>
      <c r="FA320" s="197"/>
      <c r="FB320" s="198">
        <f t="shared" si="718"/>
        <v>0.49428320140721194</v>
      </c>
      <c r="FC320" s="197"/>
      <c r="FD320" s="198">
        <f t="shared" ref="FD320:FF320" si="719">FD321/FD309</f>
        <v>0.5855513307984791</v>
      </c>
      <c r="FE320" s="197"/>
      <c r="FF320" s="198">
        <f t="shared" si="719"/>
        <v>0.62466124661246614</v>
      </c>
      <c r="FG320" s="197"/>
      <c r="FH320" s="198">
        <f>FH321/FH309</f>
        <v>0.69865319865319864</v>
      </c>
      <c r="FI320" s="197"/>
      <c r="FJ320" s="198">
        <f t="shared" ref="FJ320:FL320" si="720">FJ321/FJ309</f>
        <v>0.58287292817679559</v>
      </c>
      <c r="FK320" s="197"/>
      <c r="FL320" s="198">
        <f t="shared" si="720"/>
        <v>0.70626631853785904</v>
      </c>
      <c r="FM320" s="197"/>
      <c r="FN320" s="198">
        <f t="shared" ref="FN320:FP320" si="721">FN321/FN309</f>
        <v>0.44069640914036995</v>
      </c>
      <c r="FO320" s="197"/>
      <c r="FP320" s="198">
        <f t="shared" si="721"/>
        <v>0.25484949832775922</v>
      </c>
      <c r="FQ320" s="197"/>
      <c r="FR320" s="148" t="s">
        <v>29</v>
      </c>
      <c r="FS320" s="148" t="s">
        <v>29</v>
      </c>
      <c r="FT320" s="148" t="s">
        <v>29</v>
      </c>
      <c r="FU320" s="148" t="s">
        <v>29</v>
      </c>
      <c r="FV320" s="148" t="s">
        <v>29</v>
      </c>
      <c r="FW320" s="148" t="s">
        <v>29</v>
      </c>
      <c r="FX320" s="148" t="s">
        <v>29</v>
      </c>
      <c r="FY320" s="148" t="s">
        <v>29</v>
      </c>
      <c r="FZ320" s="148" t="s">
        <v>29</v>
      </c>
      <c r="GA320" s="148" t="s">
        <v>29</v>
      </c>
      <c r="GB320" s="148" t="s">
        <v>29</v>
      </c>
      <c r="GC320" s="148" t="s">
        <v>29</v>
      </c>
      <c r="GD320" s="148" t="s">
        <v>29</v>
      </c>
      <c r="GE320" s="148" t="s">
        <v>29</v>
      </c>
      <c r="GF320" s="148" t="s">
        <v>29</v>
      </c>
      <c r="GG320" s="148" t="s">
        <v>29</v>
      </c>
    </row>
    <row r="321" spans="1:189" ht="15" customHeight="1" outlineLevel="1" x14ac:dyDescent="0.3">
      <c r="A321" s="186"/>
      <c r="B321" s="287"/>
      <c r="C321" s="302"/>
      <c r="D321" s="302"/>
      <c r="E321" s="302"/>
      <c r="F321" s="302"/>
      <c r="G321" s="41" t="s">
        <v>418</v>
      </c>
      <c r="H321" s="149"/>
      <c r="I321" s="371">
        <f>SUM(K321:AH321)</f>
        <v>398941</v>
      </c>
      <c r="J321" s="281"/>
      <c r="K321" s="371">
        <v>45535</v>
      </c>
      <c r="L321" s="281"/>
      <c r="M321" s="371">
        <v>35758</v>
      </c>
      <c r="N321" s="281"/>
      <c r="O321" s="371">
        <v>36264</v>
      </c>
      <c r="P321" s="281"/>
      <c r="Q321" s="371">
        <v>28392</v>
      </c>
      <c r="R321" s="281"/>
      <c r="S321" s="371">
        <v>27240</v>
      </c>
      <c r="T321" s="281"/>
      <c r="U321" s="371">
        <v>28241</v>
      </c>
      <c r="V321" s="281"/>
      <c r="W321" s="371">
        <v>35702</v>
      </c>
      <c r="X321" s="281"/>
      <c r="Y321" s="371">
        <v>34822</v>
      </c>
      <c r="Z321" s="281"/>
      <c r="AA321" s="371">
        <v>31268</v>
      </c>
      <c r="AB321" s="281"/>
      <c r="AC321" s="371">
        <v>35228</v>
      </c>
      <c r="AD321" s="281"/>
      <c r="AE321" s="371">
        <v>30744</v>
      </c>
      <c r="AF321" s="281"/>
      <c r="AG321" s="371">
        <v>29747</v>
      </c>
      <c r="AH321" s="281"/>
      <c r="AI321" s="371">
        <v>28503</v>
      </c>
      <c r="AJ321" s="281"/>
      <c r="AK321" s="371">
        <v>20502</v>
      </c>
      <c r="AL321" s="281"/>
      <c r="AM321" s="371">
        <v>23986</v>
      </c>
      <c r="AN321" s="281"/>
      <c r="AO321" s="371">
        <v>21639</v>
      </c>
      <c r="AP321" s="281"/>
      <c r="AQ321" s="371">
        <v>21397</v>
      </c>
      <c r="AR321" s="281"/>
      <c r="AS321" s="371">
        <v>20661</v>
      </c>
      <c r="AT321" s="281"/>
      <c r="AU321" s="371">
        <v>20651</v>
      </c>
      <c r="AV321" s="281"/>
      <c r="AW321" s="371">
        <v>17286</v>
      </c>
      <c r="AX321" s="281"/>
      <c r="AY321" s="371">
        <v>17872</v>
      </c>
      <c r="AZ321" s="281"/>
      <c r="BA321" s="371">
        <v>14314</v>
      </c>
      <c r="BB321" s="281"/>
      <c r="BC321" s="371">
        <v>13517</v>
      </c>
      <c r="BD321" s="281"/>
      <c r="BE321" s="371">
        <v>16350</v>
      </c>
      <c r="BF321" s="281"/>
      <c r="BG321" s="371">
        <v>13393</v>
      </c>
      <c r="BH321" s="281"/>
      <c r="BI321" s="371">
        <v>10792</v>
      </c>
      <c r="BJ321" s="281"/>
      <c r="BK321" s="371">
        <v>12212</v>
      </c>
      <c r="BL321" s="281"/>
      <c r="BM321" s="371">
        <v>11604</v>
      </c>
      <c r="BN321" s="281"/>
      <c r="BO321" s="371">
        <v>11262</v>
      </c>
      <c r="BP321" s="281"/>
      <c r="BQ321" s="371">
        <v>11482</v>
      </c>
      <c r="BR321" s="281"/>
      <c r="BS321" s="371">
        <v>8269</v>
      </c>
      <c r="BT321" s="281"/>
      <c r="BU321" s="371">
        <f>10570+169</f>
        <v>10739</v>
      </c>
      <c r="BV321" s="281"/>
      <c r="BW321" s="371">
        <f>10710+83</f>
        <v>10793</v>
      </c>
      <c r="BX321" s="281"/>
      <c r="BY321" s="371">
        <f>9340+64</f>
        <v>9404</v>
      </c>
      <c r="BZ321" s="281"/>
      <c r="CA321" s="371">
        <f>10640+66</f>
        <v>10706</v>
      </c>
      <c r="CB321" s="281"/>
      <c r="CC321" s="371">
        <f>16830+147</f>
        <v>16977</v>
      </c>
      <c r="CD321" s="281"/>
      <c r="CE321" s="406">
        <v>10138</v>
      </c>
      <c r="CF321" s="404"/>
      <c r="CG321" s="406">
        <v>9162</v>
      </c>
      <c r="CH321" s="404"/>
      <c r="CI321" s="406">
        <v>12020</v>
      </c>
      <c r="CJ321" s="404"/>
      <c r="CK321" s="406">
        <v>10859</v>
      </c>
      <c r="CL321" s="404"/>
      <c r="CM321" s="406">
        <v>12341</v>
      </c>
      <c r="CN321" s="404"/>
      <c r="CO321" s="406">
        <v>9963</v>
      </c>
      <c r="CP321" s="404"/>
      <c r="CQ321" s="406">
        <v>11574</v>
      </c>
      <c r="CR321" s="404"/>
      <c r="CS321" s="406">
        <v>14032</v>
      </c>
      <c r="CT321" s="404"/>
      <c r="CU321" s="406">
        <v>13344</v>
      </c>
      <c r="CV321" s="404"/>
      <c r="CW321" s="406">
        <v>13236</v>
      </c>
      <c r="CX321" s="404"/>
      <c r="CY321" s="406">
        <v>15206</v>
      </c>
      <c r="CZ321" s="404"/>
      <c r="DA321" s="406">
        <v>16109</v>
      </c>
      <c r="DB321" s="404"/>
      <c r="DC321" s="371"/>
      <c r="DD321" s="281"/>
      <c r="DE321" s="371"/>
      <c r="DF321" s="281"/>
      <c r="DG321" s="371"/>
      <c r="DH321" s="281"/>
      <c r="DI321" s="371"/>
      <c r="DJ321" s="281"/>
      <c r="DK321" s="371"/>
      <c r="DL321" s="281"/>
      <c r="DM321" s="371"/>
      <c r="DN321" s="281"/>
      <c r="DO321" s="371"/>
      <c r="DP321" s="281"/>
      <c r="DQ321" s="371"/>
      <c r="DR321" s="281"/>
      <c r="DS321" s="371">
        <v>1696</v>
      </c>
      <c r="DT321" s="281"/>
      <c r="DU321" s="150"/>
      <c r="DV321" s="150"/>
      <c r="DW321" s="150"/>
      <c r="DX321" s="150"/>
      <c r="DY321" s="150"/>
      <c r="DZ321" s="150"/>
      <c r="EA321" s="150"/>
      <c r="EB321" s="150"/>
      <c r="EC321" s="150"/>
      <c r="ED321" s="150"/>
      <c r="EE321" s="148"/>
      <c r="EF321" s="148"/>
      <c r="EG321" s="148"/>
      <c r="EH321" s="148"/>
      <c r="EI321" s="148"/>
      <c r="EJ321" s="148"/>
      <c r="EK321" s="148"/>
      <c r="EL321" s="148"/>
      <c r="EM321" s="148"/>
      <c r="EN321" s="371">
        <v>1893</v>
      </c>
      <c r="EO321" s="281"/>
      <c r="EP321" s="371">
        <v>1646</v>
      </c>
      <c r="EQ321" s="281"/>
      <c r="ER321" s="371">
        <v>814</v>
      </c>
      <c r="ES321" s="281"/>
      <c r="ET321" s="371">
        <v>1027</v>
      </c>
      <c r="EU321" s="281"/>
      <c r="EV321" s="371">
        <v>811</v>
      </c>
      <c r="EW321" s="281"/>
      <c r="EX321" s="371">
        <v>673</v>
      </c>
      <c r="EY321" s="281"/>
      <c r="EZ321" s="371">
        <v>672</v>
      </c>
      <c r="FA321" s="281"/>
      <c r="FB321" s="371">
        <v>562</v>
      </c>
      <c r="FC321" s="281"/>
      <c r="FD321" s="371">
        <v>462</v>
      </c>
      <c r="FE321" s="281"/>
      <c r="FF321" s="371">
        <v>461</v>
      </c>
      <c r="FG321" s="281"/>
      <c r="FH321" s="371">
        <v>415</v>
      </c>
      <c r="FI321" s="281"/>
      <c r="FJ321" s="371">
        <v>422</v>
      </c>
      <c r="FK321" s="281"/>
      <c r="FL321" s="371">
        <v>541</v>
      </c>
      <c r="FM321" s="281"/>
      <c r="FN321" s="371">
        <v>405</v>
      </c>
      <c r="FO321" s="281"/>
      <c r="FP321" s="371">
        <f>273+108</f>
        <v>381</v>
      </c>
      <c r="FQ321" s="281"/>
      <c r="FR321" s="148"/>
      <c r="FS321" s="148"/>
      <c r="FT321" s="148"/>
      <c r="FU321" s="148"/>
      <c r="FV321" s="148"/>
      <c r="FW321" s="148"/>
      <c r="FX321" s="148"/>
      <c r="FY321" s="148"/>
      <c r="FZ321" s="148"/>
      <c r="GA321" s="148"/>
      <c r="GB321" s="148"/>
      <c r="GC321" s="148"/>
      <c r="GD321" s="148"/>
      <c r="GE321" s="148"/>
      <c r="GF321" s="148"/>
      <c r="GG321" s="148"/>
    </row>
    <row r="322" spans="1:189" ht="8.25" customHeight="1" outlineLevel="1" x14ac:dyDescent="0.3">
      <c r="A322" s="1"/>
      <c r="B322" s="18"/>
      <c r="C322" s="18"/>
      <c r="D322" s="18"/>
      <c r="E322" s="18"/>
      <c r="F322" s="18"/>
      <c r="G322" s="3"/>
      <c r="H322" s="3"/>
      <c r="I322" s="19"/>
      <c r="J322" s="20"/>
      <c r="K322" s="19"/>
      <c r="L322" s="20"/>
      <c r="M322" s="19"/>
      <c r="N322" s="20"/>
      <c r="O322" s="19"/>
      <c r="P322" s="20"/>
      <c r="Q322" s="19"/>
      <c r="R322" s="20"/>
      <c r="S322" s="19"/>
      <c r="T322" s="20"/>
      <c r="U322" s="19"/>
      <c r="V322" s="20"/>
      <c r="W322" s="19"/>
      <c r="X322" s="20"/>
      <c r="Y322" s="19"/>
      <c r="Z322" s="20"/>
      <c r="AA322" s="19"/>
      <c r="AB322" s="20"/>
      <c r="AC322" s="19"/>
      <c r="AD322" s="20"/>
      <c r="AE322" s="19"/>
      <c r="AF322" s="20"/>
      <c r="AG322" s="19"/>
      <c r="AH322" s="20"/>
      <c r="AI322" s="19"/>
      <c r="AJ322" s="20"/>
      <c r="AK322" s="19"/>
      <c r="AL322" s="20"/>
      <c r="AM322" s="19"/>
      <c r="AN322" s="20"/>
      <c r="AO322" s="19"/>
      <c r="AP322" s="20"/>
      <c r="AQ322" s="19"/>
      <c r="AR322" s="20"/>
      <c r="AS322" s="19"/>
      <c r="AT322" s="20"/>
      <c r="AU322" s="19"/>
      <c r="AV322" s="20"/>
      <c r="AW322" s="19"/>
      <c r="AX322" s="20"/>
      <c r="AY322" s="19"/>
      <c r="AZ322" s="20"/>
      <c r="BA322" s="19"/>
      <c r="BB322" s="20"/>
      <c r="BC322" s="19"/>
      <c r="BD322" s="20"/>
      <c r="BE322" s="19"/>
      <c r="BF322" s="20"/>
      <c r="BG322" s="19"/>
      <c r="BH322" s="20"/>
      <c r="BI322" s="19"/>
      <c r="BJ322" s="20"/>
      <c r="BK322" s="19"/>
      <c r="BL322" s="20"/>
      <c r="BM322" s="19"/>
      <c r="BN322" s="20"/>
      <c r="BO322" s="19"/>
      <c r="BP322" s="20"/>
      <c r="BQ322" s="19"/>
      <c r="BR322" s="20"/>
      <c r="BS322" s="19"/>
      <c r="BT322" s="20"/>
      <c r="BU322" s="19"/>
      <c r="BV322" s="20"/>
      <c r="BW322" s="19"/>
      <c r="BX322" s="20"/>
      <c r="BY322" s="19"/>
      <c r="BZ322" s="20"/>
      <c r="CA322" s="19"/>
      <c r="CB322" s="20"/>
      <c r="CC322" s="19"/>
      <c r="CD322" s="20"/>
      <c r="CE322" s="19"/>
      <c r="CF322" s="20"/>
      <c r="CG322" s="19"/>
      <c r="CH322" s="20"/>
      <c r="CI322" s="19"/>
      <c r="CJ322" s="20"/>
      <c r="CK322" s="19"/>
      <c r="CL322" s="20"/>
      <c r="CM322" s="19"/>
      <c r="CN322" s="20"/>
      <c r="CO322" s="19"/>
      <c r="CP322" s="20"/>
      <c r="CQ322" s="19"/>
      <c r="CR322" s="20"/>
      <c r="CS322" s="19"/>
      <c r="CT322" s="20"/>
      <c r="CU322" s="19"/>
      <c r="CV322" s="20"/>
      <c r="CW322" s="19"/>
      <c r="CX322" s="20"/>
      <c r="CY322" s="19"/>
      <c r="CZ322" s="20"/>
      <c r="DA322" s="19"/>
      <c r="DB322" s="20"/>
      <c r="DC322" s="19"/>
      <c r="DD322" s="20"/>
      <c r="DE322" s="19"/>
      <c r="DF322" s="20"/>
      <c r="DG322" s="19"/>
      <c r="DH322" s="20"/>
      <c r="DI322" s="19"/>
      <c r="DJ322" s="20"/>
      <c r="DK322" s="19"/>
      <c r="DL322" s="20"/>
      <c r="DM322" s="19"/>
      <c r="DN322" s="20"/>
      <c r="DO322" s="19"/>
      <c r="DP322" s="20"/>
      <c r="DQ322" s="19"/>
      <c r="DR322" s="20"/>
      <c r="DS322" s="19"/>
      <c r="DT322" s="20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19"/>
      <c r="EO322" s="20"/>
      <c r="EP322" s="19"/>
      <c r="EQ322" s="20"/>
      <c r="ER322" s="19"/>
      <c r="ES322" s="20"/>
      <c r="ET322" s="19"/>
      <c r="EU322" s="20"/>
      <c r="EV322" s="19"/>
      <c r="EW322" s="20"/>
      <c r="EX322" s="19"/>
      <c r="EY322" s="20"/>
      <c r="EZ322" s="19"/>
      <c r="FA322" s="20"/>
      <c r="FB322" s="19"/>
      <c r="FC322" s="20"/>
      <c r="FD322" s="19"/>
      <c r="FE322" s="20"/>
      <c r="FF322" s="19"/>
      <c r="FG322" s="20"/>
      <c r="FH322" s="19"/>
      <c r="FI322" s="20"/>
      <c r="FJ322" s="19"/>
      <c r="FK322" s="20"/>
      <c r="FL322" s="19"/>
      <c r="FM322" s="20"/>
      <c r="FN322" s="19"/>
      <c r="FO322" s="20"/>
      <c r="FP322" s="19"/>
      <c r="FQ322" s="20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</row>
    <row r="323" spans="1:189" ht="15" customHeight="1" outlineLevel="1" x14ac:dyDescent="0.3">
      <c r="A323" s="63"/>
      <c r="B323" s="313" t="s">
        <v>250</v>
      </c>
      <c r="C323" s="313" t="s">
        <v>24</v>
      </c>
      <c r="D323" s="313" t="s">
        <v>96</v>
      </c>
      <c r="E323" s="313" t="s">
        <v>251</v>
      </c>
      <c r="F323" s="313" t="s">
        <v>27</v>
      </c>
      <c r="G323" s="71" t="s">
        <v>28</v>
      </c>
      <c r="H323" s="5"/>
      <c r="I323" s="283"/>
      <c r="J323" s="281"/>
      <c r="K323" s="283"/>
      <c r="L323" s="281"/>
      <c r="M323" s="283"/>
      <c r="N323" s="281"/>
      <c r="O323" s="283"/>
      <c r="P323" s="281"/>
      <c r="Q323" s="283"/>
      <c r="R323" s="281"/>
      <c r="S323" s="283"/>
      <c r="T323" s="281"/>
      <c r="U323" s="283"/>
      <c r="V323" s="281"/>
      <c r="W323" s="283"/>
      <c r="X323" s="281"/>
      <c r="Y323" s="283"/>
      <c r="Z323" s="281"/>
      <c r="AA323" s="283"/>
      <c r="AB323" s="281"/>
      <c r="AC323" s="283"/>
      <c r="AD323" s="281"/>
      <c r="AE323" s="283"/>
      <c r="AF323" s="281"/>
      <c r="AG323" s="283"/>
      <c r="AH323" s="281"/>
      <c r="AI323" s="283"/>
      <c r="AJ323" s="281"/>
      <c r="AK323" s="283"/>
      <c r="AL323" s="281"/>
      <c r="AM323" s="283"/>
      <c r="AN323" s="281"/>
      <c r="AO323" s="283"/>
      <c r="AP323" s="281"/>
      <c r="AQ323" s="283"/>
      <c r="AR323" s="281"/>
      <c r="AS323" s="283"/>
      <c r="AT323" s="281"/>
      <c r="AU323" s="283"/>
      <c r="AV323" s="281"/>
      <c r="AW323" s="283"/>
      <c r="AX323" s="281"/>
      <c r="AY323" s="283"/>
      <c r="AZ323" s="281"/>
      <c r="BA323" s="283"/>
      <c r="BB323" s="281"/>
      <c r="BC323" s="283"/>
      <c r="BD323" s="281"/>
      <c r="BE323" s="283"/>
      <c r="BF323" s="281"/>
      <c r="BG323" s="283"/>
      <c r="BH323" s="281"/>
      <c r="BI323" s="283"/>
      <c r="BJ323" s="281"/>
      <c r="BK323" s="283"/>
      <c r="BL323" s="281"/>
      <c r="BM323" s="283"/>
      <c r="BN323" s="281"/>
      <c r="BO323" s="283"/>
      <c r="BP323" s="281"/>
      <c r="BQ323" s="283"/>
      <c r="BR323" s="281"/>
      <c r="BS323" s="283"/>
      <c r="BT323" s="281"/>
      <c r="BU323" s="283"/>
      <c r="BV323" s="281"/>
      <c r="BW323" s="283"/>
      <c r="BX323" s="281"/>
      <c r="BY323" s="283"/>
      <c r="BZ323" s="281"/>
      <c r="CA323" s="283"/>
      <c r="CB323" s="281"/>
      <c r="CC323" s="283"/>
      <c r="CD323" s="281"/>
      <c r="CE323" s="283"/>
      <c r="CF323" s="281"/>
      <c r="CG323" s="283"/>
      <c r="CH323" s="281"/>
      <c r="CI323" s="283"/>
      <c r="CJ323" s="281"/>
      <c r="CK323" s="283"/>
      <c r="CL323" s="281"/>
      <c r="CM323" s="283"/>
      <c r="CN323" s="281"/>
      <c r="CO323" s="283"/>
      <c r="CP323" s="281"/>
      <c r="CQ323" s="283"/>
      <c r="CR323" s="281"/>
      <c r="CS323" s="283"/>
      <c r="CT323" s="281"/>
      <c r="CU323" s="283"/>
      <c r="CV323" s="281"/>
      <c r="CW323" s="283"/>
      <c r="CX323" s="281"/>
      <c r="CY323" s="283"/>
      <c r="CZ323" s="281"/>
      <c r="DA323" s="283"/>
      <c r="DB323" s="281"/>
      <c r="DC323" s="283"/>
      <c r="DD323" s="281"/>
      <c r="DE323" s="283"/>
      <c r="DF323" s="281"/>
      <c r="DG323" s="283"/>
      <c r="DH323" s="281"/>
      <c r="DI323" s="283"/>
      <c r="DJ323" s="281"/>
      <c r="DK323" s="283"/>
      <c r="DL323" s="281"/>
      <c r="DM323" s="283"/>
      <c r="DN323" s="281"/>
      <c r="DO323" s="283"/>
      <c r="DP323" s="281"/>
      <c r="DQ323" s="283"/>
      <c r="DR323" s="281"/>
      <c r="DS323" s="283"/>
      <c r="DT323" s="281"/>
      <c r="DU323" s="394" t="s">
        <v>29</v>
      </c>
      <c r="DV323" s="394" t="s">
        <v>29</v>
      </c>
      <c r="DW323" s="394" t="s">
        <v>29</v>
      </c>
      <c r="DX323" s="394" t="s">
        <v>29</v>
      </c>
      <c r="DY323" s="394" t="s">
        <v>29</v>
      </c>
      <c r="DZ323" s="394" t="s">
        <v>29</v>
      </c>
      <c r="EA323" s="394" t="s">
        <v>29</v>
      </c>
      <c r="EB323" s="394" t="s">
        <v>29</v>
      </c>
      <c r="EC323" s="394" t="s">
        <v>29</v>
      </c>
      <c r="ED323" s="394" t="s">
        <v>29</v>
      </c>
      <c r="EE323" s="394" t="s">
        <v>29</v>
      </c>
      <c r="EF323" s="394" t="s">
        <v>29</v>
      </c>
      <c r="EG323" s="394" t="s">
        <v>29</v>
      </c>
      <c r="EH323" s="394" t="s">
        <v>29</v>
      </c>
      <c r="EI323" s="394" t="s">
        <v>29</v>
      </c>
      <c r="EJ323" s="394" t="s">
        <v>29</v>
      </c>
      <c r="EK323" s="394"/>
      <c r="EL323" s="394"/>
      <c r="EM323" s="394" t="s">
        <v>29</v>
      </c>
      <c r="EN323" s="283"/>
      <c r="EO323" s="281"/>
      <c r="EP323" s="283"/>
      <c r="EQ323" s="281"/>
      <c r="ER323" s="283"/>
      <c r="ES323" s="281"/>
      <c r="ET323" s="283"/>
      <c r="EU323" s="281"/>
      <c r="EV323" s="283"/>
      <c r="EW323" s="281"/>
      <c r="EX323" s="283"/>
      <c r="EY323" s="281"/>
      <c r="EZ323" s="283"/>
      <c r="FA323" s="281"/>
      <c r="FB323" s="283"/>
      <c r="FC323" s="281"/>
      <c r="FD323" s="283"/>
      <c r="FE323" s="281"/>
      <c r="FF323" s="283"/>
      <c r="FG323" s="281"/>
      <c r="FH323" s="283"/>
      <c r="FI323" s="281"/>
      <c r="FJ323" s="283"/>
      <c r="FK323" s="281"/>
      <c r="FL323" s="283"/>
      <c r="FM323" s="281"/>
      <c r="FN323" s="283"/>
      <c r="FO323" s="281"/>
      <c r="FP323" s="283"/>
      <c r="FQ323" s="281"/>
      <c r="FR323" s="394" t="s">
        <v>29</v>
      </c>
      <c r="FS323" s="394" t="s">
        <v>29</v>
      </c>
      <c r="FT323" s="394" t="s">
        <v>29</v>
      </c>
      <c r="FU323" s="394" t="s">
        <v>29</v>
      </c>
      <c r="FV323" s="394" t="s">
        <v>29</v>
      </c>
      <c r="FW323" s="394" t="s">
        <v>29</v>
      </c>
      <c r="FX323" s="394" t="s">
        <v>29</v>
      </c>
      <c r="FY323" s="394" t="s">
        <v>29</v>
      </c>
      <c r="FZ323" s="394" t="s">
        <v>29</v>
      </c>
      <c r="GA323" s="394" t="s">
        <v>29</v>
      </c>
      <c r="GB323" s="394" t="s">
        <v>29</v>
      </c>
      <c r="GC323" s="394" t="s">
        <v>29</v>
      </c>
      <c r="GD323" s="394" t="s">
        <v>29</v>
      </c>
      <c r="GE323" s="394" t="s">
        <v>29</v>
      </c>
      <c r="GF323" s="316"/>
      <c r="GG323" s="316"/>
    </row>
    <row r="324" spans="1:189" ht="4.5" customHeight="1" outlineLevel="1" x14ac:dyDescent="0.3">
      <c r="A324" s="1"/>
      <c r="B324" s="301"/>
      <c r="C324" s="301"/>
      <c r="D324" s="301"/>
      <c r="E324" s="301"/>
      <c r="F324" s="301"/>
      <c r="G324" s="5"/>
      <c r="H324" s="5"/>
      <c r="I324" s="284"/>
      <c r="J324" s="281"/>
      <c r="K324" s="280"/>
      <c r="L324" s="281"/>
      <c r="M324" s="284"/>
      <c r="N324" s="281"/>
      <c r="O324" s="284"/>
      <c r="P324" s="281"/>
      <c r="Q324" s="284"/>
      <c r="R324" s="281"/>
      <c r="S324" s="280"/>
      <c r="T324" s="281"/>
      <c r="U324" s="284"/>
      <c r="V324" s="281"/>
      <c r="W324" s="284"/>
      <c r="X324" s="281"/>
      <c r="Y324" s="284"/>
      <c r="Z324" s="281"/>
      <c r="AA324" s="284"/>
      <c r="AB324" s="281"/>
      <c r="AC324" s="284"/>
      <c r="AD324" s="281"/>
      <c r="AE324" s="284"/>
      <c r="AF324" s="281"/>
      <c r="AG324" s="284"/>
      <c r="AH324" s="281"/>
      <c r="AI324" s="284"/>
      <c r="AJ324" s="281"/>
      <c r="AK324" s="284"/>
      <c r="AL324" s="281"/>
      <c r="AM324" s="284"/>
      <c r="AN324" s="281"/>
      <c r="AO324" s="284"/>
      <c r="AP324" s="281"/>
      <c r="AQ324" s="284"/>
      <c r="AR324" s="281"/>
      <c r="AS324" s="284"/>
      <c r="AT324" s="281"/>
      <c r="AU324" s="284"/>
      <c r="AV324" s="281"/>
      <c r="AW324" s="284"/>
      <c r="AX324" s="281"/>
      <c r="AY324" s="284"/>
      <c r="AZ324" s="281"/>
      <c r="BA324" s="284"/>
      <c r="BB324" s="281"/>
      <c r="BC324" s="284"/>
      <c r="BD324" s="281"/>
      <c r="BE324" s="284"/>
      <c r="BF324" s="281"/>
      <c r="BG324" s="284"/>
      <c r="BH324" s="281"/>
      <c r="BI324" s="284"/>
      <c r="BJ324" s="281"/>
      <c r="BK324" s="284"/>
      <c r="BL324" s="281"/>
      <c r="BM324" s="284"/>
      <c r="BN324" s="281"/>
      <c r="BO324" s="284"/>
      <c r="BP324" s="281"/>
      <c r="BQ324" s="284"/>
      <c r="BR324" s="281"/>
      <c r="BS324" s="284"/>
      <c r="BT324" s="281"/>
      <c r="BU324" s="284"/>
      <c r="BV324" s="281"/>
      <c r="BW324" s="284"/>
      <c r="BX324" s="281"/>
      <c r="BY324" s="284"/>
      <c r="BZ324" s="281"/>
      <c r="CA324" s="284"/>
      <c r="CB324" s="281"/>
      <c r="CC324" s="284"/>
      <c r="CD324" s="281"/>
      <c r="CE324" s="284"/>
      <c r="CF324" s="281"/>
      <c r="CG324" s="284"/>
      <c r="CH324" s="281"/>
      <c r="CI324" s="284"/>
      <c r="CJ324" s="281"/>
      <c r="CK324" s="284"/>
      <c r="CL324" s="281"/>
      <c r="CM324" s="284"/>
      <c r="CN324" s="281"/>
      <c r="CO324" s="284"/>
      <c r="CP324" s="281"/>
      <c r="CQ324" s="284"/>
      <c r="CR324" s="281"/>
      <c r="CS324" s="284"/>
      <c r="CT324" s="281"/>
      <c r="CU324" s="284"/>
      <c r="CV324" s="281"/>
      <c r="CW324" s="284"/>
      <c r="CX324" s="281"/>
      <c r="CY324" s="284"/>
      <c r="CZ324" s="281"/>
      <c r="DA324" s="284"/>
      <c r="DB324" s="281"/>
      <c r="DC324" s="284"/>
      <c r="DD324" s="281"/>
      <c r="DE324" s="284"/>
      <c r="DF324" s="281"/>
      <c r="DG324" s="284"/>
      <c r="DH324" s="281"/>
      <c r="DI324" s="284"/>
      <c r="DJ324" s="281"/>
      <c r="DK324" s="284"/>
      <c r="DL324" s="281"/>
      <c r="DM324" s="284"/>
      <c r="DN324" s="281"/>
      <c r="DO324" s="284"/>
      <c r="DP324" s="281"/>
      <c r="DQ324" s="284"/>
      <c r="DR324" s="281"/>
      <c r="DS324" s="284"/>
      <c r="DT324" s="281"/>
      <c r="DU324" s="301"/>
      <c r="DV324" s="301"/>
      <c r="DW324" s="301"/>
      <c r="DX324" s="301"/>
      <c r="DY324" s="301"/>
      <c r="DZ324" s="301"/>
      <c r="EA324" s="301"/>
      <c r="EB324" s="301"/>
      <c r="EC324" s="301"/>
      <c r="ED324" s="301"/>
      <c r="EE324" s="301"/>
      <c r="EF324" s="301"/>
      <c r="EG324" s="301"/>
      <c r="EH324" s="301"/>
      <c r="EI324" s="301"/>
      <c r="EJ324" s="301"/>
      <c r="EK324" s="301"/>
      <c r="EL324" s="301"/>
      <c r="EM324" s="395"/>
      <c r="EN324" s="284"/>
      <c r="EO324" s="281"/>
      <c r="EP324" s="284"/>
      <c r="EQ324" s="281"/>
      <c r="ER324" s="284"/>
      <c r="ES324" s="281"/>
      <c r="ET324" s="284"/>
      <c r="EU324" s="281"/>
      <c r="EV324" s="284"/>
      <c r="EW324" s="281"/>
      <c r="EX324" s="284"/>
      <c r="EY324" s="281"/>
      <c r="EZ324" s="284"/>
      <c r="FA324" s="281"/>
      <c r="FB324" s="284"/>
      <c r="FC324" s="281"/>
      <c r="FD324" s="284"/>
      <c r="FE324" s="281"/>
      <c r="FF324" s="284"/>
      <c r="FG324" s="281"/>
      <c r="FH324" s="284"/>
      <c r="FI324" s="281"/>
      <c r="FJ324" s="284"/>
      <c r="FK324" s="281"/>
      <c r="FL324" s="284"/>
      <c r="FM324" s="281"/>
      <c r="FN324" s="284"/>
      <c r="FO324" s="281"/>
      <c r="FP324" s="284"/>
      <c r="FQ324" s="281"/>
      <c r="FR324" s="395"/>
      <c r="FS324" s="395"/>
      <c r="FT324" s="395"/>
      <c r="FU324" s="395"/>
      <c r="FV324" s="395"/>
      <c r="FW324" s="395"/>
      <c r="FX324" s="395"/>
      <c r="FY324" s="395"/>
      <c r="FZ324" s="395"/>
      <c r="GA324" s="395"/>
      <c r="GB324" s="395"/>
      <c r="GC324" s="395"/>
      <c r="GD324" s="395"/>
      <c r="GE324" s="395"/>
      <c r="GF324" s="317"/>
      <c r="GG324" s="317"/>
    </row>
    <row r="325" spans="1:189" ht="15" customHeight="1" outlineLevel="1" x14ac:dyDescent="0.3">
      <c r="A325" s="1"/>
      <c r="B325" s="301"/>
      <c r="C325" s="301"/>
      <c r="D325" s="301"/>
      <c r="E325" s="301"/>
      <c r="F325" s="301"/>
      <c r="G325" s="5" t="s">
        <v>30</v>
      </c>
      <c r="H325" s="5"/>
      <c r="I325" s="283">
        <f>I327/I326</f>
        <v>0.4976377318646707</v>
      </c>
      <c r="J325" s="281"/>
      <c r="K325" s="283">
        <f>K327/K326</f>
        <v>0.49905510060399449</v>
      </c>
      <c r="L325" s="281"/>
      <c r="M325" s="283">
        <f>M327/M326</f>
        <v>0.51867387678778998</v>
      </c>
      <c r="N325" s="281"/>
      <c r="O325" s="283">
        <f>O327/O326</f>
        <v>0.50853323785654614</v>
      </c>
      <c r="P325" s="281"/>
      <c r="Q325" s="283">
        <f>Q327/Q326</f>
        <v>0.50743598345074359</v>
      </c>
      <c r="R325" s="281"/>
      <c r="S325" s="283">
        <f>S327/S326</f>
        <v>0.49062278839348905</v>
      </c>
      <c r="T325" s="281"/>
      <c r="U325" s="283">
        <f>U327/U326</f>
        <v>0.51414680262002832</v>
      </c>
      <c r="V325" s="281"/>
      <c r="W325" s="283">
        <f>W327/W326</f>
        <v>0.52152161600906177</v>
      </c>
      <c r="X325" s="281"/>
      <c r="Y325" s="283">
        <f>Y327/Y326</f>
        <v>0.48890389376547377</v>
      </c>
      <c r="Z325" s="281"/>
      <c r="AA325" s="283">
        <f>AA327/AA326</f>
        <v>0.4821793060135029</v>
      </c>
      <c r="AB325" s="281"/>
      <c r="AC325" s="283">
        <f>AC327/AC326</f>
        <v>0.47536768487092462</v>
      </c>
      <c r="AD325" s="281"/>
      <c r="AE325" s="283">
        <f>AE327/AE326</f>
        <v>0.48219042309360094</v>
      </c>
      <c r="AF325" s="281"/>
      <c r="AG325" s="283">
        <f>AG327/AG326</f>
        <v>0.47539241334205362</v>
      </c>
      <c r="AH325" s="281"/>
      <c r="AI325" s="283">
        <f>AI327/AI326</f>
        <v>0.41874748288360852</v>
      </c>
      <c r="AJ325" s="281"/>
      <c r="AK325" s="283">
        <f>AK327/AK326</f>
        <v>0.41754945157963813</v>
      </c>
      <c r="AL325" s="281"/>
      <c r="AM325" s="283">
        <f>AM327/AM326</f>
        <v>0.54347826086956519</v>
      </c>
      <c r="AN325" s="281"/>
      <c r="AO325" s="283">
        <f>AO327/AO326</f>
        <v>0.5841663045052875</v>
      </c>
      <c r="AP325" s="281"/>
      <c r="AQ325" s="283">
        <f>AQ327/AQ326</f>
        <v>0.43858933849760473</v>
      </c>
      <c r="AR325" s="281"/>
      <c r="AS325" s="283">
        <f>AS327/AS326</f>
        <v>0.48546109111049573</v>
      </c>
      <c r="AT325" s="281"/>
      <c r="AU325" s="283">
        <f>AU327/AU326</f>
        <v>0.57726747544771806</v>
      </c>
      <c r="AV325" s="281"/>
      <c r="AW325" s="283">
        <f>AW327/AW326</f>
        <v>0.58660307825709945</v>
      </c>
      <c r="AX325" s="281"/>
      <c r="AY325" s="283">
        <f>AY327/AY326</f>
        <v>0.48936170212765956</v>
      </c>
      <c r="AZ325" s="281"/>
      <c r="BA325" s="283">
        <f>BA327/BA326</f>
        <v>0.41955098222637982</v>
      </c>
      <c r="BB325" s="281"/>
      <c r="BC325" s="283">
        <f>BC327/BC326</f>
        <v>0.39249076733688965</v>
      </c>
      <c r="BD325" s="281"/>
      <c r="BE325" s="283">
        <f>BE327/BE326</f>
        <v>0.48543386820377005</v>
      </c>
      <c r="BF325" s="281"/>
      <c r="BG325" s="283">
        <f>BG327/BG326</f>
        <v>0.43617630223239839</v>
      </c>
      <c r="BH325" s="281"/>
      <c r="BI325" s="283">
        <f>BI327/BI326</f>
        <v>0.44570732697381776</v>
      </c>
      <c r="BJ325" s="281"/>
      <c r="BK325" s="283">
        <f>BK327/BK326</f>
        <v>0.41730465427147889</v>
      </c>
      <c r="BL325" s="281"/>
      <c r="BM325" s="283">
        <f>BM327/BM326</f>
        <v>0.37790604457271126</v>
      </c>
      <c r="BN325" s="281"/>
      <c r="BO325" s="283">
        <f>BO327/BO326</f>
        <v>0.40840661797585331</v>
      </c>
      <c r="BP325" s="281"/>
      <c r="BQ325" s="283">
        <f>BQ327/BQ326</f>
        <v>0.39647016011644831</v>
      </c>
      <c r="BR325" s="281"/>
      <c r="BS325" s="283">
        <f>BS327/BS326</f>
        <v>0.47562633521072051</v>
      </c>
      <c r="BT325" s="281"/>
      <c r="BU325" s="283">
        <f>BU327/BU326</f>
        <v>0.44340743254708975</v>
      </c>
      <c r="BV325" s="281"/>
      <c r="BW325" s="283">
        <f>BW327/BW326</f>
        <v>0.42176215695714975</v>
      </c>
      <c r="BX325" s="281"/>
      <c r="BY325" s="283">
        <f>BY327/BY326</f>
        <v>0.40298066991294085</v>
      </c>
      <c r="BZ325" s="281"/>
      <c r="CA325" s="283">
        <f>CA327/CA326</f>
        <v>0.40386061669591378</v>
      </c>
      <c r="CB325" s="281"/>
      <c r="CC325" s="283">
        <f>CC327/CC326</f>
        <v>0.43493303571428571</v>
      </c>
      <c r="CD325" s="281"/>
      <c r="CE325" s="283">
        <f>CE327/CE326</f>
        <v>0.4679096450340624</v>
      </c>
      <c r="CF325" s="281"/>
      <c r="CG325" s="283">
        <f>CG327/CG326</f>
        <v>0.53654524089306699</v>
      </c>
      <c r="CH325" s="281"/>
      <c r="CI325" s="283">
        <f>CI327/CI326</f>
        <v>0.47184425371572114</v>
      </c>
      <c r="CJ325" s="281"/>
      <c r="CK325" s="283">
        <f>CK327/CK326</f>
        <v>0.46796276013143484</v>
      </c>
      <c r="CL325" s="281"/>
      <c r="CM325" s="283">
        <f>CM327/CM326</f>
        <v>0.51114142792178263</v>
      </c>
      <c r="CN325" s="281"/>
      <c r="CO325" s="283">
        <f>CO327/CO326</f>
        <v>0.49542379625945088</v>
      </c>
      <c r="CP325" s="281"/>
      <c r="CQ325" s="283">
        <f>CQ327/CQ326</f>
        <v>0.44006462035541194</v>
      </c>
      <c r="CR325" s="281"/>
      <c r="CS325" s="283">
        <f>CS327/CS326</f>
        <v>0.41786743515850144</v>
      </c>
      <c r="CT325" s="281"/>
      <c r="CU325" s="283">
        <f>CU327/CU326</f>
        <v>0.47065559690810194</v>
      </c>
      <c r="CV325" s="281"/>
      <c r="CW325" s="283">
        <f>CW327/CW326</f>
        <v>0.47715109098394404</v>
      </c>
      <c r="CX325" s="281"/>
      <c r="CY325" s="283">
        <f>CY327/CY326</f>
        <v>0.44159072079536038</v>
      </c>
      <c r="CZ325" s="281"/>
      <c r="DA325" s="283">
        <f>DA327/DA326</f>
        <v>0.43822254335260113</v>
      </c>
      <c r="DB325" s="281"/>
      <c r="DC325" s="283">
        <f>DC327/DC326</f>
        <v>0.47981859410430838</v>
      </c>
      <c r="DD325" s="281"/>
      <c r="DE325" s="283">
        <f>DE327/DE326</f>
        <v>0.48748991121872476</v>
      </c>
      <c r="DF325" s="281"/>
      <c r="DG325" s="283">
        <f>DG327/DG326</f>
        <v>0.48609226594301219</v>
      </c>
      <c r="DH325" s="281"/>
      <c r="DI325" s="283">
        <f>DI327/DI326</f>
        <v>0.4567185802245563</v>
      </c>
      <c r="DJ325" s="281"/>
      <c r="DK325" s="283">
        <f>DK327/DK326</f>
        <v>0.50826771653543312</v>
      </c>
      <c r="DL325" s="281"/>
      <c r="DM325" s="283">
        <f>DM327/DM326</f>
        <v>0.49455676516329705</v>
      </c>
      <c r="DN325" s="281"/>
      <c r="DO325" s="283">
        <f>DO327/DO326</f>
        <v>0.4140203714799281</v>
      </c>
      <c r="DP325" s="281"/>
      <c r="DQ325" s="283">
        <f>DQ327/DQ326</f>
        <v>0.45952109464082097</v>
      </c>
      <c r="DR325" s="281"/>
      <c r="DS325" s="283">
        <f>DS327/DS326</f>
        <v>0.53676470588235292</v>
      </c>
      <c r="DT325" s="281"/>
      <c r="DU325" s="301"/>
      <c r="DV325" s="301"/>
      <c r="DW325" s="301"/>
      <c r="DX325" s="301"/>
      <c r="DY325" s="301"/>
      <c r="DZ325" s="301"/>
      <c r="EA325" s="301"/>
      <c r="EB325" s="301"/>
      <c r="EC325" s="301"/>
      <c r="ED325" s="301"/>
      <c r="EE325" s="301"/>
      <c r="EF325" s="301"/>
      <c r="EG325" s="301"/>
      <c r="EH325" s="301"/>
      <c r="EI325" s="301"/>
      <c r="EJ325" s="301"/>
      <c r="EK325" s="301"/>
      <c r="EL325" s="301"/>
      <c r="EM325" s="395"/>
      <c r="EN325" s="283">
        <f>EN327/EN326</f>
        <v>0.56303069888961466</v>
      </c>
      <c r="EO325" s="281"/>
      <c r="EP325" s="283">
        <f>EP327/EP326</f>
        <v>0.51242236024844723</v>
      </c>
      <c r="EQ325" s="281"/>
      <c r="ER325" s="283">
        <f>ER327/ER326</f>
        <v>0.46919431279620855</v>
      </c>
      <c r="ES325" s="281"/>
      <c r="ET325" s="283">
        <f>ET327/ET326</f>
        <v>0.4345594525235244</v>
      </c>
      <c r="EU325" s="281"/>
      <c r="EV325" s="283">
        <f>EV327/EV326</f>
        <v>0.42059463379260331</v>
      </c>
      <c r="EW325" s="281"/>
      <c r="EX325" s="283">
        <f>EX327/EX326</f>
        <v>0.39435600578871199</v>
      </c>
      <c r="EY325" s="281"/>
      <c r="EZ325" s="283">
        <f>EZ327/EZ326</f>
        <v>0.4257167680278019</v>
      </c>
      <c r="FA325" s="281"/>
      <c r="FB325" s="283">
        <f>FB327/FB326</f>
        <v>0.49211908931698772</v>
      </c>
      <c r="FC325" s="281"/>
      <c r="FD325" s="283">
        <f>FD327/FD326</f>
        <v>0.37617554858934171</v>
      </c>
      <c r="FE325" s="281"/>
      <c r="FF325" s="283">
        <f>FF327/FF326</f>
        <v>0.35573122529644269</v>
      </c>
      <c r="FG325" s="281"/>
      <c r="FH325" s="283">
        <f>FH327/FH326</f>
        <v>0.35687732342007433</v>
      </c>
      <c r="FI325" s="281"/>
      <c r="FJ325" s="283">
        <f>FJ327/FJ326</f>
        <v>0.37344028520499106</v>
      </c>
      <c r="FK325" s="281"/>
      <c r="FL325" s="283">
        <f>FL327/FL326</f>
        <v>0.41422594142259417</v>
      </c>
      <c r="FM325" s="281"/>
      <c r="FN325" s="283">
        <f>FN327/FN326</f>
        <v>0.46414728682170542</v>
      </c>
      <c r="FO325" s="281"/>
      <c r="FP325" s="283">
        <f>FP327/FP326</f>
        <v>0.38991389913899138</v>
      </c>
      <c r="FQ325" s="281"/>
      <c r="FR325" s="395"/>
      <c r="FS325" s="395"/>
      <c r="FT325" s="395"/>
      <c r="FU325" s="395"/>
      <c r="FV325" s="395"/>
      <c r="FW325" s="395"/>
      <c r="FX325" s="395"/>
      <c r="FY325" s="395"/>
      <c r="FZ325" s="395"/>
      <c r="GA325" s="395"/>
      <c r="GB325" s="395"/>
      <c r="GC325" s="395"/>
      <c r="GD325" s="395"/>
      <c r="GE325" s="395"/>
      <c r="GF325" s="317"/>
      <c r="GG325" s="317"/>
    </row>
    <row r="326" spans="1:189" ht="15" customHeight="1" outlineLevel="1" x14ac:dyDescent="0.3">
      <c r="A326" s="1"/>
      <c r="B326" s="301"/>
      <c r="C326" s="301"/>
      <c r="D326" s="301"/>
      <c r="E326" s="301"/>
      <c r="F326" s="301"/>
      <c r="G326" s="5" t="s">
        <v>252</v>
      </c>
      <c r="H326" s="5"/>
      <c r="I326" s="284">
        <f t="shared" ref="I326:I327" si="722">SUM(K326:AH326)</f>
        <v>223514</v>
      </c>
      <c r="J326" s="281"/>
      <c r="K326" s="284">
        <v>26987</v>
      </c>
      <c r="L326" s="281"/>
      <c r="M326" s="284">
        <v>19787</v>
      </c>
      <c r="N326" s="281"/>
      <c r="O326" s="284">
        <v>16758</v>
      </c>
      <c r="P326" s="281"/>
      <c r="Q326" s="284">
        <v>17886</v>
      </c>
      <c r="R326" s="281"/>
      <c r="S326" s="284">
        <v>16956</v>
      </c>
      <c r="T326" s="281"/>
      <c r="U326" s="284">
        <v>14809</v>
      </c>
      <c r="V326" s="281"/>
      <c r="W326" s="284">
        <v>21188</v>
      </c>
      <c r="X326" s="281"/>
      <c r="Y326" s="284">
        <v>22215</v>
      </c>
      <c r="Z326" s="281"/>
      <c r="AA326" s="284">
        <v>19107</v>
      </c>
      <c r="AB326" s="281"/>
      <c r="AC326" s="284">
        <v>19446</v>
      </c>
      <c r="AD326" s="281"/>
      <c r="AE326" s="284">
        <v>16143</v>
      </c>
      <c r="AF326" s="281"/>
      <c r="AG326" s="284">
        <v>12232</v>
      </c>
      <c r="AH326" s="281"/>
      <c r="AI326" s="284">
        <v>9932</v>
      </c>
      <c r="AJ326" s="281"/>
      <c r="AK326" s="284">
        <v>10667</v>
      </c>
      <c r="AL326" s="281"/>
      <c r="AM326" s="284">
        <f>6670</f>
        <v>6670</v>
      </c>
      <c r="AN326" s="281"/>
      <c r="AO326" s="284">
        <v>13806</v>
      </c>
      <c r="AP326" s="281"/>
      <c r="AQ326" s="284">
        <v>9811</v>
      </c>
      <c r="AR326" s="281"/>
      <c r="AS326" s="284">
        <v>7222</v>
      </c>
      <c r="AT326" s="281"/>
      <c r="AU326" s="284">
        <v>6924</v>
      </c>
      <c r="AV326" s="281"/>
      <c r="AW326" s="284">
        <v>4613</v>
      </c>
      <c r="AX326" s="281"/>
      <c r="AY326" s="284">
        <v>4606</v>
      </c>
      <c r="AZ326" s="281"/>
      <c r="BA326" s="284">
        <v>4276</v>
      </c>
      <c r="BB326" s="281"/>
      <c r="BC326" s="284">
        <v>4874</v>
      </c>
      <c r="BD326" s="281"/>
      <c r="BE326" s="284">
        <v>6419</v>
      </c>
      <c r="BF326" s="281"/>
      <c r="BG326" s="284">
        <v>5241</v>
      </c>
      <c r="BH326" s="281"/>
      <c r="BI326" s="284">
        <v>4927</v>
      </c>
      <c r="BJ326" s="281"/>
      <c r="BK326" s="284">
        <v>8229</v>
      </c>
      <c r="BL326" s="281"/>
      <c r="BM326" s="284">
        <v>6237</v>
      </c>
      <c r="BN326" s="281"/>
      <c r="BO326" s="335">
        <v>6709</v>
      </c>
      <c r="BP326" s="281"/>
      <c r="BQ326" s="284">
        <v>5496</v>
      </c>
      <c r="BR326" s="281"/>
      <c r="BS326" s="284">
        <v>5149</v>
      </c>
      <c r="BT326" s="281"/>
      <c r="BU326" s="284">
        <v>5893</v>
      </c>
      <c r="BV326" s="281"/>
      <c r="BW326" s="284">
        <v>6231</v>
      </c>
      <c r="BX326" s="281"/>
      <c r="BY326" s="284">
        <v>6777</v>
      </c>
      <c r="BZ326" s="281"/>
      <c r="CA326" s="284">
        <v>7978</v>
      </c>
      <c r="CB326" s="281"/>
      <c r="CC326" s="284">
        <v>8960</v>
      </c>
      <c r="CD326" s="281"/>
      <c r="CE326" s="284">
        <v>5578</v>
      </c>
      <c r="CF326" s="281"/>
      <c r="CG326" s="401">
        <v>4255</v>
      </c>
      <c r="CH326" s="281"/>
      <c r="CI326" s="401">
        <f>2523+2254</f>
        <v>4777</v>
      </c>
      <c r="CJ326" s="281"/>
      <c r="CK326" s="401">
        <f>1943+1709</f>
        <v>3652</v>
      </c>
      <c r="CL326" s="281"/>
      <c r="CM326" s="401">
        <f>2150+CM327</f>
        <v>4398</v>
      </c>
      <c r="CN326" s="281"/>
      <c r="CO326" s="401">
        <f>1268+CO327</f>
        <v>2513</v>
      </c>
      <c r="CP326" s="281"/>
      <c r="CQ326" s="401">
        <f>1733+CQ327</f>
        <v>3095</v>
      </c>
      <c r="CR326" s="281"/>
      <c r="CS326" s="401">
        <f>2222+CS327</f>
        <v>3817</v>
      </c>
      <c r="CT326" s="281"/>
      <c r="CU326" s="401">
        <f>1849+CU327</f>
        <v>3493</v>
      </c>
      <c r="CV326" s="281"/>
      <c r="CW326" s="401">
        <f>1270+CW327</f>
        <v>2429</v>
      </c>
      <c r="CX326" s="281"/>
      <c r="CY326" s="401">
        <f>1348+CY327</f>
        <v>2414</v>
      </c>
      <c r="CZ326" s="281"/>
      <c r="DA326" s="401">
        <f>1555+DA327</f>
        <v>2768</v>
      </c>
      <c r="DB326" s="281"/>
      <c r="DC326" s="401">
        <f>1147+DC327</f>
        <v>2205</v>
      </c>
      <c r="DD326" s="281"/>
      <c r="DE326" s="401">
        <f>1270+DE327</f>
        <v>2478</v>
      </c>
      <c r="DF326" s="281"/>
      <c r="DG326" s="401">
        <f>1515+DG327</f>
        <v>2948</v>
      </c>
      <c r="DH326" s="281"/>
      <c r="DI326" s="401">
        <f>1500+DI327</f>
        <v>2761</v>
      </c>
      <c r="DJ326" s="281"/>
      <c r="DK326" s="401">
        <f>1249+DK327</f>
        <v>2540</v>
      </c>
      <c r="DL326" s="281"/>
      <c r="DM326" s="401">
        <f>975+DM327</f>
        <v>1929</v>
      </c>
      <c r="DN326" s="281"/>
      <c r="DO326" s="401">
        <f>978+DO327</f>
        <v>1669</v>
      </c>
      <c r="DP326" s="281"/>
      <c r="DQ326" s="401">
        <f>948+DQ327</f>
        <v>1754</v>
      </c>
      <c r="DR326" s="281"/>
      <c r="DS326" s="401">
        <f>630+DS327</f>
        <v>1360</v>
      </c>
      <c r="DT326" s="281"/>
      <c r="DU326" s="301"/>
      <c r="DV326" s="301"/>
      <c r="DW326" s="301"/>
      <c r="DX326" s="301"/>
      <c r="DY326" s="301"/>
      <c r="DZ326" s="301"/>
      <c r="EA326" s="301"/>
      <c r="EB326" s="301"/>
      <c r="EC326" s="301"/>
      <c r="ED326" s="301"/>
      <c r="EE326" s="301"/>
      <c r="EF326" s="301"/>
      <c r="EG326" s="301"/>
      <c r="EH326" s="301"/>
      <c r="EI326" s="301"/>
      <c r="EJ326" s="301"/>
      <c r="EK326" s="301"/>
      <c r="EL326" s="301"/>
      <c r="EM326" s="395"/>
      <c r="EN326" s="401">
        <f>669+EN327</f>
        <v>1531</v>
      </c>
      <c r="EO326" s="281"/>
      <c r="EP326" s="401">
        <f>628+EP327</f>
        <v>1288</v>
      </c>
      <c r="EQ326" s="281"/>
      <c r="ER326" s="401">
        <f>560+ER327</f>
        <v>1055</v>
      </c>
      <c r="ES326" s="281"/>
      <c r="ET326" s="401">
        <f>661+ET327</f>
        <v>1169</v>
      </c>
      <c r="EU326" s="281"/>
      <c r="EV326" s="401">
        <f>799+EV327</f>
        <v>1379</v>
      </c>
      <c r="EW326" s="281"/>
      <c r="EX326" s="401">
        <f>837+EX327</f>
        <v>1382</v>
      </c>
      <c r="EY326" s="281"/>
      <c r="EZ326" s="401">
        <f>661+EZ327</f>
        <v>1151</v>
      </c>
      <c r="FA326" s="281"/>
      <c r="FB326" s="398">
        <f>870+FB327</f>
        <v>1713</v>
      </c>
      <c r="FC326" s="399"/>
      <c r="FD326" s="398">
        <f>796+FD327</f>
        <v>1276</v>
      </c>
      <c r="FE326" s="399"/>
      <c r="FF326" s="398">
        <f>815+FF327</f>
        <v>1265</v>
      </c>
      <c r="FG326" s="399"/>
      <c r="FH326" s="398">
        <f>865+FH327</f>
        <v>1345</v>
      </c>
      <c r="FI326" s="399"/>
      <c r="FJ326" s="398">
        <f>703+FJ327</f>
        <v>1122</v>
      </c>
      <c r="FK326" s="399"/>
      <c r="FL326" s="398">
        <f>700+FL327</f>
        <v>1195</v>
      </c>
      <c r="FM326" s="399"/>
      <c r="FN326" s="401">
        <f>479+553</f>
        <v>1032</v>
      </c>
      <c r="FO326" s="281"/>
      <c r="FP326" s="401">
        <v>813</v>
      </c>
      <c r="FQ326" s="281"/>
      <c r="FR326" s="395"/>
      <c r="FS326" s="395"/>
      <c r="FT326" s="395"/>
      <c r="FU326" s="395"/>
      <c r="FV326" s="395"/>
      <c r="FW326" s="395"/>
      <c r="FX326" s="395"/>
      <c r="FY326" s="395"/>
      <c r="FZ326" s="395"/>
      <c r="GA326" s="395"/>
      <c r="GB326" s="395"/>
      <c r="GC326" s="395"/>
      <c r="GD326" s="395"/>
      <c r="GE326" s="395"/>
      <c r="GF326" s="317"/>
      <c r="GG326" s="317"/>
    </row>
    <row r="327" spans="1:189" ht="15" customHeight="1" outlineLevel="1" x14ac:dyDescent="0.3">
      <c r="A327" s="1"/>
      <c r="B327" s="302"/>
      <c r="C327" s="302"/>
      <c r="D327" s="302"/>
      <c r="E327" s="302"/>
      <c r="F327" s="302"/>
      <c r="G327" s="5" t="s">
        <v>253</v>
      </c>
      <c r="H327" s="5"/>
      <c r="I327" s="284">
        <f t="shared" si="722"/>
        <v>111229</v>
      </c>
      <c r="J327" s="281"/>
      <c r="K327" s="284">
        <v>13468</v>
      </c>
      <c r="L327" s="281"/>
      <c r="M327" s="284">
        <v>10263</v>
      </c>
      <c r="N327" s="281"/>
      <c r="O327" s="284">
        <v>8522</v>
      </c>
      <c r="P327" s="281"/>
      <c r="Q327" s="284">
        <v>9076</v>
      </c>
      <c r="R327" s="281"/>
      <c r="S327" s="284">
        <v>8319</v>
      </c>
      <c r="T327" s="281"/>
      <c r="U327" s="284">
        <v>7614</v>
      </c>
      <c r="V327" s="281"/>
      <c r="W327" s="284">
        <v>11050</v>
      </c>
      <c r="X327" s="281"/>
      <c r="Y327" s="284">
        <v>10861</v>
      </c>
      <c r="Z327" s="281"/>
      <c r="AA327" s="284">
        <v>9213</v>
      </c>
      <c r="AB327" s="281"/>
      <c r="AC327" s="284">
        <v>9244</v>
      </c>
      <c r="AD327" s="281"/>
      <c r="AE327" s="284">
        <v>7784</v>
      </c>
      <c r="AF327" s="281"/>
      <c r="AG327" s="284">
        <v>5815</v>
      </c>
      <c r="AH327" s="281"/>
      <c r="AI327" s="284">
        <v>4159</v>
      </c>
      <c r="AJ327" s="281"/>
      <c r="AK327" s="284">
        <v>4454</v>
      </c>
      <c r="AL327" s="281"/>
      <c r="AM327" s="284">
        <v>3625</v>
      </c>
      <c r="AN327" s="281"/>
      <c r="AO327" s="284">
        <v>8065</v>
      </c>
      <c r="AP327" s="281"/>
      <c r="AQ327" s="284">
        <v>4303</v>
      </c>
      <c r="AR327" s="281"/>
      <c r="AS327" s="284">
        <v>3506</v>
      </c>
      <c r="AT327" s="281"/>
      <c r="AU327" s="284">
        <v>3997</v>
      </c>
      <c r="AV327" s="281"/>
      <c r="AW327" s="284">
        <v>2706</v>
      </c>
      <c r="AX327" s="281"/>
      <c r="AY327" s="284">
        <v>2254</v>
      </c>
      <c r="AZ327" s="281"/>
      <c r="BA327" s="284">
        <v>1794</v>
      </c>
      <c r="BB327" s="281"/>
      <c r="BC327" s="284">
        <v>1913</v>
      </c>
      <c r="BD327" s="281"/>
      <c r="BE327" s="284">
        <v>3116</v>
      </c>
      <c r="BF327" s="281"/>
      <c r="BG327" s="284">
        <v>2286</v>
      </c>
      <c r="BH327" s="281"/>
      <c r="BI327" s="284">
        <v>2196</v>
      </c>
      <c r="BJ327" s="281"/>
      <c r="BK327" s="284">
        <v>3434</v>
      </c>
      <c r="BL327" s="281"/>
      <c r="BM327" s="284">
        <v>2357</v>
      </c>
      <c r="BN327" s="281"/>
      <c r="BO327" s="335">
        <v>2740</v>
      </c>
      <c r="BP327" s="281"/>
      <c r="BQ327" s="284">
        <v>2179</v>
      </c>
      <c r="BR327" s="281"/>
      <c r="BS327" s="284">
        <v>2449</v>
      </c>
      <c r="BT327" s="281"/>
      <c r="BU327" s="284">
        <v>2613</v>
      </c>
      <c r="BV327" s="281"/>
      <c r="BW327" s="284">
        <v>2628</v>
      </c>
      <c r="BX327" s="281"/>
      <c r="BY327" s="284">
        <v>2731</v>
      </c>
      <c r="BZ327" s="281"/>
      <c r="CA327" s="284">
        <v>3222</v>
      </c>
      <c r="CB327" s="281"/>
      <c r="CC327" s="284">
        <v>3897</v>
      </c>
      <c r="CD327" s="281"/>
      <c r="CE327" s="284">
        <v>2610</v>
      </c>
      <c r="CF327" s="281"/>
      <c r="CG327" s="284">
        <v>2283</v>
      </c>
      <c r="CH327" s="281"/>
      <c r="CI327" s="284">
        <v>2254</v>
      </c>
      <c r="CJ327" s="281"/>
      <c r="CK327" s="284">
        <v>1709</v>
      </c>
      <c r="CL327" s="281"/>
      <c r="CM327" s="284">
        <v>2248</v>
      </c>
      <c r="CN327" s="281"/>
      <c r="CO327" s="284">
        <v>1245</v>
      </c>
      <c r="CP327" s="281"/>
      <c r="CQ327" s="284">
        <v>1362</v>
      </c>
      <c r="CR327" s="281"/>
      <c r="CS327" s="284">
        <v>1595</v>
      </c>
      <c r="CT327" s="281"/>
      <c r="CU327" s="284">
        <v>1644</v>
      </c>
      <c r="CV327" s="281"/>
      <c r="CW327" s="284">
        <v>1159</v>
      </c>
      <c r="CX327" s="281"/>
      <c r="CY327" s="284">
        <v>1066</v>
      </c>
      <c r="CZ327" s="281"/>
      <c r="DA327" s="284">
        <v>1213</v>
      </c>
      <c r="DB327" s="281"/>
      <c r="DC327" s="284">
        <v>1058</v>
      </c>
      <c r="DD327" s="281"/>
      <c r="DE327" s="284">
        <v>1208</v>
      </c>
      <c r="DF327" s="281"/>
      <c r="DG327" s="284">
        <v>1433</v>
      </c>
      <c r="DH327" s="281"/>
      <c r="DI327" s="284">
        <v>1261</v>
      </c>
      <c r="DJ327" s="281"/>
      <c r="DK327" s="284">
        <v>1291</v>
      </c>
      <c r="DL327" s="281"/>
      <c r="DM327" s="284">
        <v>954</v>
      </c>
      <c r="DN327" s="281"/>
      <c r="DO327" s="284">
        <v>691</v>
      </c>
      <c r="DP327" s="281"/>
      <c r="DQ327" s="284">
        <v>806</v>
      </c>
      <c r="DR327" s="281"/>
      <c r="DS327" s="284">
        <v>730</v>
      </c>
      <c r="DT327" s="281"/>
      <c r="DU327" s="302"/>
      <c r="DV327" s="302"/>
      <c r="DW327" s="302"/>
      <c r="DX327" s="302"/>
      <c r="DY327" s="302"/>
      <c r="DZ327" s="302"/>
      <c r="EA327" s="302"/>
      <c r="EB327" s="302"/>
      <c r="EC327" s="302"/>
      <c r="ED327" s="302"/>
      <c r="EE327" s="302"/>
      <c r="EF327" s="302"/>
      <c r="EG327" s="302"/>
      <c r="EH327" s="302"/>
      <c r="EI327" s="302"/>
      <c r="EJ327" s="302"/>
      <c r="EK327" s="302"/>
      <c r="EL327" s="302"/>
      <c r="EM327" s="396"/>
      <c r="EN327" s="284">
        <v>862</v>
      </c>
      <c r="EO327" s="281"/>
      <c r="EP327" s="284">
        <v>660</v>
      </c>
      <c r="EQ327" s="281"/>
      <c r="ER327" s="284">
        <v>495</v>
      </c>
      <c r="ES327" s="281"/>
      <c r="ET327" s="284">
        <v>508</v>
      </c>
      <c r="EU327" s="281"/>
      <c r="EV327" s="284">
        <v>580</v>
      </c>
      <c r="EW327" s="281"/>
      <c r="EX327" s="284">
        <v>545</v>
      </c>
      <c r="EY327" s="281"/>
      <c r="EZ327" s="284">
        <v>490</v>
      </c>
      <c r="FA327" s="281"/>
      <c r="FB327" s="284">
        <v>843</v>
      </c>
      <c r="FC327" s="281"/>
      <c r="FD327" s="284">
        <v>480</v>
      </c>
      <c r="FE327" s="281"/>
      <c r="FF327" s="284">
        <v>450</v>
      </c>
      <c r="FG327" s="281"/>
      <c r="FH327" s="284">
        <v>480</v>
      </c>
      <c r="FI327" s="281"/>
      <c r="FJ327" s="284">
        <v>419</v>
      </c>
      <c r="FK327" s="281"/>
      <c r="FL327" s="284">
        <v>495</v>
      </c>
      <c r="FM327" s="281"/>
      <c r="FN327" s="284">
        <v>479</v>
      </c>
      <c r="FO327" s="281"/>
      <c r="FP327" s="284">
        <v>317</v>
      </c>
      <c r="FQ327" s="281"/>
      <c r="FR327" s="396"/>
      <c r="FS327" s="396"/>
      <c r="FT327" s="396"/>
      <c r="FU327" s="396"/>
      <c r="FV327" s="396"/>
      <c r="FW327" s="396"/>
      <c r="FX327" s="396"/>
      <c r="FY327" s="396"/>
      <c r="FZ327" s="396"/>
      <c r="GA327" s="396"/>
      <c r="GB327" s="396"/>
      <c r="GC327" s="396"/>
      <c r="GD327" s="396"/>
      <c r="GE327" s="396"/>
      <c r="GF327" s="318"/>
      <c r="GG327" s="318"/>
    </row>
    <row r="328" spans="1:189" ht="8.25" customHeight="1" outlineLevel="1" x14ac:dyDescent="0.3">
      <c r="A328" s="1"/>
      <c r="B328" s="18"/>
      <c r="C328" s="18"/>
      <c r="D328" s="18"/>
      <c r="E328" s="18"/>
      <c r="F328" s="18"/>
      <c r="G328" s="3"/>
      <c r="H328" s="3"/>
      <c r="I328" s="19"/>
      <c r="J328" s="20"/>
      <c r="K328" s="19"/>
      <c r="L328" s="20"/>
      <c r="M328" s="19"/>
      <c r="N328" s="20"/>
      <c r="O328" s="19"/>
      <c r="P328" s="20"/>
      <c r="Q328" s="19"/>
      <c r="R328" s="20"/>
      <c r="S328" s="19"/>
      <c r="T328" s="20"/>
      <c r="U328" s="19"/>
      <c r="V328" s="20"/>
      <c r="W328" s="19"/>
      <c r="X328" s="20"/>
      <c r="Y328" s="19"/>
      <c r="Z328" s="20"/>
      <c r="AA328" s="19"/>
      <c r="AB328" s="20"/>
      <c r="AC328" s="19"/>
      <c r="AD328" s="20"/>
      <c r="AE328" s="19"/>
      <c r="AF328" s="20"/>
      <c r="AG328" s="19"/>
      <c r="AH328" s="20"/>
      <c r="AI328" s="19"/>
      <c r="AJ328" s="20"/>
      <c r="AK328" s="19"/>
      <c r="AL328" s="20"/>
      <c r="AM328" s="19"/>
      <c r="AN328" s="20"/>
      <c r="AO328" s="19"/>
      <c r="AP328" s="20"/>
      <c r="AQ328" s="19"/>
      <c r="AR328" s="20"/>
      <c r="AS328" s="19"/>
      <c r="AT328" s="20"/>
      <c r="AU328" s="19"/>
      <c r="AV328" s="20"/>
      <c r="AW328" s="19"/>
      <c r="AX328" s="20"/>
      <c r="AY328" s="19"/>
      <c r="AZ328" s="20"/>
      <c r="BA328" s="19"/>
      <c r="BB328" s="20"/>
      <c r="BC328" s="19"/>
      <c r="BD328" s="20"/>
      <c r="BE328" s="19"/>
      <c r="BF328" s="20"/>
      <c r="BG328" s="19"/>
      <c r="BH328" s="20"/>
      <c r="BI328" s="19"/>
      <c r="BJ328" s="20"/>
      <c r="BK328" s="19"/>
      <c r="BL328" s="20"/>
      <c r="BM328" s="19"/>
      <c r="BN328" s="20"/>
      <c r="BO328" s="19"/>
      <c r="BP328" s="20"/>
      <c r="BQ328" s="19"/>
      <c r="BR328" s="20"/>
      <c r="BS328" s="19"/>
      <c r="BT328" s="20"/>
      <c r="BU328" s="19"/>
      <c r="BV328" s="20"/>
      <c r="BW328" s="19"/>
      <c r="BX328" s="20"/>
      <c r="BY328" s="19"/>
      <c r="BZ328" s="20"/>
      <c r="CA328" s="19"/>
      <c r="CB328" s="20"/>
      <c r="CC328" s="19"/>
      <c r="CD328" s="20"/>
      <c r="CE328" s="19"/>
      <c r="CF328" s="20"/>
      <c r="CG328" s="19"/>
      <c r="CH328" s="20"/>
      <c r="CI328" s="19"/>
      <c r="CJ328" s="20"/>
      <c r="CK328" s="19"/>
      <c r="CL328" s="20"/>
      <c r="CM328" s="19"/>
      <c r="CN328" s="20"/>
      <c r="CO328" s="19"/>
      <c r="CP328" s="20"/>
      <c r="CQ328" s="19"/>
      <c r="CR328" s="20"/>
      <c r="CS328" s="19"/>
      <c r="CT328" s="20"/>
      <c r="CU328" s="19"/>
      <c r="CV328" s="20"/>
      <c r="CW328" s="19"/>
      <c r="CX328" s="20"/>
      <c r="CY328" s="19"/>
      <c r="CZ328" s="20"/>
      <c r="DA328" s="19"/>
      <c r="DB328" s="20"/>
      <c r="DC328" s="19"/>
      <c r="DD328" s="20"/>
      <c r="DE328" s="19"/>
      <c r="DF328" s="20"/>
      <c r="DG328" s="19"/>
      <c r="DH328" s="20"/>
      <c r="DI328" s="19"/>
      <c r="DJ328" s="20"/>
      <c r="DK328" s="19"/>
      <c r="DL328" s="20"/>
      <c r="DM328" s="19"/>
      <c r="DN328" s="20"/>
      <c r="DO328" s="19"/>
      <c r="DP328" s="20"/>
      <c r="DQ328" s="19"/>
      <c r="DR328" s="20"/>
      <c r="DS328" s="19"/>
      <c r="DT328" s="20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19"/>
      <c r="EO328" s="20"/>
      <c r="EP328" s="19"/>
      <c r="EQ328" s="20"/>
      <c r="ER328" s="19"/>
      <c r="ES328" s="20"/>
      <c r="ET328" s="19"/>
      <c r="EU328" s="20"/>
      <c r="EV328" s="19"/>
      <c r="EW328" s="20"/>
      <c r="EX328" s="19"/>
      <c r="EY328" s="20"/>
      <c r="EZ328" s="19"/>
      <c r="FA328" s="20"/>
      <c r="FB328" s="19"/>
      <c r="FC328" s="20"/>
      <c r="FD328" s="19"/>
      <c r="FE328" s="20"/>
      <c r="FF328" s="19"/>
      <c r="FG328" s="20"/>
      <c r="FH328" s="19"/>
      <c r="FI328" s="20"/>
      <c r="FJ328" s="19"/>
      <c r="FK328" s="20"/>
      <c r="FL328" s="19"/>
      <c r="FM328" s="20"/>
      <c r="FN328" s="19"/>
      <c r="FO328" s="20"/>
      <c r="FP328" s="19"/>
      <c r="FQ328" s="20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</row>
    <row r="329" spans="1:189" ht="15" customHeight="1" outlineLevel="1" x14ac:dyDescent="0.3">
      <c r="A329" s="63"/>
      <c r="B329" s="313" t="s">
        <v>409</v>
      </c>
      <c r="C329" s="313" t="s">
        <v>80</v>
      </c>
      <c r="D329" s="313" t="s">
        <v>96</v>
      </c>
      <c r="E329" s="313" t="s">
        <v>254</v>
      </c>
      <c r="F329" s="313" t="s">
        <v>27</v>
      </c>
      <c r="G329" s="5" t="s">
        <v>28</v>
      </c>
      <c r="H329" s="5"/>
      <c r="I329" s="327">
        <v>0.75</v>
      </c>
      <c r="J329" s="281"/>
      <c r="K329" s="327">
        <v>0.75</v>
      </c>
      <c r="L329" s="281"/>
      <c r="M329" s="327">
        <v>0.75</v>
      </c>
      <c r="N329" s="281"/>
      <c r="O329" s="327">
        <v>0.75</v>
      </c>
      <c r="P329" s="281"/>
      <c r="Q329" s="327">
        <v>0.75</v>
      </c>
      <c r="R329" s="281"/>
      <c r="S329" s="327">
        <v>0.75</v>
      </c>
      <c r="T329" s="281"/>
      <c r="U329" s="327">
        <v>0.75</v>
      </c>
      <c r="V329" s="281"/>
      <c r="W329" s="327">
        <v>0.75</v>
      </c>
      <c r="X329" s="281"/>
      <c r="Y329" s="327">
        <v>0.75</v>
      </c>
      <c r="Z329" s="281"/>
      <c r="AA329" s="327">
        <v>0.75</v>
      </c>
      <c r="AB329" s="281"/>
      <c r="AC329" s="327">
        <v>0.75</v>
      </c>
      <c r="AD329" s="281"/>
      <c r="AE329" s="327">
        <v>0.75</v>
      </c>
      <c r="AF329" s="281"/>
      <c r="AG329" s="327">
        <v>0.75</v>
      </c>
      <c r="AH329" s="281"/>
      <c r="AI329" s="327">
        <v>0.75</v>
      </c>
      <c r="AJ329" s="281"/>
      <c r="AK329" s="327">
        <v>0.75</v>
      </c>
      <c r="AL329" s="281"/>
      <c r="AM329" s="327">
        <v>0.75</v>
      </c>
      <c r="AN329" s="281"/>
      <c r="AO329" s="327">
        <v>0.75</v>
      </c>
      <c r="AP329" s="281"/>
      <c r="AQ329" s="327">
        <v>0.75</v>
      </c>
      <c r="AR329" s="281"/>
      <c r="AS329" s="327">
        <v>0.75</v>
      </c>
      <c r="AT329" s="281"/>
      <c r="AU329" s="327">
        <v>0.75</v>
      </c>
      <c r="AV329" s="281"/>
      <c r="AW329" s="327">
        <v>0.75</v>
      </c>
      <c r="AX329" s="281"/>
      <c r="AY329" s="327">
        <v>0.75</v>
      </c>
      <c r="AZ329" s="281"/>
      <c r="BA329" s="327">
        <v>0.75</v>
      </c>
      <c r="BB329" s="281"/>
      <c r="BC329" s="327">
        <v>0.75</v>
      </c>
      <c r="BD329" s="281"/>
      <c r="BE329" s="327">
        <v>0.75</v>
      </c>
      <c r="BF329" s="281"/>
      <c r="BG329" s="327">
        <v>0.75</v>
      </c>
      <c r="BH329" s="281"/>
      <c r="BI329" s="327">
        <v>0.75</v>
      </c>
      <c r="BJ329" s="281"/>
      <c r="BK329" s="327">
        <v>0.75</v>
      </c>
      <c r="BL329" s="281"/>
      <c r="BM329" s="327">
        <v>0.75</v>
      </c>
      <c r="BN329" s="281"/>
      <c r="BO329" s="327">
        <v>0.75</v>
      </c>
      <c r="BP329" s="281"/>
      <c r="BQ329" s="327">
        <v>0.75</v>
      </c>
      <c r="BR329" s="281"/>
      <c r="BS329" s="327">
        <v>0.75</v>
      </c>
      <c r="BT329" s="281"/>
      <c r="BU329" s="327">
        <v>0.75</v>
      </c>
      <c r="BV329" s="281"/>
      <c r="BW329" s="327">
        <v>0.75</v>
      </c>
      <c r="BX329" s="281"/>
      <c r="BY329" s="327">
        <v>0.75</v>
      </c>
      <c r="BZ329" s="281"/>
      <c r="CA329" s="327">
        <v>0.75</v>
      </c>
      <c r="CB329" s="281"/>
      <c r="CC329" s="327">
        <v>0.75</v>
      </c>
      <c r="CD329" s="281"/>
      <c r="CE329" s="327">
        <v>0.75</v>
      </c>
      <c r="CF329" s="281"/>
      <c r="CG329" s="327">
        <v>0.75</v>
      </c>
      <c r="CH329" s="281"/>
      <c r="CI329" s="327">
        <v>0.75</v>
      </c>
      <c r="CJ329" s="281"/>
      <c r="CK329" s="327">
        <v>0.75</v>
      </c>
      <c r="CL329" s="281"/>
      <c r="CM329" s="327">
        <v>0.75</v>
      </c>
      <c r="CN329" s="281"/>
      <c r="CO329" s="327">
        <v>0.75</v>
      </c>
      <c r="CP329" s="281"/>
      <c r="CQ329" s="327">
        <v>0.75</v>
      </c>
      <c r="CR329" s="281"/>
      <c r="CS329" s="327">
        <v>0.75</v>
      </c>
      <c r="CT329" s="281"/>
      <c r="CU329" s="327">
        <v>0.75</v>
      </c>
      <c r="CV329" s="281"/>
      <c r="CW329" s="327">
        <v>0.75</v>
      </c>
      <c r="CX329" s="281"/>
      <c r="CY329" s="327">
        <v>0.75</v>
      </c>
      <c r="CZ329" s="281"/>
      <c r="DA329" s="327">
        <v>0.75</v>
      </c>
      <c r="DB329" s="281"/>
      <c r="DC329" s="327">
        <v>0.75</v>
      </c>
      <c r="DD329" s="281"/>
      <c r="DE329" s="327">
        <v>0.75</v>
      </c>
      <c r="DF329" s="281"/>
      <c r="DG329" s="327">
        <v>0.75</v>
      </c>
      <c r="DH329" s="281"/>
      <c r="DI329" s="327">
        <v>0.75</v>
      </c>
      <c r="DJ329" s="281"/>
      <c r="DK329" s="327">
        <v>0.75</v>
      </c>
      <c r="DL329" s="281"/>
      <c r="DM329" s="327">
        <v>0.75</v>
      </c>
      <c r="DN329" s="281"/>
      <c r="DO329" s="327">
        <v>0.75</v>
      </c>
      <c r="DP329" s="281"/>
      <c r="DQ329" s="327">
        <v>0.75</v>
      </c>
      <c r="DR329" s="281"/>
      <c r="DS329" s="327">
        <v>0.75</v>
      </c>
      <c r="DT329" s="281"/>
      <c r="DU329" s="319" t="s">
        <v>29</v>
      </c>
      <c r="DV329" s="319" t="s">
        <v>29</v>
      </c>
      <c r="DW329" s="319" t="s">
        <v>29</v>
      </c>
      <c r="DX329" s="319" t="s">
        <v>29</v>
      </c>
      <c r="DY329" s="319" t="s">
        <v>29</v>
      </c>
      <c r="DZ329" s="319" t="s">
        <v>29</v>
      </c>
      <c r="EA329" s="319" t="s">
        <v>29</v>
      </c>
      <c r="EB329" s="319" t="s">
        <v>29</v>
      </c>
      <c r="EC329" s="319" t="s">
        <v>29</v>
      </c>
      <c r="ED329" s="319" t="s">
        <v>29</v>
      </c>
      <c r="EE329" s="319" t="s">
        <v>29</v>
      </c>
      <c r="EF329" s="319" t="s">
        <v>29</v>
      </c>
      <c r="EG329" s="319" t="s">
        <v>29</v>
      </c>
      <c r="EH329" s="319" t="s">
        <v>29</v>
      </c>
      <c r="EI329" s="319" t="s">
        <v>29</v>
      </c>
      <c r="EJ329" s="319" t="s">
        <v>29</v>
      </c>
      <c r="EK329" s="319"/>
      <c r="EL329" s="319"/>
      <c r="EM329" s="319"/>
      <c r="EN329" s="327">
        <v>0.75</v>
      </c>
      <c r="EO329" s="281"/>
      <c r="EP329" s="327">
        <v>0.75</v>
      </c>
      <c r="EQ329" s="281"/>
      <c r="ER329" s="327">
        <v>0.75</v>
      </c>
      <c r="ES329" s="281"/>
      <c r="ET329" s="327">
        <v>0.75</v>
      </c>
      <c r="EU329" s="281"/>
      <c r="EV329" s="327">
        <v>0.75</v>
      </c>
      <c r="EW329" s="281"/>
      <c r="EX329" s="327">
        <v>0.75</v>
      </c>
      <c r="EY329" s="281"/>
      <c r="EZ329" s="327">
        <v>0.75</v>
      </c>
      <c r="FA329" s="281"/>
      <c r="FB329" s="327">
        <v>0.75</v>
      </c>
      <c r="FC329" s="281"/>
      <c r="FD329" s="327">
        <v>0.75</v>
      </c>
      <c r="FE329" s="281"/>
      <c r="FF329" s="327">
        <v>0.75</v>
      </c>
      <c r="FG329" s="281"/>
      <c r="FH329" s="327">
        <v>0.75</v>
      </c>
      <c r="FI329" s="281"/>
      <c r="FJ329" s="327">
        <v>0.75</v>
      </c>
      <c r="FK329" s="281"/>
      <c r="FL329" s="327">
        <v>0.75</v>
      </c>
      <c r="FM329" s="281"/>
      <c r="FN329" s="327">
        <v>0.75</v>
      </c>
      <c r="FO329" s="281"/>
      <c r="FP329" s="327">
        <v>0.75</v>
      </c>
      <c r="FQ329" s="281"/>
      <c r="FR329" s="319" t="s">
        <v>29</v>
      </c>
      <c r="FS329" s="319" t="s">
        <v>29</v>
      </c>
      <c r="FT329" s="319" t="s">
        <v>29</v>
      </c>
      <c r="FU329" s="319" t="s">
        <v>29</v>
      </c>
      <c r="FV329" s="319" t="s">
        <v>29</v>
      </c>
      <c r="FW329" s="319" t="s">
        <v>29</v>
      </c>
      <c r="FX329" s="319" t="s">
        <v>29</v>
      </c>
      <c r="FY329" s="319" t="s">
        <v>29</v>
      </c>
      <c r="FZ329" s="319" t="s">
        <v>29</v>
      </c>
      <c r="GA329" s="319"/>
      <c r="GB329" s="319"/>
      <c r="GC329" s="319" t="s">
        <v>29</v>
      </c>
      <c r="GD329" s="319" t="s">
        <v>29</v>
      </c>
      <c r="GE329" s="319" t="s">
        <v>29</v>
      </c>
      <c r="GF329" s="319"/>
      <c r="GG329" s="319"/>
    </row>
    <row r="330" spans="1:189" ht="4.5" customHeight="1" outlineLevel="1" x14ac:dyDescent="0.3">
      <c r="A330" s="1"/>
      <c r="B330" s="301"/>
      <c r="C330" s="301"/>
      <c r="D330" s="301"/>
      <c r="E330" s="301"/>
      <c r="F330" s="301"/>
      <c r="G330" s="5"/>
      <c r="H330" s="5"/>
      <c r="I330" s="328"/>
      <c r="J330" s="281"/>
      <c r="K330" s="371"/>
      <c r="L330" s="281"/>
      <c r="M330" s="371"/>
      <c r="N330" s="281"/>
      <c r="O330" s="371"/>
      <c r="P330" s="281"/>
      <c r="Q330" s="328"/>
      <c r="R330" s="281"/>
      <c r="S330" s="328"/>
      <c r="T330" s="281"/>
      <c r="U330" s="371"/>
      <c r="V330" s="281"/>
      <c r="W330" s="371"/>
      <c r="X330" s="281"/>
      <c r="Y330" s="371"/>
      <c r="Z330" s="281"/>
      <c r="AA330" s="328"/>
      <c r="AB330" s="281"/>
      <c r="AC330" s="328"/>
      <c r="AD330" s="281"/>
      <c r="AE330" s="328"/>
      <c r="AF330" s="281"/>
      <c r="AG330" s="328"/>
      <c r="AH330" s="281"/>
      <c r="AI330" s="328"/>
      <c r="AJ330" s="281"/>
      <c r="AK330" s="328"/>
      <c r="AL330" s="281"/>
      <c r="AM330" s="328"/>
      <c r="AN330" s="281"/>
      <c r="AO330" s="282"/>
      <c r="AP330" s="281"/>
      <c r="AQ330" s="282"/>
      <c r="AR330" s="281"/>
      <c r="AS330" s="282"/>
      <c r="AT330" s="281"/>
      <c r="AU330" s="282"/>
      <c r="AV330" s="281"/>
      <c r="AW330" s="282"/>
      <c r="AX330" s="281"/>
      <c r="AY330" s="328"/>
      <c r="AZ330" s="281"/>
      <c r="BA330" s="282"/>
      <c r="BB330" s="281"/>
      <c r="BC330" s="282"/>
      <c r="BD330" s="281"/>
      <c r="BE330" s="328"/>
      <c r="BF330" s="281"/>
      <c r="BG330" s="328"/>
      <c r="BH330" s="281"/>
      <c r="BI330" s="328"/>
      <c r="BJ330" s="281"/>
      <c r="BK330" s="328"/>
      <c r="BL330" s="281"/>
      <c r="BM330" s="328"/>
      <c r="BN330" s="281"/>
      <c r="BO330" s="328"/>
      <c r="BP330" s="281"/>
      <c r="BQ330" s="328"/>
      <c r="BR330" s="281"/>
      <c r="BS330" s="328"/>
      <c r="BT330" s="281"/>
      <c r="BU330" s="328"/>
      <c r="BV330" s="281"/>
      <c r="BW330" s="328"/>
      <c r="BX330" s="281"/>
      <c r="BY330" s="328"/>
      <c r="BZ330" s="281"/>
      <c r="CA330" s="282"/>
      <c r="CB330" s="281"/>
      <c r="CC330" s="282"/>
      <c r="CD330" s="281"/>
      <c r="CE330" s="282"/>
      <c r="CF330" s="281"/>
      <c r="CG330" s="282"/>
      <c r="CH330" s="281"/>
      <c r="CI330" s="282"/>
      <c r="CJ330" s="281"/>
      <c r="CK330" s="282"/>
      <c r="CL330" s="281"/>
      <c r="CM330" s="282"/>
      <c r="CN330" s="281"/>
      <c r="CO330" s="328"/>
      <c r="CP330" s="281"/>
      <c r="CQ330" s="282"/>
      <c r="CR330" s="281"/>
      <c r="CS330" s="328"/>
      <c r="CT330" s="281"/>
      <c r="CU330" s="328"/>
      <c r="CV330" s="281"/>
      <c r="CW330" s="328"/>
      <c r="CX330" s="281"/>
      <c r="CY330" s="328"/>
      <c r="CZ330" s="281"/>
      <c r="DA330" s="328"/>
      <c r="DB330" s="281"/>
      <c r="DC330" s="328"/>
      <c r="DD330" s="281"/>
      <c r="DE330" s="328"/>
      <c r="DF330" s="281"/>
      <c r="DG330" s="328"/>
      <c r="DH330" s="281"/>
      <c r="DI330" s="328"/>
      <c r="DJ330" s="281"/>
      <c r="DK330" s="328"/>
      <c r="DL330" s="281"/>
      <c r="DM330" s="328"/>
      <c r="DN330" s="281"/>
      <c r="DO330" s="328"/>
      <c r="DP330" s="281"/>
      <c r="DQ330" s="328"/>
      <c r="DR330" s="281"/>
      <c r="DS330" s="328"/>
      <c r="DT330" s="281"/>
      <c r="DU330" s="301"/>
      <c r="DV330" s="301"/>
      <c r="DW330" s="301"/>
      <c r="DX330" s="301"/>
      <c r="DY330" s="301"/>
      <c r="DZ330" s="301"/>
      <c r="EA330" s="301"/>
      <c r="EB330" s="301"/>
      <c r="EC330" s="301"/>
      <c r="ED330" s="301"/>
      <c r="EE330" s="301"/>
      <c r="EF330" s="301"/>
      <c r="EG330" s="301"/>
      <c r="EH330" s="301"/>
      <c r="EI330" s="301"/>
      <c r="EJ330" s="301"/>
      <c r="EK330" s="301"/>
      <c r="EL330" s="301"/>
      <c r="EM330" s="301"/>
      <c r="EN330" s="282"/>
      <c r="EO330" s="281"/>
      <c r="EP330" s="282"/>
      <c r="EQ330" s="281"/>
      <c r="ER330" s="282"/>
      <c r="ES330" s="281"/>
      <c r="ET330" s="282"/>
      <c r="EU330" s="281"/>
      <c r="EV330" s="282"/>
      <c r="EW330" s="281"/>
      <c r="EX330" s="282"/>
      <c r="EY330" s="281"/>
      <c r="EZ330" s="282"/>
      <c r="FA330" s="281"/>
      <c r="FB330" s="282"/>
      <c r="FC330" s="281"/>
      <c r="FD330" s="282"/>
      <c r="FE330" s="281"/>
      <c r="FF330" s="282"/>
      <c r="FG330" s="281"/>
      <c r="FH330" s="282"/>
      <c r="FI330" s="281"/>
      <c r="FJ330" s="282"/>
      <c r="FK330" s="281"/>
      <c r="FL330" s="282"/>
      <c r="FM330" s="281"/>
      <c r="FN330" s="282"/>
      <c r="FO330" s="281"/>
      <c r="FP330" s="282"/>
      <c r="FQ330" s="281"/>
      <c r="FR330" s="301"/>
      <c r="FS330" s="301"/>
      <c r="FT330" s="301"/>
      <c r="FU330" s="301"/>
      <c r="FV330" s="301"/>
      <c r="FW330" s="301"/>
      <c r="FX330" s="301"/>
      <c r="FY330" s="301"/>
      <c r="FZ330" s="301"/>
      <c r="GA330" s="301"/>
      <c r="GB330" s="301"/>
      <c r="GC330" s="301"/>
      <c r="GD330" s="301"/>
      <c r="GE330" s="301"/>
      <c r="GF330" s="289"/>
      <c r="GG330" s="289"/>
    </row>
    <row r="331" spans="1:189" ht="15" customHeight="1" outlineLevel="1" x14ac:dyDescent="0.3">
      <c r="A331" s="1"/>
      <c r="B331" s="301"/>
      <c r="C331" s="301"/>
      <c r="D331" s="301"/>
      <c r="E331" s="301"/>
      <c r="F331" s="301"/>
      <c r="G331" s="5" t="s">
        <v>30</v>
      </c>
      <c r="H331" s="5"/>
      <c r="I331" s="283">
        <f>AVERAGE(I336,I343,I357,I364)</f>
        <v>0.74337104901217455</v>
      </c>
      <c r="J331" s="281"/>
      <c r="K331" s="283">
        <f>AVERAGE(K336,K343,K357)</f>
        <v>0.71923937360178969</v>
      </c>
      <c r="L331" s="281"/>
      <c r="M331" s="283">
        <f>AVERAGE(M336,M343,M357)</f>
        <v>0.72104404567699842</v>
      </c>
      <c r="N331" s="281"/>
      <c r="O331" s="283">
        <f>AVERAGE(O336,O343,O357,O364)</f>
        <v>0.73651452282157681</v>
      </c>
      <c r="P331" s="281"/>
      <c r="Q331" s="283">
        <f>AVERAGE(Q336,Q343,Q357,Q364)</f>
        <v>0.71326086956521739</v>
      </c>
      <c r="R331" s="281"/>
      <c r="S331" s="283">
        <f>AVERAGE(S336,S343,S357,S364)</f>
        <v>0.71057324840764335</v>
      </c>
      <c r="T331" s="281"/>
      <c r="U331" s="283">
        <f>AVERAGE(U336,U343,U357,U364)</f>
        <v>0.62495472186287193</v>
      </c>
      <c r="V331" s="281"/>
      <c r="W331" s="283">
        <f>AVERAGE(W336,W343,W357,W364)</f>
        <v>0.72343405172413799</v>
      </c>
      <c r="X331" s="281"/>
      <c r="Y331" s="283">
        <f>AVERAGE(Y336,Y343,Y357,Y364)</f>
        <v>0.72295075757575755</v>
      </c>
      <c r="Z331" s="281"/>
      <c r="AA331" s="283">
        <f>AVERAGE(AA336,AA343,AA357,AA364)</f>
        <v>0.73157685185185195</v>
      </c>
      <c r="AB331" s="281"/>
      <c r="AC331" s="283">
        <f>AVERAGE(AC336,AC343,AC357,AC364)</f>
        <v>0.75346018518518509</v>
      </c>
      <c r="AD331" s="281"/>
      <c r="AE331" s="283">
        <f>AVERAGE(AE336,AE343,AE357,AE364)</f>
        <v>0.73446595744680854</v>
      </c>
      <c r="AF331" s="281"/>
      <c r="AG331" s="283">
        <f>AVERAGE(AG336,AG343,AG357,AG364)</f>
        <v>0.76195850128867559</v>
      </c>
      <c r="AH331" s="281"/>
      <c r="AI331" s="327">
        <f>SUM(AJ337,AJ344,AJ358)/SUM(AI337,AI344,AI358)</f>
        <v>0.86818028842700923</v>
      </c>
      <c r="AJ331" s="281"/>
      <c r="AK331" s="327">
        <f>SUM(AL337,AL344,AL358)/SUM(AK337,AK344,AK358)</f>
        <v>0.83262667923598666</v>
      </c>
      <c r="AL331" s="281"/>
      <c r="AM331" s="327">
        <f>SUM(AN337,AN344,AN358)/SUM(AM337,AM344,AM358)</f>
        <v>0.85203161829311125</v>
      </c>
      <c r="AN331" s="281"/>
      <c r="AO331" s="327">
        <f>SUM(AP337,AP344,AP358)/SUM(AO337,AO344,AO358)</f>
        <v>0.68924356686471033</v>
      </c>
      <c r="AP331" s="281"/>
      <c r="AQ331" s="327">
        <f>SUM(AR337,AR344,AR358)/SUM(AQ337,AQ344,AQ358)</f>
        <v>0.70260042339013318</v>
      </c>
      <c r="AR331" s="281"/>
      <c r="AS331" s="327">
        <f>SUM(AT337,AT344,AT358)/SUM(AS337,AS344,AS358)</f>
        <v>0.68309571107387446</v>
      </c>
      <c r="AT331" s="281"/>
      <c r="AU331" s="327">
        <f>SUM(AV337,AV344,AV358)/SUM(AU337,AU344,AU358)</f>
        <v>0.68843829757607145</v>
      </c>
      <c r="AV331" s="281"/>
      <c r="AW331" s="327">
        <f>SUM(AX337,AX344,AX358)/SUM(AW337,AW344,AW358)</f>
        <v>0.69992331148114129</v>
      </c>
      <c r="AX331" s="281"/>
      <c r="AY331" s="327">
        <f>SUM(AZ337,AZ344,AZ358)/SUM(AY337,AY344,AY358)</f>
        <v>0.75377306833029145</v>
      </c>
      <c r="AZ331" s="281"/>
      <c r="BA331" s="327">
        <f>SUM(BB337,BB344,BB358)/SUM(BA337,BA344,BA358)</f>
        <v>0.70810671994943686</v>
      </c>
      <c r="BB331" s="281"/>
      <c r="BC331" s="327">
        <f>SUM(BD337,BD344,BD358)/SUM(BC337,BC344,BC358)</f>
        <v>0.70528824760227604</v>
      </c>
      <c r="BD331" s="281"/>
      <c r="BE331" s="327">
        <f>SUM(BF337,BF344,BF358)/SUM(BE337,BE344,BE358)</f>
        <v>0.79259074711876887</v>
      </c>
      <c r="BF331" s="281"/>
      <c r="BG331" s="327">
        <f>SUM(BH337,BH344,BH358)/SUM(BG337,BG344,BG358)</f>
        <v>0.80861097998457243</v>
      </c>
      <c r="BH331" s="281"/>
      <c r="BI331" s="327">
        <f>SUM(BJ337,BJ344,BJ358)/SUM(BI337,BI344,BI358)</f>
        <v>0.82762153360998647</v>
      </c>
      <c r="BJ331" s="281"/>
      <c r="BK331" s="327">
        <f>SUM(BL337,BL344,BL358)/SUM(BK337,BK344,BK358)</f>
        <v>0.80354611773189277</v>
      </c>
      <c r="BL331" s="281"/>
      <c r="BM331" s="327">
        <f>SUM(BN337,BN344,BN358)/SUM(BM337,BM344,BM358)</f>
        <v>0.80627658586971762</v>
      </c>
      <c r="BN331" s="281"/>
      <c r="BO331" s="327">
        <f>SUM(BP337,BP344,BP358)/SUM(BO337,BO344,BO358)</f>
        <v>0.8514874540009344</v>
      </c>
      <c r="BP331" s="281"/>
      <c r="BQ331" s="327">
        <f>SUM(BR337,BR344,BR358)/SUM(BQ337,BQ344,BQ358)</f>
        <v>0.8459240419373818</v>
      </c>
      <c r="BR331" s="281"/>
      <c r="BS331" s="327">
        <f>SUM(BT337,BT344,BT358)/SUM(BS337,BS344,BS358)</f>
        <v>0.85212286442390339</v>
      </c>
      <c r="BT331" s="281"/>
      <c r="BU331" s="327">
        <f>SUM(BV337,BV344,BV358)/SUM(BU337,BU344,BU358)</f>
        <v>0.85822320412756026</v>
      </c>
      <c r="BV331" s="281"/>
      <c r="BW331" s="327">
        <f>SUM(BX337,BX344,BX358)/SUM(BW337,BW344,BW358)</f>
        <v>0.89223702411672523</v>
      </c>
      <c r="BX331" s="281"/>
      <c r="BY331" s="327">
        <f>SUM(BZ337,BZ344,BZ358)/SUM(BY337,BY344,BY358)</f>
        <v>0.87939786883952786</v>
      </c>
      <c r="BZ331" s="281"/>
      <c r="CA331" s="327">
        <f>SUM(CB337,CB344,CB351,CB358)/SUM(CA337,CA344,,CA351,CA358)</f>
        <v>0.64972400393956264</v>
      </c>
      <c r="CB331" s="281"/>
      <c r="CC331" s="327">
        <f>SUM(CD337,CD344,CD351,CD358)/SUM(CC337,CC344,,CC351,CC358)</f>
        <v>0.56632854223776774</v>
      </c>
      <c r="CD331" s="281"/>
      <c r="CE331" s="327">
        <f>SUM(CF337,CF344,CF351,CF358)/SUM(CE337,CE344,,CE351,CE358)</f>
        <v>0.51874889327368345</v>
      </c>
      <c r="CF331" s="281"/>
      <c r="CG331" s="327">
        <f>SUM(CH337,CH344,CH351,CH358)/SUM(CG337,CG344,,CG351,CG358)</f>
        <v>0.54171840079463618</v>
      </c>
      <c r="CH331" s="281"/>
      <c r="CI331" s="327">
        <f>SUM(CJ337,CJ344,CJ351,CJ358)/SUM(CI337,CI344,,CI351,CI358)</f>
        <v>0.58628930817610059</v>
      </c>
      <c r="CJ331" s="281"/>
      <c r="CK331" s="327">
        <f>SUM(CL337,CL344,CL351,CL358)/SUM(CK337,CK344,,CK351,CK358)</f>
        <v>0.56657255125380157</v>
      </c>
      <c r="CL331" s="281"/>
      <c r="CM331" s="327">
        <f>SUM(CN337,CN344,CN351,CN358)/SUM(CM337,CM344,,CM351,CM358)</f>
        <v>0.71131195748269904</v>
      </c>
      <c r="CN331" s="281"/>
      <c r="CO331" s="327">
        <f>SUM(CP337,CP344,CP351,CP358)/SUM(CO337,CO344,,CO351,CO358)</f>
        <v>0.76628666087482977</v>
      </c>
      <c r="CP331" s="281"/>
      <c r="CQ331" s="327">
        <f>SUM(CR337,CR344,CR351,CR358)/SUM(CQ337,CQ344,,CQ351,CQ358)</f>
        <v>0.70850658702056968</v>
      </c>
      <c r="CR331" s="281"/>
      <c r="CS331" s="327">
        <f>SUM(CT337,CT344,CT351,CT358)/SUM(CS337,CS344,,CS351,CS358)</f>
        <v>0.75511101210998688</v>
      </c>
      <c r="CT331" s="281"/>
      <c r="CU331" s="327">
        <f>SUM(CV337,CV344,CV351,CV358)/SUM(CU337,CU344,,CU351,CU358)</f>
        <v>0.77177339310952353</v>
      </c>
      <c r="CV331" s="281"/>
      <c r="CW331" s="327">
        <f>SUM(CX337,CX344,CX351,CX358)/SUM(CW337,CW344,,CW351,CW358)</f>
        <v>0.77391630249344823</v>
      </c>
      <c r="CX331" s="281"/>
      <c r="CY331" s="327">
        <f>SUM(CZ337,CZ344,CZ351,CZ358)/SUM(CY337,CY344,,CY351,CY358)</f>
        <v>0.79158873887666836</v>
      </c>
      <c r="CZ331" s="281"/>
      <c r="DA331" s="327">
        <f>SUM(DB337,DB344,DB351,DB358)/SUM(DA337,DA344,,DA351,DA358)</f>
        <v>0.76631000269420813</v>
      </c>
      <c r="DB331" s="281"/>
      <c r="DC331" s="327">
        <f>SUM(DD337,DD344,DD351,DD358)/SUM(DC337,DC344,,DC351,DC358)</f>
        <v>0.77896563025330456</v>
      </c>
      <c r="DD331" s="281"/>
      <c r="DE331" s="327">
        <f>SUM(DF337,DF344,DF351,DF358)/SUM(DE337,DE344,,DE351,DE358)</f>
        <v>0.76862137377833084</v>
      </c>
      <c r="DF331" s="281"/>
      <c r="DG331" s="327">
        <f>SUM(DH337,DH344,DH351,DH358)/SUM(DG337,DG344,,DG351,DG358)</f>
        <v>0.75350742058149223</v>
      </c>
      <c r="DH331" s="281"/>
      <c r="DI331" s="327">
        <f>SUM(DJ337,DJ344,DJ351,DJ358)/SUM(DI337,DI344,,DI351,DI358)</f>
        <v>0.76086412228174316</v>
      </c>
      <c r="DJ331" s="281"/>
      <c r="DK331" s="327">
        <f>SUM(DL337,DL344,DL351,DL358)/SUM(DK337,DK344,,DK351,DK358)</f>
        <v>0.78802287542704774</v>
      </c>
      <c r="DL331" s="281"/>
      <c r="DM331" s="327">
        <f>SUM(DN337,DN344,DN351,DN358)/SUM(DM337,DM344,,DM351,DM358)</f>
        <v>0.74714850661530674</v>
      </c>
      <c r="DN331" s="281"/>
      <c r="DO331" s="327">
        <f>SUM(DP337,DP344,DP351,DP358)/SUM(DO337,DO344,,DO351,DO358)</f>
        <v>0.77739641169139284</v>
      </c>
      <c r="DP331" s="281"/>
      <c r="DQ331" s="327">
        <f>SUM(DR337,DR344,DR351,DR358)/SUM(DQ337,DQ344,,DQ351,DQ358)</f>
        <v>0.79550130838914324</v>
      </c>
      <c r="DR331" s="281"/>
      <c r="DS331" s="327">
        <f>SUM(DT337,DT344,DT351,DT358)/SUM(DS337,DS344,,DS351,DS358)</f>
        <v>0.92078252564412977</v>
      </c>
      <c r="DT331" s="281"/>
      <c r="DU331" s="301"/>
      <c r="DV331" s="301"/>
      <c r="DW331" s="301"/>
      <c r="DX331" s="301"/>
      <c r="DY331" s="301"/>
      <c r="DZ331" s="301"/>
      <c r="EA331" s="301"/>
      <c r="EB331" s="301"/>
      <c r="EC331" s="301"/>
      <c r="ED331" s="301"/>
      <c r="EE331" s="301"/>
      <c r="EF331" s="301"/>
      <c r="EG331" s="301"/>
      <c r="EH331" s="301"/>
      <c r="EI331" s="301"/>
      <c r="EJ331" s="301"/>
      <c r="EK331" s="301"/>
      <c r="EL331" s="301"/>
      <c r="EM331" s="301"/>
      <c r="EN331" s="327">
        <f>SUM(EO337,EO344,EO351,EO358)/SUM(EN337,EN344,,EN351,EN358)</f>
        <v>0.75805304037790811</v>
      </c>
      <c r="EO331" s="281"/>
      <c r="EP331" s="327">
        <f>SUM(EQ337,EQ344,EQ351,EQ358)/SUM(EP337,EP344,,EP351,EP358)</f>
        <v>0.74323215519875541</v>
      </c>
      <c r="EQ331" s="281"/>
      <c r="ER331" s="327">
        <f>SUM(ES337,ES344,ES351,ES358)/SUM(ER337,ER344,,ER351,ER358)</f>
        <v>0.73412387360505693</v>
      </c>
      <c r="ES331" s="281"/>
      <c r="ET331" s="327">
        <f>SUM(EU337,EU344,EU351,EU358)/SUM(ET337,ET344,,ET351,ET358)</f>
        <v>0.57403021484631211</v>
      </c>
      <c r="EU331" s="281"/>
      <c r="EV331" s="327">
        <f>SUM(EW337,EW344,EW351,EW358)/SUM(EV337,EV344,,EV351,EV358)</f>
        <v>0.53353779844026694</v>
      </c>
      <c r="EW331" s="281"/>
      <c r="EX331" s="327">
        <f>SUM(EY337,EY344,EY351,EY358)/SUM(EX337,EX344,,EX351,EX358)</f>
        <v>0.63781166768639286</v>
      </c>
      <c r="EY331" s="281"/>
      <c r="EZ331" s="327">
        <f>SUM(FA337,FA344,FA351,FA358)/SUM(EZ337,EZ344,,EZ351,EZ358)</f>
        <v>0.50935803694375259</v>
      </c>
      <c r="FA331" s="281"/>
      <c r="FB331" s="327">
        <f>SUM(FC337,FC344,FC351,FC358)/SUM(FB337,FB344,,FB351,FB358)</f>
        <v>0.57944403526891886</v>
      </c>
      <c r="FC331" s="281"/>
      <c r="FD331" s="327">
        <f>SUM(FE337,FE344,FE351,FE358)/SUM(FD337,FD344,,FD351,FD358)</f>
        <v>0.61566068719470513</v>
      </c>
      <c r="FE331" s="281"/>
      <c r="FF331" s="327">
        <f>SUM(FG337,FG344,FG351,FG358)/SUM(FF337,FF344,,FF351,FF358)</f>
        <v>0.51648506915197123</v>
      </c>
      <c r="FG331" s="281"/>
      <c r="FH331" s="327">
        <f>SUM(FI337,FI344,FI351,FI358)/SUM(FH337,FH344,,FH351,FH358)</f>
        <v>0.46492191572430075</v>
      </c>
      <c r="FI331" s="281"/>
      <c r="FJ331" s="327">
        <f>SUM(FK337,FK344,FK351,FK358)/SUM(FJ337,FJ344,,FJ351,FJ358)</f>
        <v>0.49894524825469388</v>
      </c>
      <c r="FK331" s="281"/>
      <c r="FL331" s="330">
        <f>SUM(FM337,FM344,FM351,FM358)/SUM(FL337,FL344,,FL351,FL358)</f>
        <v>0.57072184231282008</v>
      </c>
      <c r="FM331" s="331"/>
      <c r="FN331" s="491">
        <f>FN332/SUM(FN338+FN352+FN359+FN366)</f>
        <v>0.63886162904808641</v>
      </c>
      <c r="FO331" s="492"/>
      <c r="FP331" s="491">
        <f>FP332/SUM(FP338+FP352+FP359+FP366)</f>
        <v>0.69892473118279574</v>
      </c>
      <c r="FQ331" s="492"/>
      <c r="FR331" s="301"/>
      <c r="FS331" s="301"/>
      <c r="FT331" s="301"/>
      <c r="FU331" s="301"/>
      <c r="FV331" s="301"/>
      <c r="FW331" s="301"/>
      <c r="FX331" s="301"/>
      <c r="FY331" s="301"/>
      <c r="FZ331" s="301"/>
      <c r="GA331" s="301"/>
      <c r="GB331" s="301"/>
      <c r="GC331" s="301"/>
      <c r="GD331" s="301"/>
      <c r="GE331" s="301"/>
      <c r="GF331" s="289"/>
      <c r="GG331" s="289"/>
    </row>
    <row r="332" spans="1:189" ht="15" customHeight="1" outlineLevel="1" x14ac:dyDescent="0.3">
      <c r="A332" s="1"/>
      <c r="B332" s="302"/>
      <c r="C332" s="302"/>
      <c r="D332" s="302"/>
      <c r="E332" s="302"/>
      <c r="F332" s="302"/>
      <c r="G332" s="5" t="s">
        <v>255</v>
      </c>
      <c r="H332" s="5"/>
      <c r="I332" s="284">
        <f>SUM(I337,I344,I358)</f>
        <v>18204</v>
      </c>
      <c r="J332" s="281"/>
      <c r="K332" s="284">
        <f>SUM(K337,K344,K358)</f>
        <v>643</v>
      </c>
      <c r="L332" s="281"/>
      <c r="M332" s="284">
        <f>SUM(M337,M344,M358)</f>
        <v>442</v>
      </c>
      <c r="N332" s="281"/>
      <c r="O332" s="284">
        <f>SUM(O337,O344,O358)</f>
        <v>355</v>
      </c>
      <c r="P332" s="281"/>
      <c r="Q332" s="284">
        <f>SUM(Q337,Q344,Q358)</f>
        <v>522</v>
      </c>
      <c r="R332" s="281"/>
      <c r="S332" s="284">
        <f>SUM(S337,S344,S358)</f>
        <v>239</v>
      </c>
      <c r="T332" s="281"/>
      <c r="U332" s="284">
        <f>SUM(U337,U344,U358)</f>
        <v>456</v>
      </c>
      <c r="V332" s="281"/>
      <c r="W332" s="284">
        <f>SUM(W337,W344,W358)</f>
        <v>3167</v>
      </c>
      <c r="X332" s="281"/>
      <c r="Y332" s="284">
        <f>SUM(Y337,Y344,Y358)</f>
        <v>2900</v>
      </c>
      <c r="Z332" s="281"/>
      <c r="AA332" s="284">
        <f>SUM(AA337,AA344,AA358)</f>
        <v>2767</v>
      </c>
      <c r="AB332" s="281"/>
      <c r="AC332" s="284">
        <f>SUM(AC337,AC344,AC358)</f>
        <v>3519</v>
      </c>
      <c r="AD332" s="281"/>
      <c r="AE332" s="284">
        <f>SUM(AE337,AE344,AE358)</f>
        <v>1835</v>
      </c>
      <c r="AF332" s="281"/>
      <c r="AG332" s="284">
        <f>SUM(AG337,AG344,AG358)</f>
        <v>1359</v>
      </c>
      <c r="AH332" s="281"/>
      <c r="AI332" s="284">
        <f>SUM(AI337,AI344,AI358)</f>
        <v>1078</v>
      </c>
      <c r="AJ332" s="281"/>
      <c r="AK332" s="284">
        <f>SUM(AK337,AK344,AK358)</f>
        <v>697</v>
      </c>
      <c r="AL332" s="281"/>
      <c r="AM332" s="284">
        <f>SUM(AM337,AM344,AM358)</f>
        <v>930</v>
      </c>
      <c r="AN332" s="281"/>
      <c r="AO332" s="284">
        <f>SUM(AO337,AO344,AO358)</f>
        <v>409</v>
      </c>
      <c r="AP332" s="281"/>
      <c r="AQ332" s="284">
        <f>SUM(AQ337,AQ344,AQ358)</f>
        <v>452</v>
      </c>
      <c r="AR332" s="281"/>
      <c r="AS332" s="284">
        <f>SUM(AS337,AS344,AS358)</f>
        <v>223</v>
      </c>
      <c r="AT332" s="281"/>
      <c r="AU332" s="284">
        <f>SUM(AU337,AU344,AU358)</f>
        <v>412</v>
      </c>
      <c r="AV332" s="281"/>
      <c r="AW332" s="284">
        <f>SUM(AW337,AW344,AW358)</f>
        <v>335</v>
      </c>
      <c r="AX332" s="281"/>
      <c r="AY332" s="284">
        <f>SUM(AY337,AY344,AY358)</f>
        <v>402</v>
      </c>
      <c r="AZ332" s="281"/>
      <c r="BA332" s="284">
        <f>SUM(BA337,BA344,BA358)</f>
        <v>324</v>
      </c>
      <c r="BB332" s="281"/>
      <c r="BC332" s="284">
        <f>SUM(BC337,BC344,BC358)</f>
        <v>218</v>
      </c>
      <c r="BD332" s="281"/>
      <c r="BE332" s="284">
        <f>SUM(BE337,BE344,BE358)</f>
        <v>1219</v>
      </c>
      <c r="BF332" s="281"/>
      <c r="BG332" s="284">
        <f>SUM(BG337,BG344,BG358)</f>
        <v>1070</v>
      </c>
      <c r="BH332" s="281"/>
      <c r="BI332" s="284">
        <f>SUM(BI337,BI344,BI358)</f>
        <v>806</v>
      </c>
      <c r="BJ332" s="281"/>
      <c r="BK332" s="284">
        <f>SUM(BK337,BK344,BK358)</f>
        <v>1062</v>
      </c>
      <c r="BL332" s="281"/>
      <c r="BM332" s="284">
        <f>SUM(BM337,BM344,BM358)</f>
        <v>950</v>
      </c>
      <c r="BN332" s="281"/>
      <c r="BO332" s="284">
        <f>SUM(BO337,BO344,BO358)</f>
        <v>1197</v>
      </c>
      <c r="BP332" s="281"/>
      <c r="BQ332" s="284">
        <f>SUM(BQ337,BQ344,BQ358)</f>
        <v>1158</v>
      </c>
      <c r="BR332" s="281"/>
      <c r="BS332" s="284">
        <f>SUM(BS337,BS344,BS358)</f>
        <v>782</v>
      </c>
      <c r="BT332" s="281"/>
      <c r="BU332" s="284">
        <f>SUM(BU337,BU344,BU358)</f>
        <v>969</v>
      </c>
      <c r="BV332" s="281"/>
      <c r="BW332" s="284">
        <f>SUM(BW337,BW344,BW358)</f>
        <v>1075</v>
      </c>
      <c r="BX332" s="281"/>
      <c r="BY332" s="284">
        <f>SUM(BY337,BY344,BY358)</f>
        <v>1064</v>
      </c>
      <c r="BZ332" s="281"/>
      <c r="CA332" s="284">
        <f>SUM(CA337,CA344,CA351,CA358)</f>
        <v>3978</v>
      </c>
      <c r="CB332" s="281"/>
      <c r="CC332" s="284">
        <f>SUM(CC337,CC344,CC351,CC358)</f>
        <v>3802</v>
      </c>
      <c r="CD332" s="281"/>
      <c r="CE332" s="284">
        <f>SUM(CE337,CE344,CE351,CE358)</f>
        <v>3894</v>
      </c>
      <c r="CF332" s="281"/>
      <c r="CG332" s="284">
        <f>SUM(CG337,CG344,CG351,CG358)</f>
        <v>4363</v>
      </c>
      <c r="CH332" s="281"/>
      <c r="CI332" s="284">
        <f>SUM(CI337,CI344,CI351,CI358)</f>
        <v>4661</v>
      </c>
      <c r="CJ332" s="281"/>
      <c r="CK332" s="284">
        <f>SUM(CK337,CK344,CK351,CK358)</f>
        <v>2006</v>
      </c>
      <c r="CL332" s="281"/>
      <c r="CM332" s="284">
        <f>SUM(CM337,CM344,CM351,CM358)</f>
        <v>4472</v>
      </c>
      <c r="CN332" s="281"/>
      <c r="CO332" s="284">
        <f>SUM(CO337,CO344,CO351,CO358)</f>
        <v>3383</v>
      </c>
      <c r="CP332" s="281"/>
      <c r="CQ332" s="284">
        <f>SUM(CQ337,CQ344,CQ351,CQ358)</f>
        <v>288</v>
      </c>
      <c r="CR332" s="281"/>
      <c r="CS332" s="284">
        <f>SUM(CS337,CS344,CS351,CS358)</f>
        <v>2941</v>
      </c>
      <c r="CT332" s="281"/>
      <c r="CU332" s="284">
        <f>SUM(CU337,CU344,CU351,CU358)</f>
        <v>3165</v>
      </c>
      <c r="CV332" s="281"/>
      <c r="CW332" s="284">
        <f>SUM(CW337,CW344,CW351,CW358)</f>
        <v>2704</v>
      </c>
      <c r="CX332" s="281"/>
      <c r="CY332" s="284">
        <f>SUM(CY337,CY344,CY351,CY358)</f>
        <v>2812</v>
      </c>
      <c r="CZ332" s="281"/>
      <c r="DA332" s="284">
        <f>SUM(DA337,DA344,DA351,DA358)</f>
        <v>2258</v>
      </c>
      <c r="DB332" s="281"/>
      <c r="DC332" s="284">
        <f>SUM(DC337,DC344,DC351,DC358)</f>
        <v>1605</v>
      </c>
      <c r="DD332" s="281"/>
      <c r="DE332" s="284">
        <f>SUM(DE337,DE344,DE351,DE358)</f>
        <v>1847</v>
      </c>
      <c r="DF332" s="281"/>
      <c r="DG332" s="284">
        <f>SUM(DG337,DG344,DG351,DG358)</f>
        <v>2280</v>
      </c>
      <c r="DH332" s="281"/>
      <c r="DI332" s="284">
        <f>SUM(DI337,DI344,DI351,DI358)</f>
        <v>1798</v>
      </c>
      <c r="DJ332" s="281"/>
      <c r="DK332" s="284">
        <f>SUM(DK337,DK344,DK351,DK358)</f>
        <v>2916</v>
      </c>
      <c r="DL332" s="281"/>
      <c r="DM332" s="284">
        <f>SUM(DM337,DM344,DM351,DM358)</f>
        <v>2636</v>
      </c>
      <c r="DN332" s="281"/>
      <c r="DO332" s="284">
        <f>SUM(DO337,DO344,DO351,DO358)</f>
        <v>3002</v>
      </c>
      <c r="DP332" s="281"/>
      <c r="DQ332" s="284">
        <f>SUM(DQ337,DQ344,DQ351,DQ358)</f>
        <v>2678</v>
      </c>
      <c r="DR332" s="281"/>
      <c r="DS332" s="284">
        <f>SUM(DS337,DS344,DS351,DS358)</f>
        <v>2295</v>
      </c>
      <c r="DT332" s="281"/>
      <c r="DU332" s="302"/>
      <c r="DV332" s="302"/>
      <c r="DW332" s="302"/>
      <c r="DX332" s="302"/>
      <c r="DY332" s="302"/>
      <c r="DZ332" s="302"/>
      <c r="EA332" s="302"/>
      <c r="EB332" s="302"/>
      <c r="EC332" s="302"/>
      <c r="ED332" s="302"/>
      <c r="EE332" s="302"/>
      <c r="EF332" s="302"/>
      <c r="EG332" s="302"/>
      <c r="EH332" s="302"/>
      <c r="EI332" s="302"/>
      <c r="EJ332" s="302"/>
      <c r="EK332" s="302"/>
      <c r="EL332" s="302"/>
      <c r="EM332" s="302"/>
      <c r="EN332" s="284">
        <f>SUM(EN337,EN344,EN351,EN358)</f>
        <v>1856</v>
      </c>
      <c r="EO332" s="281"/>
      <c r="EP332" s="284">
        <f>SUM(EP337,EP344,EP351,EP358)</f>
        <v>1772</v>
      </c>
      <c r="EQ332" s="281"/>
      <c r="ER332" s="284">
        <f>SUM(ER337,ER344,ER351,ER358)</f>
        <v>1832</v>
      </c>
      <c r="ES332" s="281"/>
      <c r="ET332" s="284">
        <f>SUM(ET337,ET344,ET351,ET358)</f>
        <v>1709</v>
      </c>
      <c r="EU332" s="281"/>
      <c r="EV332" s="284">
        <f>SUM(EV337,EV344,EV351,EV358)</f>
        <v>564</v>
      </c>
      <c r="EW332" s="281"/>
      <c r="EX332" s="284">
        <f>SUM(EX337,EX344,EX351,EX358)</f>
        <v>1075</v>
      </c>
      <c r="EY332" s="281"/>
      <c r="EZ332" s="284">
        <f>SUM(EZ337,EZ344,EZ351,EZ358)</f>
        <v>347</v>
      </c>
      <c r="FA332" s="281"/>
      <c r="FB332" s="284">
        <f>SUM(FB337,FB344,FB351,FB358)</f>
        <v>372</v>
      </c>
      <c r="FC332" s="281"/>
      <c r="FD332" s="284">
        <f>SUM(FD337,FD344,FD351,FD358)</f>
        <v>287</v>
      </c>
      <c r="FE332" s="281"/>
      <c r="FF332" s="284">
        <f>SUM(FF337,FF344,FF351,FF358)</f>
        <v>298</v>
      </c>
      <c r="FG332" s="281"/>
      <c r="FH332" s="284">
        <f>SUM(FH337,FH344,FH351,FH358)</f>
        <v>335</v>
      </c>
      <c r="FI332" s="281"/>
      <c r="FJ332" s="284">
        <f>SUM(FJ337,FJ344,FJ351,FJ358)</f>
        <v>596</v>
      </c>
      <c r="FK332" s="281"/>
      <c r="FL332" s="284">
        <f>SUM(FL337,FL344,FL351,FL358)</f>
        <v>655</v>
      </c>
      <c r="FM332" s="281"/>
      <c r="FN332" s="284">
        <f>FN337+FN351+FN358+FN365</f>
        <v>651</v>
      </c>
      <c r="FO332" s="281"/>
      <c r="FP332" s="284">
        <f>FP337+FP351+FP358+FP365</f>
        <v>520</v>
      </c>
      <c r="FQ332" s="281"/>
      <c r="FR332" s="302"/>
      <c r="FS332" s="302"/>
      <c r="FT332" s="302"/>
      <c r="FU332" s="302"/>
      <c r="FV332" s="302"/>
      <c r="FW332" s="302"/>
      <c r="FX332" s="302"/>
      <c r="FY332" s="302"/>
      <c r="FZ332" s="302"/>
      <c r="GA332" s="302"/>
      <c r="GB332" s="302"/>
      <c r="GC332" s="302"/>
      <c r="GD332" s="302"/>
      <c r="GE332" s="302"/>
      <c r="GF332" s="290"/>
      <c r="GG332" s="290"/>
    </row>
    <row r="333" spans="1:189" ht="8.25" customHeight="1" outlineLevel="1" x14ac:dyDescent="0.3">
      <c r="A333" s="1"/>
      <c r="B333" s="151"/>
      <c r="C333" s="18"/>
      <c r="D333" s="18"/>
      <c r="E333" s="18"/>
      <c r="F333" s="18"/>
      <c r="G333" s="3"/>
      <c r="H333" s="3"/>
      <c r="I333" s="19"/>
      <c r="J333" s="20"/>
      <c r="K333" s="19"/>
      <c r="L333" s="20"/>
      <c r="M333" s="19"/>
      <c r="N333" s="20"/>
      <c r="O333" s="19"/>
      <c r="P333" s="20"/>
      <c r="Q333" s="19"/>
      <c r="R333" s="20"/>
      <c r="S333" s="19"/>
      <c r="T333" s="20"/>
      <c r="U333" s="19"/>
      <c r="V333" s="20"/>
      <c r="W333" s="19"/>
      <c r="X333" s="20"/>
      <c r="Y333" s="19"/>
      <c r="Z333" s="20"/>
      <c r="AA333" s="19"/>
      <c r="AB333" s="20"/>
      <c r="AC333" s="19"/>
      <c r="AD333" s="20"/>
      <c r="AE333" s="19"/>
      <c r="AF333" s="20"/>
      <c r="AG333" s="19"/>
      <c r="AH333" s="20"/>
      <c r="AI333" s="19"/>
      <c r="AJ333" s="20"/>
      <c r="AK333" s="19"/>
      <c r="AL333" s="20"/>
      <c r="AM333" s="19"/>
      <c r="AN333" s="20"/>
      <c r="AO333" s="19"/>
      <c r="AP333" s="20"/>
      <c r="AQ333" s="19"/>
      <c r="AR333" s="20"/>
      <c r="AS333" s="19"/>
      <c r="AT333" s="20"/>
      <c r="AU333" s="19"/>
      <c r="AV333" s="20"/>
      <c r="AW333" s="19"/>
      <c r="AX333" s="20"/>
      <c r="AY333" s="19"/>
      <c r="AZ333" s="20"/>
      <c r="BA333" s="19"/>
      <c r="BB333" s="20"/>
      <c r="BC333" s="19"/>
      <c r="BD333" s="20"/>
      <c r="BE333" s="19"/>
      <c r="BF333" s="20"/>
      <c r="BG333" s="19"/>
      <c r="BH333" s="20"/>
      <c r="BI333" s="19"/>
      <c r="BJ333" s="20"/>
      <c r="BK333" s="19"/>
      <c r="BL333" s="20"/>
      <c r="BM333" s="19"/>
      <c r="BN333" s="20"/>
      <c r="BO333" s="19"/>
      <c r="BP333" s="20"/>
      <c r="BQ333" s="19"/>
      <c r="BR333" s="20"/>
      <c r="BS333" s="19"/>
      <c r="BT333" s="20"/>
      <c r="BU333" s="19"/>
      <c r="BV333" s="20"/>
      <c r="BW333" s="19"/>
      <c r="BX333" s="20"/>
      <c r="BY333" s="19"/>
      <c r="BZ333" s="20"/>
      <c r="CA333" s="19"/>
      <c r="CB333" s="20"/>
      <c r="CC333" s="19"/>
      <c r="CD333" s="20"/>
      <c r="CE333" s="19"/>
      <c r="CF333" s="20"/>
      <c r="CG333" s="19"/>
      <c r="CH333" s="20"/>
      <c r="CI333" s="19"/>
      <c r="CJ333" s="20"/>
      <c r="CK333" s="19"/>
      <c r="CL333" s="20"/>
      <c r="CM333" s="19"/>
      <c r="CN333" s="20"/>
      <c r="CO333" s="19"/>
      <c r="CP333" s="20"/>
      <c r="CQ333" s="19"/>
      <c r="CR333" s="20"/>
      <c r="CS333" s="19"/>
      <c r="CT333" s="20"/>
      <c r="CU333" s="19"/>
      <c r="CV333" s="20"/>
      <c r="CW333" s="19"/>
      <c r="CX333" s="20"/>
      <c r="CY333" s="19"/>
      <c r="CZ333" s="20"/>
      <c r="DA333" s="19"/>
      <c r="DB333" s="20"/>
      <c r="DC333" s="19"/>
      <c r="DD333" s="20"/>
      <c r="DE333" s="19"/>
      <c r="DF333" s="20"/>
      <c r="DG333" s="19"/>
      <c r="DH333" s="20"/>
      <c r="DI333" s="19"/>
      <c r="DJ333" s="20"/>
      <c r="DK333" s="19"/>
      <c r="DL333" s="20"/>
      <c r="DM333" s="19"/>
      <c r="DN333" s="20"/>
      <c r="DO333" s="19"/>
      <c r="DP333" s="20"/>
      <c r="DQ333" s="19"/>
      <c r="DR333" s="20"/>
      <c r="DS333" s="19"/>
      <c r="DT333" s="20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19"/>
      <c r="EO333" s="20"/>
      <c r="EP333" s="19"/>
      <c r="EQ333" s="20"/>
      <c r="ER333" s="19"/>
      <c r="ES333" s="20"/>
      <c r="ET333" s="19"/>
      <c r="EU333" s="20"/>
      <c r="EV333" s="19"/>
      <c r="EW333" s="20"/>
      <c r="EX333" s="19"/>
      <c r="EY333" s="20"/>
      <c r="EZ333" s="19"/>
      <c r="FA333" s="20"/>
      <c r="FB333" s="19"/>
      <c r="FC333" s="20"/>
      <c r="FD333" s="19"/>
      <c r="FE333" s="20"/>
      <c r="FF333" s="19"/>
      <c r="FG333" s="20"/>
      <c r="FH333" s="19"/>
      <c r="FI333" s="20"/>
      <c r="FJ333" s="19"/>
      <c r="FK333" s="20"/>
      <c r="FL333" s="19"/>
      <c r="FM333" s="20"/>
      <c r="FN333" s="19"/>
      <c r="FO333" s="20"/>
      <c r="FP333" s="19"/>
      <c r="FQ333" s="20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</row>
    <row r="334" spans="1:189" ht="15" customHeight="1" outlineLevel="2" x14ac:dyDescent="0.3">
      <c r="A334" s="63"/>
      <c r="B334" s="313" t="s">
        <v>256</v>
      </c>
      <c r="C334" s="313" t="s">
        <v>80</v>
      </c>
      <c r="D334" s="313" t="s">
        <v>96</v>
      </c>
      <c r="E334" s="313" t="s">
        <v>257</v>
      </c>
      <c r="F334" s="313" t="s">
        <v>27</v>
      </c>
      <c r="G334" s="5" t="s">
        <v>28</v>
      </c>
      <c r="H334" s="5"/>
      <c r="I334" s="327">
        <v>0.75</v>
      </c>
      <c r="J334" s="281"/>
      <c r="K334" s="327">
        <v>0.75</v>
      </c>
      <c r="L334" s="281"/>
      <c r="M334" s="327">
        <v>0.75</v>
      </c>
      <c r="N334" s="281"/>
      <c r="O334" s="327">
        <v>0.75</v>
      </c>
      <c r="P334" s="281"/>
      <c r="Q334" s="327">
        <v>0.75</v>
      </c>
      <c r="R334" s="281"/>
      <c r="S334" s="327">
        <v>0.75</v>
      </c>
      <c r="T334" s="281"/>
      <c r="U334" s="327">
        <v>0.75</v>
      </c>
      <c r="V334" s="281"/>
      <c r="W334" s="327">
        <v>0.75</v>
      </c>
      <c r="X334" s="281"/>
      <c r="Y334" s="327">
        <v>0.75</v>
      </c>
      <c r="Z334" s="281"/>
      <c r="AA334" s="327">
        <v>0.75</v>
      </c>
      <c r="AB334" s="281"/>
      <c r="AC334" s="327">
        <v>0.75</v>
      </c>
      <c r="AD334" s="281"/>
      <c r="AE334" s="327">
        <v>0.75</v>
      </c>
      <c r="AF334" s="281"/>
      <c r="AG334" s="327">
        <v>0.75</v>
      </c>
      <c r="AH334" s="281"/>
      <c r="AI334" s="327">
        <v>0.75</v>
      </c>
      <c r="AJ334" s="281"/>
      <c r="AK334" s="327">
        <v>0.75</v>
      </c>
      <c r="AL334" s="281"/>
      <c r="AM334" s="327">
        <v>0.75</v>
      </c>
      <c r="AN334" s="281"/>
      <c r="AO334" s="327">
        <v>0.75</v>
      </c>
      <c r="AP334" s="281"/>
      <c r="AQ334" s="327">
        <v>0.75</v>
      </c>
      <c r="AR334" s="281"/>
      <c r="AS334" s="327">
        <v>0.75</v>
      </c>
      <c r="AT334" s="281"/>
      <c r="AU334" s="327">
        <v>0.75</v>
      </c>
      <c r="AV334" s="281"/>
      <c r="AW334" s="327">
        <v>0.75</v>
      </c>
      <c r="AX334" s="281"/>
      <c r="AY334" s="327">
        <v>0.75</v>
      </c>
      <c r="AZ334" s="281"/>
      <c r="BA334" s="327">
        <v>0.75</v>
      </c>
      <c r="BB334" s="281"/>
      <c r="BC334" s="327">
        <v>0.75</v>
      </c>
      <c r="BD334" s="281"/>
      <c r="BE334" s="327">
        <v>0.75</v>
      </c>
      <c r="BF334" s="281"/>
      <c r="BG334" s="327">
        <v>0.75</v>
      </c>
      <c r="BH334" s="281"/>
      <c r="BI334" s="327">
        <v>0.75</v>
      </c>
      <c r="BJ334" s="281"/>
      <c r="BK334" s="327">
        <v>0.75</v>
      </c>
      <c r="BL334" s="281"/>
      <c r="BM334" s="327">
        <v>0.75</v>
      </c>
      <c r="BN334" s="281"/>
      <c r="BO334" s="327">
        <v>0.75</v>
      </c>
      <c r="BP334" s="281"/>
      <c r="BQ334" s="327">
        <v>0.75</v>
      </c>
      <c r="BR334" s="281"/>
      <c r="BS334" s="327">
        <v>0.75</v>
      </c>
      <c r="BT334" s="281"/>
      <c r="BU334" s="327">
        <v>0.75</v>
      </c>
      <c r="BV334" s="281"/>
      <c r="BW334" s="327">
        <v>0.75</v>
      </c>
      <c r="BX334" s="281"/>
      <c r="BY334" s="327">
        <v>0.75</v>
      </c>
      <c r="BZ334" s="281"/>
      <c r="CA334" s="327">
        <v>0.75</v>
      </c>
      <c r="CB334" s="281"/>
      <c r="CC334" s="327">
        <v>0.75</v>
      </c>
      <c r="CD334" s="281"/>
      <c r="CE334" s="327">
        <v>0.75</v>
      </c>
      <c r="CF334" s="281"/>
      <c r="CG334" s="327">
        <v>0.75</v>
      </c>
      <c r="CH334" s="281"/>
      <c r="CI334" s="327">
        <v>0.75</v>
      </c>
      <c r="CJ334" s="281"/>
      <c r="CK334" s="327">
        <v>0.75</v>
      </c>
      <c r="CL334" s="281"/>
      <c r="CM334" s="327">
        <v>0.75</v>
      </c>
      <c r="CN334" s="281"/>
      <c r="CO334" s="327">
        <v>0.75</v>
      </c>
      <c r="CP334" s="281"/>
      <c r="CQ334" s="327">
        <v>0.75</v>
      </c>
      <c r="CR334" s="281"/>
      <c r="CS334" s="327">
        <v>0.75</v>
      </c>
      <c r="CT334" s="281"/>
      <c r="CU334" s="327">
        <v>0.75</v>
      </c>
      <c r="CV334" s="281"/>
      <c r="CW334" s="327">
        <v>0.75</v>
      </c>
      <c r="CX334" s="281"/>
      <c r="CY334" s="327">
        <v>0.75</v>
      </c>
      <c r="CZ334" s="281"/>
      <c r="DA334" s="327">
        <v>0.75</v>
      </c>
      <c r="DB334" s="281"/>
      <c r="DC334" s="327">
        <v>0.75</v>
      </c>
      <c r="DD334" s="281"/>
      <c r="DE334" s="327">
        <v>0.75</v>
      </c>
      <c r="DF334" s="281"/>
      <c r="DG334" s="327">
        <v>0.75</v>
      </c>
      <c r="DH334" s="281"/>
      <c r="DI334" s="327">
        <v>0.75</v>
      </c>
      <c r="DJ334" s="281"/>
      <c r="DK334" s="327">
        <v>0.75</v>
      </c>
      <c r="DL334" s="281"/>
      <c r="DM334" s="327">
        <v>0.75</v>
      </c>
      <c r="DN334" s="281"/>
      <c r="DO334" s="327">
        <v>0.75</v>
      </c>
      <c r="DP334" s="281"/>
      <c r="DQ334" s="327">
        <v>0.75</v>
      </c>
      <c r="DR334" s="281"/>
      <c r="DS334" s="327">
        <v>0.75</v>
      </c>
      <c r="DT334" s="281"/>
      <c r="DU334" s="397" t="s">
        <v>115</v>
      </c>
      <c r="DV334" s="397" t="s">
        <v>115</v>
      </c>
      <c r="DW334" s="397" t="s">
        <v>115</v>
      </c>
      <c r="DX334" s="397" t="s">
        <v>115</v>
      </c>
      <c r="DY334" s="397" t="s">
        <v>115</v>
      </c>
      <c r="DZ334" s="397" t="s">
        <v>115</v>
      </c>
      <c r="EA334" s="397" t="s">
        <v>29</v>
      </c>
      <c r="EB334" s="397" t="s">
        <v>29</v>
      </c>
      <c r="EC334" s="397" t="s">
        <v>29</v>
      </c>
      <c r="ED334" s="397" t="s">
        <v>29</v>
      </c>
      <c r="EE334" s="397" t="s">
        <v>29</v>
      </c>
      <c r="EF334" s="397" t="s">
        <v>29</v>
      </c>
      <c r="EG334" s="397" t="s">
        <v>29</v>
      </c>
      <c r="EH334" s="397" t="s">
        <v>29</v>
      </c>
      <c r="EI334" s="397" t="s">
        <v>29</v>
      </c>
      <c r="EJ334" s="397" t="s">
        <v>29</v>
      </c>
      <c r="EK334" s="397" t="s">
        <v>29</v>
      </c>
      <c r="EL334" s="397" t="s">
        <v>29</v>
      </c>
      <c r="EM334" s="397"/>
      <c r="EN334" s="327">
        <v>0.75</v>
      </c>
      <c r="EO334" s="281"/>
      <c r="EP334" s="327">
        <v>0.75</v>
      </c>
      <c r="EQ334" s="281"/>
      <c r="ER334" s="327">
        <v>0.75</v>
      </c>
      <c r="ES334" s="281"/>
      <c r="ET334" s="327">
        <v>0.75</v>
      </c>
      <c r="EU334" s="281"/>
      <c r="EV334" s="327">
        <v>0.75</v>
      </c>
      <c r="EW334" s="281"/>
      <c r="EX334" s="327">
        <v>0.75</v>
      </c>
      <c r="EY334" s="281"/>
      <c r="EZ334" s="327">
        <v>0.75</v>
      </c>
      <c r="FA334" s="281"/>
      <c r="FB334" s="327">
        <v>0.75</v>
      </c>
      <c r="FC334" s="281"/>
      <c r="FD334" s="327">
        <v>0.75</v>
      </c>
      <c r="FE334" s="281"/>
      <c r="FF334" s="327">
        <v>0.75</v>
      </c>
      <c r="FG334" s="281"/>
      <c r="FH334" s="327">
        <v>0.75</v>
      </c>
      <c r="FI334" s="281"/>
      <c r="FJ334" s="327">
        <v>0.75</v>
      </c>
      <c r="FK334" s="281"/>
      <c r="FL334" s="327">
        <v>0.75</v>
      </c>
      <c r="FM334" s="281"/>
      <c r="FN334" s="327">
        <v>0.75</v>
      </c>
      <c r="FO334" s="281"/>
      <c r="FP334" s="327">
        <v>0.75</v>
      </c>
      <c r="FQ334" s="281"/>
      <c r="FR334" s="397" t="s">
        <v>29</v>
      </c>
      <c r="FS334" s="397" t="s">
        <v>29</v>
      </c>
      <c r="FT334" s="397" t="s">
        <v>29</v>
      </c>
      <c r="FU334" s="397" t="s">
        <v>29</v>
      </c>
      <c r="FV334" s="397" t="s">
        <v>29</v>
      </c>
      <c r="FW334" s="397" t="s">
        <v>29</v>
      </c>
      <c r="FX334" s="397" t="s">
        <v>29</v>
      </c>
      <c r="FY334" s="397" t="s">
        <v>29</v>
      </c>
      <c r="FZ334" s="397" t="s">
        <v>29</v>
      </c>
      <c r="GA334" s="397" t="s">
        <v>29</v>
      </c>
      <c r="GB334" s="397" t="s">
        <v>29</v>
      </c>
      <c r="GC334" s="397" t="s">
        <v>29</v>
      </c>
      <c r="GD334" s="397" t="s">
        <v>29</v>
      </c>
      <c r="GE334" s="397" t="s">
        <v>29</v>
      </c>
      <c r="GF334" s="493" t="s">
        <v>443</v>
      </c>
      <c r="GG334" s="493" t="s">
        <v>443</v>
      </c>
    </row>
    <row r="335" spans="1:189" ht="4.5" customHeight="1" outlineLevel="2" x14ac:dyDescent="0.3">
      <c r="A335" s="1"/>
      <c r="B335" s="301"/>
      <c r="C335" s="301"/>
      <c r="D335" s="301"/>
      <c r="E335" s="301"/>
      <c r="F335" s="301"/>
      <c r="G335" s="5"/>
      <c r="H335" s="5"/>
      <c r="I335" s="371"/>
      <c r="J335" s="281"/>
      <c r="K335" s="371"/>
      <c r="L335" s="281"/>
      <c r="M335" s="371"/>
      <c r="N335" s="281"/>
      <c r="O335" s="371"/>
      <c r="P335" s="281"/>
      <c r="Q335" s="328"/>
      <c r="R335" s="281"/>
      <c r="S335" s="328"/>
      <c r="T335" s="281"/>
      <c r="U335" s="371"/>
      <c r="V335" s="281"/>
      <c r="W335" s="371"/>
      <c r="X335" s="281"/>
      <c r="Y335" s="371"/>
      <c r="Z335" s="281"/>
      <c r="AA335" s="371"/>
      <c r="AB335" s="281"/>
      <c r="AC335" s="371"/>
      <c r="AD335" s="281"/>
      <c r="AE335" s="371"/>
      <c r="AF335" s="281"/>
      <c r="AG335" s="371"/>
      <c r="AH335" s="281"/>
      <c r="AI335" s="328"/>
      <c r="AJ335" s="281"/>
      <c r="AK335" s="282"/>
      <c r="AL335" s="281"/>
      <c r="AM335" s="328"/>
      <c r="AN335" s="281"/>
      <c r="AO335" s="282"/>
      <c r="AP335" s="281"/>
      <c r="AQ335" s="282"/>
      <c r="AR335" s="281"/>
      <c r="AS335" s="282"/>
      <c r="AT335" s="281"/>
      <c r="AU335" s="282"/>
      <c r="AV335" s="281"/>
      <c r="AW335" s="282"/>
      <c r="AX335" s="281"/>
      <c r="AY335" s="282"/>
      <c r="AZ335" s="281"/>
      <c r="BA335" s="282"/>
      <c r="BB335" s="281"/>
      <c r="BC335" s="282"/>
      <c r="BD335" s="281"/>
      <c r="BE335" s="282"/>
      <c r="BF335" s="281"/>
      <c r="BG335" s="282"/>
      <c r="BH335" s="281"/>
      <c r="BI335" s="282"/>
      <c r="BJ335" s="281"/>
      <c r="BK335" s="282"/>
      <c r="BL335" s="281"/>
      <c r="BM335" s="282"/>
      <c r="BN335" s="281"/>
      <c r="BO335" s="282"/>
      <c r="BP335" s="281"/>
      <c r="BQ335" s="282"/>
      <c r="BR335" s="281"/>
      <c r="BS335" s="282"/>
      <c r="BT335" s="281"/>
      <c r="BU335" s="282"/>
      <c r="BV335" s="281"/>
      <c r="BW335" s="282"/>
      <c r="BX335" s="281"/>
      <c r="BY335" s="282"/>
      <c r="BZ335" s="281"/>
      <c r="CA335" s="282"/>
      <c r="CB335" s="281"/>
      <c r="CC335" s="282"/>
      <c r="CD335" s="281"/>
      <c r="CE335" s="282"/>
      <c r="CF335" s="281"/>
      <c r="CG335" s="282"/>
      <c r="CH335" s="281"/>
      <c r="CI335" s="282"/>
      <c r="CJ335" s="281"/>
      <c r="CK335" s="282"/>
      <c r="CL335" s="281"/>
      <c r="CM335" s="282"/>
      <c r="CN335" s="281"/>
      <c r="CO335" s="282"/>
      <c r="CP335" s="281"/>
      <c r="CQ335" s="282"/>
      <c r="CR335" s="281"/>
      <c r="CS335" s="282"/>
      <c r="CT335" s="281"/>
      <c r="CU335" s="282"/>
      <c r="CV335" s="281"/>
      <c r="CW335" s="282"/>
      <c r="CX335" s="281"/>
      <c r="CY335" s="282"/>
      <c r="CZ335" s="281"/>
      <c r="DA335" s="282"/>
      <c r="DB335" s="281"/>
      <c r="DC335" s="282"/>
      <c r="DD335" s="281"/>
      <c r="DE335" s="282"/>
      <c r="DF335" s="281"/>
      <c r="DG335" s="282"/>
      <c r="DH335" s="281"/>
      <c r="DI335" s="282"/>
      <c r="DJ335" s="281"/>
      <c r="DK335" s="282"/>
      <c r="DL335" s="281"/>
      <c r="DM335" s="282"/>
      <c r="DN335" s="281"/>
      <c r="DO335" s="282"/>
      <c r="DP335" s="281"/>
      <c r="DQ335" s="282"/>
      <c r="DR335" s="281"/>
      <c r="DS335" s="282"/>
      <c r="DT335" s="281"/>
      <c r="DU335" s="301"/>
      <c r="DV335" s="301"/>
      <c r="DW335" s="301"/>
      <c r="DX335" s="301"/>
      <c r="DY335" s="301"/>
      <c r="DZ335" s="301"/>
      <c r="EA335" s="301"/>
      <c r="EB335" s="301"/>
      <c r="EC335" s="301"/>
      <c r="ED335" s="301"/>
      <c r="EE335" s="301"/>
      <c r="EF335" s="301"/>
      <c r="EG335" s="301"/>
      <c r="EH335" s="301"/>
      <c r="EI335" s="301"/>
      <c r="EJ335" s="301"/>
      <c r="EK335" s="301"/>
      <c r="EL335" s="301"/>
      <c r="EM335" s="301"/>
      <c r="EN335" s="282"/>
      <c r="EO335" s="281"/>
      <c r="EP335" s="282"/>
      <c r="EQ335" s="281"/>
      <c r="ER335" s="282"/>
      <c r="ES335" s="281"/>
      <c r="ET335" s="282"/>
      <c r="EU335" s="281"/>
      <c r="EV335" s="282"/>
      <c r="EW335" s="281"/>
      <c r="EX335" s="282"/>
      <c r="EY335" s="281"/>
      <c r="EZ335" s="282"/>
      <c r="FA335" s="281"/>
      <c r="FB335" s="282"/>
      <c r="FC335" s="281"/>
      <c r="FD335" s="282"/>
      <c r="FE335" s="281"/>
      <c r="FF335" s="282"/>
      <c r="FG335" s="281"/>
      <c r="FH335" s="282"/>
      <c r="FI335" s="281"/>
      <c r="FJ335" s="282"/>
      <c r="FK335" s="281"/>
      <c r="FL335" s="282"/>
      <c r="FM335" s="281"/>
      <c r="FN335" s="282"/>
      <c r="FO335" s="281"/>
      <c r="FP335" s="282"/>
      <c r="FQ335" s="281"/>
      <c r="FR335" s="301"/>
      <c r="FS335" s="301"/>
      <c r="FT335" s="301"/>
      <c r="FU335" s="301"/>
      <c r="FV335" s="301"/>
      <c r="FW335" s="301"/>
      <c r="FX335" s="301"/>
      <c r="FY335" s="301"/>
      <c r="FZ335" s="301"/>
      <c r="GA335" s="301"/>
      <c r="GB335" s="301"/>
      <c r="GC335" s="301"/>
      <c r="GD335" s="301"/>
      <c r="GE335" s="301"/>
      <c r="GF335" s="494"/>
      <c r="GG335" s="494"/>
    </row>
    <row r="336" spans="1:189" ht="15" customHeight="1" outlineLevel="2" x14ac:dyDescent="0.3">
      <c r="A336" s="1"/>
      <c r="B336" s="301"/>
      <c r="C336" s="301"/>
      <c r="D336" s="301"/>
      <c r="E336" s="301"/>
      <c r="F336" s="301"/>
      <c r="G336" s="5" t="s">
        <v>30</v>
      </c>
      <c r="H336" s="5"/>
      <c r="I336" s="283">
        <f>I337/I338</f>
        <v>0.66233333333333333</v>
      </c>
      <c r="J336" s="281"/>
      <c r="K336" s="283">
        <f>K337/K338</f>
        <v>0.71923937360178969</v>
      </c>
      <c r="L336" s="281"/>
      <c r="M336" s="283">
        <f>M337/M338</f>
        <v>0.72104404567699842</v>
      </c>
      <c r="N336" s="281"/>
      <c r="O336" s="283">
        <f>O337/O338</f>
        <v>0.73651452282157681</v>
      </c>
      <c r="P336" s="281"/>
      <c r="Q336" s="283">
        <f>Q337/Q338</f>
        <v>0.75652173913043474</v>
      </c>
      <c r="R336" s="281"/>
      <c r="S336" s="283">
        <f>S337/S338</f>
        <v>0.76114649681528668</v>
      </c>
      <c r="T336" s="281"/>
      <c r="U336" s="283">
        <f>U337/U338</f>
        <v>0.58990944372574383</v>
      </c>
      <c r="V336" s="281"/>
      <c r="W336" s="283">
        <f>W337/W338</f>
        <v>0.54633620689655171</v>
      </c>
      <c r="X336" s="281"/>
      <c r="Y336" s="283">
        <f>Y337/Y338</f>
        <v>0.53030303030303028</v>
      </c>
      <c r="Z336" s="281"/>
      <c r="AA336" s="283">
        <f>AA337/AA338</f>
        <v>0.65740740740740744</v>
      </c>
      <c r="AB336" s="281"/>
      <c r="AC336" s="283">
        <f>AC337/AC338</f>
        <v>0.7407407407407407</v>
      </c>
      <c r="AD336" s="281"/>
      <c r="AE336" s="283">
        <f>AE337/AE338</f>
        <v>0.60106382978723405</v>
      </c>
      <c r="AF336" s="281"/>
      <c r="AG336" s="283">
        <f>AG337/AG338</f>
        <v>0.7</v>
      </c>
      <c r="AH336" s="281"/>
      <c r="AI336" s="283">
        <f>AI337/AI338</f>
        <v>0.75301204819277112</v>
      </c>
      <c r="AJ336" s="281"/>
      <c r="AK336" s="283">
        <f>AK337/AK338</f>
        <v>0.7142857142857143</v>
      </c>
      <c r="AL336" s="281"/>
      <c r="AM336" s="283">
        <f>AM337/AM338</f>
        <v>0.76086956521739135</v>
      </c>
      <c r="AN336" s="281"/>
      <c r="AO336" s="283">
        <f>AO337/AO338</f>
        <v>0.58964143426294824</v>
      </c>
      <c r="AP336" s="281"/>
      <c r="AQ336" s="283">
        <f>AQ337/AQ338</f>
        <v>0.67870036101083031</v>
      </c>
      <c r="AR336" s="281"/>
      <c r="AS336" s="283">
        <f>AS337/AS338</f>
        <v>0.70652173913043481</v>
      </c>
      <c r="AT336" s="281"/>
      <c r="AU336" s="283">
        <f>AU337/AU338</f>
        <v>0.63344051446945338</v>
      </c>
      <c r="AV336" s="281"/>
      <c r="AW336" s="283">
        <f>AW337/AW338</f>
        <v>0.68224299065420557</v>
      </c>
      <c r="AX336" s="281"/>
      <c r="AY336" s="283">
        <f>AY337/AY338</f>
        <v>0.65671641791044777</v>
      </c>
      <c r="AZ336" s="281"/>
      <c r="BA336" s="283">
        <f>BA337/BA338</f>
        <v>0.58895705521472397</v>
      </c>
      <c r="BB336" s="281"/>
      <c r="BC336" s="283">
        <f>BC337/BC338</f>
        <v>0.7142857142857143</v>
      </c>
      <c r="BD336" s="281"/>
      <c r="BE336" s="283">
        <f>BE337/BE338</f>
        <v>0.60458452722063039</v>
      </c>
      <c r="BF336" s="281"/>
      <c r="BG336" s="283">
        <f>BG337/BG338</f>
        <v>0.61</v>
      </c>
      <c r="BH336" s="281"/>
      <c r="BI336" s="283">
        <f>BI337/BI338</f>
        <v>0.66176470588235292</v>
      </c>
      <c r="BJ336" s="281"/>
      <c r="BK336" s="283">
        <f>BK337/BK338</f>
        <v>0.59402985074626868</v>
      </c>
      <c r="BL336" s="281"/>
      <c r="BM336" s="283">
        <f>BM337/BM338</f>
        <v>0.58333333333333337</v>
      </c>
      <c r="BN336" s="281"/>
      <c r="BO336" s="283">
        <f>BO337/BO338</f>
        <v>0.64179104477611937</v>
      </c>
      <c r="BP336" s="281"/>
      <c r="BQ336" s="283">
        <f>BQ337/BQ338</f>
        <v>0.61878453038674031</v>
      </c>
      <c r="BR336" s="281"/>
      <c r="BS336" s="283">
        <f>BS337/BS338</f>
        <v>0.61702127659574468</v>
      </c>
      <c r="BT336" s="281"/>
      <c r="BU336" s="283">
        <f>BU337/BU338</f>
        <v>0.56756756756756754</v>
      </c>
      <c r="BV336" s="281"/>
      <c r="BW336" s="283">
        <f>BW337/BW338</f>
        <v>0.68292682926829273</v>
      </c>
      <c r="BX336" s="281"/>
      <c r="BY336" s="283">
        <f>BY337/BY338</f>
        <v>0.67080745341614911</v>
      </c>
      <c r="BZ336" s="281"/>
      <c r="CA336" s="283">
        <f>CA337/CA338</f>
        <v>0.2</v>
      </c>
      <c r="CB336" s="281"/>
      <c r="CC336" s="429"/>
      <c r="CD336" s="281"/>
      <c r="CE336" s="429"/>
      <c r="CF336" s="281"/>
      <c r="CG336" s="429"/>
      <c r="CH336" s="281"/>
      <c r="CI336" s="429"/>
      <c r="CJ336" s="281"/>
      <c r="CK336" s="429"/>
      <c r="CL336" s="281"/>
      <c r="CM336" s="429"/>
      <c r="CN336" s="281"/>
      <c r="CO336" s="429"/>
      <c r="CP336" s="281"/>
      <c r="CQ336" s="283">
        <f>CQ337/CQ338</f>
        <v>0.47580645161290325</v>
      </c>
      <c r="CR336" s="281"/>
      <c r="CS336" s="283">
        <f>CS337/CS338</f>
        <v>0.53403141361256545</v>
      </c>
      <c r="CT336" s="281"/>
      <c r="CU336" s="283">
        <f>CU337/CU338</f>
        <v>0.5220588235294118</v>
      </c>
      <c r="CV336" s="281"/>
      <c r="CW336" s="283">
        <f>CW337/CW338</f>
        <v>0.5220588235294118</v>
      </c>
      <c r="CX336" s="281"/>
      <c r="CY336" s="283">
        <f>CY337/CY338</f>
        <v>0.66874999999999996</v>
      </c>
      <c r="CZ336" s="281"/>
      <c r="DA336" s="283">
        <f>DA337/DA338</f>
        <v>0.66666666666666663</v>
      </c>
      <c r="DB336" s="281"/>
      <c r="DC336" s="283">
        <f>DC337/DC338</f>
        <v>0.65306122448979587</v>
      </c>
      <c r="DD336" s="281"/>
      <c r="DE336" s="283">
        <f>DE337/DE338</f>
        <v>0.64321608040201006</v>
      </c>
      <c r="DF336" s="281"/>
      <c r="DG336" s="283">
        <f>DG337/DG338</f>
        <v>0.57264957264957261</v>
      </c>
      <c r="DH336" s="281"/>
      <c r="DI336" s="283">
        <f>DI337/DI338</f>
        <v>0.57558139534883723</v>
      </c>
      <c r="DJ336" s="281"/>
      <c r="DK336" s="283">
        <f>DK337/DK338</f>
        <v>0.56976744186046513</v>
      </c>
      <c r="DL336" s="281"/>
      <c r="DM336" s="283">
        <f>DM337/DM338</f>
        <v>0.62278481012658227</v>
      </c>
      <c r="DN336" s="281"/>
      <c r="DO336" s="283">
        <f>DO337/DO338</f>
        <v>0.6470588235294118</v>
      </c>
      <c r="DP336" s="281"/>
      <c r="DQ336" s="283">
        <f>DQ337/DQ338</f>
        <v>0.6728395061728395</v>
      </c>
      <c r="DR336" s="281"/>
      <c r="DS336" s="283">
        <f>DS337/DS338</f>
        <v>0.68543046357615889</v>
      </c>
      <c r="DT336" s="281"/>
      <c r="DU336" s="301"/>
      <c r="DV336" s="301"/>
      <c r="DW336" s="301"/>
      <c r="DX336" s="301"/>
      <c r="DY336" s="301"/>
      <c r="DZ336" s="301"/>
      <c r="EA336" s="301"/>
      <c r="EB336" s="301"/>
      <c r="EC336" s="301"/>
      <c r="ED336" s="301"/>
      <c r="EE336" s="301"/>
      <c r="EF336" s="301"/>
      <c r="EG336" s="301"/>
      <c r="EH336" s="301"/>
      <c r="EI336" s="301"/>
      <c r="EJ336" s="301"/>
      <c r="EK336" s="301"/>
      <c r="EL336" s="301"/>
      <c r="EM336" s="301"/>
      <c r="EN336" s="283">
        <f>EN337/EN338</f>
        <v>0.57720588235294112</v>
      </c>
      <c r="EO336" s="281"/>
      <c r="EP336" s="283">
        <f>EP337/EP338</f>
        <v>0.52301255230125521</v>
      </c>
      <c r="EQ336" s="281"/>
      <c r="ER336" s="283">
        <f>ER337/ER338</f>
        <v>0.57692307692307687</v>
      </c>
      <c r="ES336" s="281"/>
      <c r="ET336" s="283">
        <f>ET337/ET338</f>
        <v>0.43906020558002939</v>
      </c>
      <c r="EU336" s="281"/>
      <c r="EV336" s="283">
        <f>EV337/EV338</f>
        <v>0.43107769423558895</v>
      </c>
      <c r="EW336" s="281"/>
      <c r="EX336" s="283">
        <f>EX337/EX338</f>
        <v>0.44602272727272729</v>
      </c>
      <c r="EY336" s="281"/>
      <c r="EZ336" s="283">
        <f>EZ337/EZ338</f>
        <v>0.41064638783269963</v>
      </c>
      <c r="FA336" s="281"/>
      <c r="FB336" s="283">
        <f>FB337/FB338</f>
        <v>0.52362948960302458</v>
      </c>
      <c r="FC336" s="281"/>
      <c r="FD336" s="283">
        <f>FD337/FD338</f>
        <v>0.59473684210526312</v>
      </c>
      <c r="FE336" s="281"/>
      <c r="FF336" s="283">
        <f>FF337/FF338</f>
        <v>0.51538461538461533</v>
      </c>
      <c r="FG336" s="281"/>
      <c r="FH336" s="283">
        <f>FH337/FH338</f>
        <v>0.49180327868852458</v>
      </c>
      <c r="FI336" s="281"/>
      <c r="FJ336" s="283">
        <f>FJ337/FJ338</f>
        <v>0.47608200455580868</v>
      </c>
      <c r="FK336" s="281"/>
      <c r="FL336" s="283">
        <f>FL337/FL338</f>
        <v>0.43430656934306572</v>
      </c>
      <c r="FM336" s="281"/>
      <c r="FN336" s="283">
        <f>FN337/FN338</f>
        <v>0.43620178041543028</v>
      </c>
      <c r="FO336" s="281"/>
      <c r="FP336" s="283">
        <f>FP337/FP338</f>
        <v>0.59390862944162437</v>
      </c>
      <c r="FQ336" s="281"/>
      <c r="FR336" s="301"/>
      <c r="FS336" s="301"/>
      <c r="FT336" s="301"/>
      <c r="FU336" s="301"/>
      <c r="FV336" s="301"/>
      <c r="FW336" s="301"/>
      <c r="FX336" s="301"/>
      <c r="FY336" s="301"/>
      <c r="FZ336" s="301"/>
      <c r="GA336" s="301"/>
      <c r="GB336" s="301"/>
      <c r="GC336" s="301"/>
      <c r="GD336" s="301"/>
      <c r="GE336" s="301"/>
      <c r="GF336" s="494"/>
      <c r="GG336" s="494"/>
    </row>
    <row r="337" spans="1:189" ht="15" customHeight="1" outlineLevel="2" x14ac:dyDescent="0.3">
      <c r="A337" s="1"/>
      <c r="B337" s="301"/>
      <c r="C337" s="301"/>
      <c r="D337" s="301"/>
      <c r="E337" s="301"/>
      <c r="F337" s="301"/>
      <c r="G337" s="5" t="s">
        <v>255</v>
      </c>
      <c r="H337" s="5"/>
      <c r="I337" s="284">
        <f t="shared" ref="I337:I338" si="723">SUM(K337:AH337)</f>
        <v>3974</v>
      </c>
      <c r="J337" s="281"/>
      <c r="K337" s="284">
        <v>643</v>
      </c>
      <c r="L337" s="281"/>
      <c r="M337" s="284">
        <v>442</v>
      </c>
      <c r="N337" s="281"/>
      <c r="O337" s="284">
        <v>355</v>
      </c>
      <c r="P337" s="281"/>
      <c r="Q337" s="284">
        <v>522</v>
      </c>
      <c r="R337" s="281"/>
      <c r="S337" s="284">
        <v>239</v>
      </c>
      <c r="T337" s="281"/>
      <c r="U337" s="284">
        <v>456</v>
      </c>
      <c r="V337" s="281"/>
      <c r="W337" s="284">
        <v>507</v>
      </c>
      <c r="X337" s="281"/>
      <c r="Y337" s="284">
        <v>245</v>
      </c>
      <c r="Z337" s="281"/>
      <c r="AA337" s="284">
        <v>213</v>
      </c>
      <c r="AB337" s="281"/>
      <c r="AC337" s="284">
        <v>120</v>
      </c>
      <c r="AD337" s="281"/>
      <c r="AE337" s="284">
        <v>113</v>
      </c>
      <c r="AF337" s="281"/>
      <c r="AG337" s="284">
        <v>119</v>
      </c>
      <c r="AH337" s="281"/>
      <c r="AI337" s="152">
        <v>125</v>
      </c>
      <c r="AJ337" s="153">
        <f>AI337*AI336</f>
        <v>94.126506024096386</v>
      </c>
      <c r="AK337" s="152">
        <v>90</v>
      </c>
      <c r="AL337" s="153">
        <f>AK337*AK336</f>
        <v>64.285714285714292</v>
      </c>
      <c r="AM337" s="86">
        <v>105</v>
      </c>
      <c r="AN337" s="153">
        <f>AM337*AM336</f>
        <v>79.891304347826093</v>
      </c>
      <c r="AO337" s="86">
        <v>148</v>
      </c>
      <c r="AP337" s="153">
        <f>AO337*AO336</f>
        <v>87.266932270916342</v>
      </c>
      <c r="AQ337" s="86">
        <v>188</v>
      </c>
      <c r="AR337" s="153">
        <f>AQ337*AQ336</f>
        <v>127.5956678700361</v>
      </c>
      <c r="AS337" s="86">
        <v>130</v>
      </c>
      <c r="AT337" s="153">
        <f>AS337*AS336</f>
        <v>91.84782608695653</v>
      </c>
      <c r="AU337" s="86">
        <v>197</v>
      </c>
      <c r="AV337" s="153">
        <f>AU337*AU336</f>
        <v>124.78778135048232</v>
      </c>
      <c r="AW337" s="86">
        <v>146</v>
      </c>
      <c r="AX337" s="153">
        <f>AW337*AW336</f>
        <v>99.607476635514018</v>
      </c>
      <c r="AY337" s="86">
        <v>88</v>
      </c>
      <c r="AZ337" s="153">
        <f>AY337*AY336</f>
        <v>57.791044776119406</v>
      </c>
      <c r="BA337" s="86">
        <v>96</v>
      </c>
      <c r="BB337" s="153">
        <f>BA337*BA336</f>
        <v>56.539877300613497</v>
      </c>
      <c r="BC337" s="86">
        <v>35</v>
      </c>
      <c r="BD337" s="153">
        <f>BC337*BC336</f>
        <v>25</v>
      </c>
      <c r="BE337" s="86">
        <v>211</v>
      </c>
      <c r="BF337" s="153">
        <f>BE337*BE336</f>
        <v>127.56733524355302</v>
      </c>
      <c r="BG337" s="86">
        <v>183</v>
      </c>
      <c r="BH337" s="153">
        <f>BG337*BG336</f>
        <v>111.63</v>
      </c>
      <c r="BI337" s="86">
        <v>180</v>
      </c>
      <c r="BJ337" s="153">
        <f>BI337*BI336</f>
        <v>119.11764705882352</v>
      </c>
      <c r="BK337" s="86">
        <v>199</v>
      </c>
      <c r="BL337" s="153">
        <f>BK337*BK336</f>
        <v>118.21194029850747</v>
      </c>
      <c r="BM337" s="86">
        <v>126</v>
      </c>
      <c r="BN337" s="153">
        <f>BM337*BM336</f>
        <v>73.5</v>
      </c>
      <c r="BO337" s="86">
        <v>129</v>
      </c>
      <c r="BP337" s="153">
        <f>BO337*BO336</f>
        <v>82.791044776119392</v>
      </c>
      <c r="BQ337" s="86">
        <v>112</v>
      </c>
      <c r="BR337" s="153">
        <f>BQ337*BQ336</f>
        <v>69.303867403314911</v>
      </c>
      <c r="BS337" s="86">
        <v>87</v>
      </c>
      <c r="BT337" s="153">
        <f>BS337*BS336</f>
        <v>53.680851063829785</v>
      </c>
      <c r="BU337" s="86">
        <v>105</v>
      </c>
      <c r="BV337" s="153">
        <f>BU337*BU336</f>
        <v>59.594594594594589</v>
      </c>
      <c r="BW337" s="86">
        <v>112</v>
      </c>
      <c r="BX337" s="153">
        <f>BW337*BW336</f>
        <v>76.487804878048792</v>
      </c>
      <c r="BY337" s="86">
        <v>108</v>
      </c>
      <c r="BZ337" s="153">
        <f>BY337*BY336</f>
        <v>72.447204968944106</v>
      </c>
      <c r="CA337" s="86">
        <v>2</v>
      </c>
      <c r="CB337" s="153">
        <f>CA337*CA336</f>
        <v>0.4</v>
      </c>
      <c r="CC337" s="87"/>
      <c r="CD337" s="154"/>
      <c r="CE337" s="87"/>
      <c r="CF337" s="154"/>
      <c r="CG337" s="87"/>
      <c r="CH337" s="154"/>
      <c r="CI337" s="87"/>
      <c r="CJ337" s="154"/>
      <c r="CK337" s="87"/>
      <c r="CL337" s="154"/>
      <c r="CM337" s="87"/>
      <c r="CN337" s="154"/>
      <c r="CO337" s="87"/>
      <c r="CP337" s="154"/>
      <c r="CQ337" s="155">
        <v>59</v>
      </c>
      <c r="CR337" s="153">
        <f>CQ337*CQ336</f>
        <v>28.072580645161292</v>
      </c>
      <c r="CS337" s="155">
        <v>102</v>
      </c>
      <c r="CT337" s="153">
        <f>CS337*CS336</f>
        <v>54.471204188481678</v>
      </c>
      <c r="CU337" s="155">
        <v>71</v>
      </c>
      <c r="CV337" s="153">
        <f>CU337*CU336</f>
        <v>37.066176470588239</v>
      </c>
      <c r="CW337" s="155">
        <v>71</v>
      </c>
      <c r="CX337" s="153">
        <f>CW337*CW336</f>
        <v>37.066176470588239</v>
      </c>
      <c r="CY337" s="155">
        <v>107</v>
      </c>
      <c r="CZ337" s="153">
        <f>CY337*CY336</f>
        <v>71.556249999999991</v>
      </c>
      <c r="DA337" s="155">
        <v>138</v>
      </c>
      <c r="DB337" s="153">
        <f>DA337*DA336</f>
        <v>92</v>
      </c>
      <c r="DC337" s="155">
        <v>96</v>
      </c>
      <c r="DD337" s="153">
        <f>DC337*DC336</f>
        <v>62.693877551020407</v>
      </c>
      <c r="DE337" s="155">
        <v>128</v>
      </c>
      <c r="DF337" s="153">
        <f>DE337*DE336</f>
        <v>82.331658291457288</v>
      </c>
      <c r="DG337" s="155">
        <v>134</v>
      </c>
      <c r="DH337" s="153">
        <f>DG337*DG336</f>
        <v>76.735042735042725</v>
      </c>
      <c r="DI337" s="155">
        <v>99</v>
      </c>
      <c r="DJ337" s="153">
        <f>DI337*DI336</f>
        <v>56.982558139534888</v>
      </c>
      <c r="DK337" s="155">
        <v>98</v>
      </c>
      <c r="DL337" s="153">
        <f>DK337*DK336</f>
        <v>55.837209302325583</v>
      </c>
      <c r="DM337" s="155">
        <v>246</v>
      </c>
      <c r="DN337" s="153">
        <f>DM337*DM336</f>
        <v>153.20506329113923</v>
      </c>
      <c r="DO337" s="155">
        <v>242</v>
      </c>
      <c r="DP337" s="153">
        <f>DO337*DO336</f>
        <v>156.58823529411765</v>
      </c>
      <c r="DQ337" s="155">
        <v>218</v>
      </c>
      <c r="DR337" s="153">
        <f>DQ337*DQ336</f>
        <v>146.67901234567901</v>
      </c>
      <c r="DS337" s="155">
        <v>207</v>
      </c>
      <c r="DT337" s="153">
        <f>DS337*DS336</f>
        <v>141.88410596026489</v>
      </c>
      <c r="DU337" s="301"/>
      <c r="DV337" s="301"/>
      <c r="DW337" s="301"/>
      <c r="DX337" s="301"/>
      <c r="DY337" s="301"/>
      <c r="DZ337" s="301"/>
      <c r="EA337" s="301"/>
      <c r="EB337" s="301"/>
      <c r="EC337" s="301"/>
      <c r="ED337" s="301"/>
      <c r="EE337" s="301"/>
      <c r="EF337" s="301"/>
      <c r="EG337" s="301"/>
      <c r="EH337" s="301"/>
      <c r="EI337" s="301"/>
      <c r="EJ337" s="301"/>
      <c r="EK337" s="301"/>
      <c r="EL337" s="301"/>
      <c r="EM337" s="301"/>
      <c r="EN337" s="155">
        <v>314</v>
      </c>
      <c r="EO337" s="153">
        <f>EN337*EN336</f>
        <v>181.24264705882351</v>
      </c>
      <c r="EP337" s="155">
        <v>250</v>
      </c>
      <c r="EQ337" s="153">
        <f>EP337*EP336</f>
        <v>130.75313807531381</v>
      </c>
      <c r="ER337" s="155">
        <v>330</v>
      </c>
      <c r="ES337" s="153">
        <f>ER337*ER336</f>
        <v>190.38461538461536</v>
      </c>
      <c r="ET337" s="155">
        <v>299</v>
      </c>
      <c r="EU337" s="153">
        <f>ET337*ET336</f>
        <v>131.27900146842879</v>
      </c>
      <c r="EV337" s="155">
        <v>344</v>
      </c>
      <c r="EW337" s="153">
        <f>EV337*EV336</f>
        <v>148.29072681704261</v>
      </c>
      <c r="EX337" s="155">
        <v>314</v>
      </c>
      <c r="EY337" s="153">
        <f>EX337*EX336</f>
        <v>140.05113636363637</v>
      </c>
      <c r="EZ337" s="86">
        <v>216</v>
      </c>
      <c r="FA337" s="153">
        <f>EZ337*EZ336</f>
        <v>88.699619771863127</v>
      </c>
      <c r="FB337" s="86">
        <v>277</v>
      </c>
      <c r="FC337" s="153">
        <f>FB337*FB336</f>
        <v>145.04536862003781</v>
      </c>
      <c r="FD337" s="86">
        <v>226</v>
      </c>
      <c r="FE337" s="153">
        <f>FD337*FD336</f>
        <v>134.41052631578947</v>
      </c>
      <c r="FF337" s="86">
        <v>268</v>
      </c>
      <c r="FG337" s="153">
        <f>FF337*FF336</f>
        <v>138.12307692307689</v>
      </c>
      <c r="FH337" s="86">
        <v>270</v>
      </c>
      <c r="FI337" s="153">
        <f>FH337*FH336</f>
        <v>132.78688524590163</v>
      </c>
      <c r="FJ337" s="86">
        <v>209</v>
      </c>
      <c r="FK337" s="153">
        <f>FJ337*FJ336</f>
        <v>99.501138952164013</v>
      </c>
      <c r="FL337" s="86">
        <v>119</v>
      </c>
      <c r="FM337" s="153">
        <f>FL337*FL336</f>
        <v>51.682481751824824</v>
      </c>
      <c r="FN337" s="86">
        <v>147</v>
      </c>
      <c r="FO337" s="153">
        <f>FN337*FN336</f>
        <v>64.12166172106825</v>
      </c>
      <c r="FP337" s="86">
        <v>117</v>
      </c>
      <c r="FQ337" s="153">
        <f>FP337*FP336</f>
        <v>69.487309644670049</v>
      </c>
      <c r="FR337" s="301"/>
      <c r="FS337" s="301"/>
      <c r="FT337" s="301"/>
      <c r="FU337" s="301"/>
      <c r="FV337" s="301"/>
      <c r="FW337" s="301"/>
      <c r="FX337" s="301"/>
      <c r="FY337" s="301"/>
      <c r="FZ337" s="301"/>
      <c r="GA337" s="301"/>
      <c r="GB337" s="301"/>
      <c r="GC337" s="301"/>
      <c r="GD337" s="301"/>
      <c r="GE337" s="301"/>
      <c r="GF337" s="494"/>
      <c r="GG337" s="494"/>
    </row>
    <row r="338" spans="1:189" ht="15" customHeight="1" outlineLevel="3" x14ac:dyDescent="0.3">
      <c r="A338" s="1"/>
      <c r="B338" s="301"/>
      <c r="C338" s="301"/>
      <c r="D338" s="301"/>
      <c r="E338" s="301"/>
      <c r="F338" s="301"/>
      <c r="G338" s="5" t="s">
        <v>258</v>
      </c>
      <c r="H338" s="5"/>
      <c r="I338" s="284">
        <f t="shared" si="723"/>
        <v>6000</v>
      </c>
      <c r="J338" s="281"/>
      <c r="K338" s="284">
        <v>894</v>
      </c>
      <c r="L338" s="281"/>
      <c r="M338" s="284">
        <v>613</v>
      </c>
      <c r="N338" s="281"/>
      <c r="O338" s="284">
        <v>482</v>
      </c>
      <c r="P338" s="281"/>
      <c r="Q338" s="284">
        <v>690</v>
      </c>
      <c r="R338" s="281"/>
      <c r="S338" s="284">
        <f>S143</f>
        <v>314</v>
      </c>
      <c r="T338" s="281"/>
      <c r="U338" s="284">
        <v>773</v>
      </c>
      <c r="V338" s="281"/>
      <c r="W338" s="284">
        <v>928</v>
      </c>
      <c r="X338" s="281"/>
      <c r="Y338" s="284">
        <v>462</v>
      </c>
      <c r="Z338" s="281"/>
      <c r="AA338" s="284">
        <v>324</v>
      </c>
      <c r="AB338" s="281"/>
      <c r="AC338" s="284">
        <v>162</v>
      </c>
      <c r="AD338" s="281"/>
      <c r="AE338" s="284">
        <v>188</v>
      </c>
      <c r="AF338" s="281"/>
      <c r="AG338" s="284">
        <v>170</v>
      </c>
      <c r="AH338" s="281"/>
      <c r="AI338" s="284">
        <v>166</v>
      </c>
      <c r="AJ338" s="281"/>
      <c r="AK338" s="284">
        <v>126</v>
      </c>
      <c r="AL338" s="281"/>
      <c r="AM338" s="284">
        <v>138</v>
      </c>
      <c r="AN338" s="281"/>
      <c r="AO338" s="284">
        <v>251</v>
      </c>
      <c r="AP338" s="281"/>
      <c r="AQ338" s="284">
        <v>277</v>
      </c>
      <c r="AR338" s="281"/>
      <c r="AS338" s="284">
        <v>184</v>
      </c>
      <c r="AT338" s="281"/>
      <c r="AU338" s="284">
        <v>311</v>
      </c>
      <c r="AV338" s="281"/>
      <c r="AW338" s="284">
        <v>214</v>
      </c>
      <c r="AX338" s="281"/>
      <c r="AY338" s="284">
        <v>134</v>
      </c>
      <c r="AZ338" s="281"/>
      <c r="BA338" s="284">
        <v>163</v>
      </c>
      <c r="BB338" s="281"/>
      <c r="BC338" s="284">
        <v>49</v>
      </c>
      <c r="BD338" s="281"/>
      <c r="BE338" s="284">
        <v>349</v>
      </c>
      <c r="BF338" s="281"/>
      <c r="BG338" s="284">
        <v>300</v>
      </c>
      <c r="BH338" s="281"/>
      <c r="BI338" s="284">
        <v>272</v>
      </c>
      <c r="BJ338" s="281"/>
      <c r="BK338" s="284">
        <v>335</v>
      </c>
      <c r="BL338" s="281"/>
      <c r="BM338" s="284">
        <v>216</v>
      </c>
      <c r="BN338" s="281"/>
      <c r="BO338" s="284">
        <v>201</v>
      </c>
      <c r="BP338" s="281"/>
      <c r="BQ338" s="284">
        <v>181</v>
      </c>
      <c r="BR338" s="281"/>
      <c r="BS338" s="284">
        <v>141</v>
      </c>
      <c r="BT338" s="281"/>
      <c r="BU338" s="284">
        <v>185</v>
      </c>
      <c r="BV338" s="281"/>
      <c r="BW338" s="284">
        <v>164</v>
      </c>
      <c r="BX338" s="281"/>
      <c r="BY338" s="284">
        <v>161</v>
      </c>
      <c r="BZ338" s="281"/>
      <c r="CA338" s="284">
        <v>10</v>
      </c>
      <c r="CB338" s="281"/>
      <c r="CC338" s="284"/>
      <c r="CD338" s="281"/>
      <c r="CE338" s="284"/>
      <c r="CF338" s="281"/>
      <c r="CG338" s="284"/>
      <c r="CH338" s="281"/>
      <c r="CI338" s="284"/>
      <c r="CJ338" s="281"/>
      <c r="CK338" s="284"/>
      <c r="CL338" s="281"/>
      <c r="CM338" s="284"/>
      <c r="CN338" s="281"/>
      <c r="CO338" s="284"/>
      <c r="CP338" s="281"/>
      <c r="CQ338" s="284">
        <v>124</v>
      </c>
      <c r="CR338" s="281"/>
      <c r="CS338" s="284">
        <v>191</v>
      </c>
      <c r="CT338" s="281"/>
      <c r="CU338" s="284">
        <v>136</v>
      </c>
      <c r="CV338" s="281"/>
      <c r="CW338" s="284">
        <v>136</v>
      </c>
      <c r="CX338" s="281"/>
      <c r="CY338" s="284">
        <v>160</v>
      </c>
      <c r="CZ338" s="281"/>
      <c r="DA338" s="284">
        <v>207</v>
      </c>
      <c r="DB338" s="281"/>
      <c r="DC338" s="284">
        <v>147</v>
      </c>
      <c r="DD338" s="281"/>
      <c r="DE338" s="284">
        <v>199</v>
      </c>
      <c r="DF338" s="281"/>
      <c r="DG338" s="284">
        <v>234</v>
      </c>
      <c r="DH338" s="281"/>
      <c r="DI338" s="284">
        <v>172</v>
      </c>
      <c r="DJ338" s="281"/>
      <c r="DK338" s="284">
        <v>172</v>
      </c>
      <c r="DL338" s="281"/>
      <c r="DM338" s="284">
        <v>395</v>
      </c>
      <c r="DN338" s="281"/>
      <c r="DO338" s="284">
        <v>374</v>
      </c>
      <c r="DP338" s="281"/>
      <c r="DQ338" s="284">
        <v>324</v>
      </c>
      <c r="DR338" s="281"/>
      <c r="DS338" s="284">
        <v>302</v>
      </c>
      <c r="DT338" s="281"/>
      <c r="DU338" s="302"/>
      <c r="DV338" s="302"/>
      <c r="DW338" s="302"/>
      <c r="DX338" s="302"/>
      <c r="DY338" s="302"/>
      <c r="DZ338" s="302"/>
      <c r="EA338" s="302"/>
      <c r="EB338" s="302"/>
      <c r="EC338" s="302"/>
      <c r="ED338" s="302"/>
      <c r="EE338" s="302"/>
      <c r="EF338" s="302"/>
      <c r="EG338" s="302"/>
      <c r="EH338" s="302"/>
      <c r="EI338" s="302"/>
      <c r="EJ338" s="302"/>
      <c r="EK338" s="302"/>
      <c r="EL338" s="302"/>
      <c r="EM338" s="302"/>
      <c r="EN338" s="284">
        <v>544</v>
      </c>
      <c r="EO338" s="281"/>
      <c r="EP338" s="284">
        <v>478</v>
      </c>
      <c r="EQ338" s="281"/>
      <c r="ER338" s="284">
        <v>572</v>
      </c>
      <c r="ES338" s="281"/>
      <c r="ET338" s="284">
        <v>681</v>
      </c>
      <c r="EU338" s="281"/>
      <c r="EV338" s="284">
        <v>798</v>
      </c>
      <c r="EW338" s="281"/>
      <c r="EX338" s="284">
        <v>704</v>
      </c>
      <c r="EY338" s="281"/>
      <c r="EZ338" s="284">
        <v>526</v>
      </c>
      <c r="FA338" s="281"/>
      <c r="FB338" s="284">
        <v>529</v>
      </c>
      <c r="FC338" s="281"/>
      <c r="FD338" s="284">
        <v>380</v>
      </c>
      <c r="FE338" s="281"/>
      <c r="FF338" s="284">
        <v>520</v>
      </c>
      <c r="FG338" s="281"/>
      <c r="FH338" s="284">
        <v>549</v>
      </c>
      <c r="FI338" s="281"/>
      <c r="FJ338" s="284">
        <v>439</v>
      </c>
      <c r="FK338" s="281"/>
      <c r="FL338" s="284">
        <v>274</v>
      </c>
      <c r="FM338" s="281"/>
      <c r="FN338" s="284">
        <v>337</v>
      </c>
      <c r="FO338" s="281"/>
      <c r="FP338" s="284">
        <v>197</v>
      </c>
      <c r="FQ338" s="281"/>
      <c r="FR338" s="302"/>
      <c r="FS338" s="302"/>
      <c r="FT338" s="302"/>
      <c r="FU338" s="302"/>
      <c r="FV338" s="302"/>
      <c r="FW338" s="302"/>
      <c r="FX338" s="302"/>
      <c r="FY338" s="302"/>
      <c r="FZ338" s="302"/>
      <c r="GA338" s="302"/>
      <c r="GB338" s="302"/>
      <c r="GC338" s="302"/>
      <c r="GD338" s="302"/>
      <c r="GE338" s="302"/>
      <c r="GF338" s="494"/>
      <c r="GG338" s="494"/>
    </row>
    <row r="339" spans="1:189" ht="12.6" customHeight="1" outlineLevel="3" x14ac:dyDescent="0.3">
      <c r="A339" s="1"/>
      <c r="B339" s="302"/>
      <c r="C339" s="302"/>
      <c r="D339" s="302"/>
      <c r="E339" s="302"/>
      <c r="F339" s="302"/>
      <c r="G339" s="5" t="s">
        <v>259</v>
      </c>
      <c r="H339" s="5"/>
      <c r="I339" s="284"/>
      <c r="J339" s="281"/>
      <c r="K339" s="284">
        <v>3377</v>
      </c>
      <c r="L339" s="281"/>
      <c r="M339" s="284">
        <v>2266</v>
      </c>
      <c r="N339" s="281"/>
      <c r="O339" s="284">
        <v>1994</v>
      </c>
      <c r="P339" s="281"/>
      <c r="Q339" s="284">
        <v>2574</v>
      </c>
      <c r="R339" s="281"/>
      <c r="S339" s="284">
        <f>S144</f>
        <v>2510</v>
      </c>
      <c r="T339" s="281"/>
      <c r="U339" s="284">
        <v>2939</v>
      </c>
      <c r="V339" s="281"/>
      <c r="W339" s="284"/>
      <c r="X339" s="281"/>
      <c r="Y339" s="284"/>
      <c r="Z339" s="281"/>
      <c r="AA339" s="284"/>
      <c r="AB339" s="281"/>
      <c r="AC339" s="284"/>
      <c r="AD339" s="281"/>
      <c r="AE339" s="284"/>
      <c r="AF339" s="281"/>
      <c r="AG339" s="284"/>
      <c r="AH339" s="281"/>
      <c r="AI339" s="284"/>
      <c r="AJ339" s="281"/>
      <c r="AK339" s="284"/>
      <c r="AL339" s="281"/>
      <c r="AM339" s="284"/>
      <c r="AN339" s="281"/>
      <c r="AO339" s="284"/>
      <c r="AP339" s="281"/>
      <c r="AQ339" s="284"/>
      <c r="AR339" s="281"/>
      <c r="AS339" s="284"/>
      <c r="AT339" s="281"/>
      <c r="AU339" s="284"/>
      <c r="AV339" s="281"/>
      <c r="AW339" s="284"/>
      <c r="AX339" s="281"/>
      <c r="AY339" s="284"/>
      <c r="AZ339" s="281"/>
      <c r="BA339" s="284"/>
      <c r="BB339" s="281"/>
      <c r="BC339" s="284"/>
      <c r="BD339" s="281"/>
      <c r="BE339" s="284"/>
      <c r="BF339" s="281"/>
      <c r="BG339" s="284"/>
      <c r="BH339" s="281"/>
      <c r="BI339" s="284"/>
      <c r="BJ339" s="281"/>
      <c r="BK339" s="284"/>
      <c r="BL339" s="281"/>
      <c r="BM339" s="284"/>
      <c r="BN339" s="281"/>
      <c r="BO339" s="284">
        <v>516</v>
      </c>
      <c r="BP339" s="281"/>
      <c r="BQ339" s="284">
        <v>472</v>
      </c>
      <c r="BR339" s="281"/>
      <c r="BS339" s="284">
        <f>BS144</f>
        <v>357</v>
      </c>
      <c r="BT339" s="281"/>
      <c r="BU339" s="284">
        <f>BU144</f>
        <v>493</v>
      </c>
      <c r="BV339" s="281"/>
      <c r="BW339" s="284">
        <f>BW144</f>
        <v>431</v>
      </c>
      <c r="BX339" s="281"/>
      <c r="BY339" s="284">
        <f>BY144</f>
        <v>419</v>
      </c>
      <c r="BZ339" s="281"/>
      <c r="CA339" s="284">
        <f>CA144</f>
        <v>30</v>
      </c>
      <c r="CB339" s="281"/>
      <c r="CC339" s="284">
        <f>CC144</f>
        <v>0</v>
      </c>
      <c r="CD339" s="281"/>
      <c r="CE339" s="284">
        <f>CE144</f>
        <v>0</v>
      </c>
      <c r="CF339" s="281"/>
      <c r="CG339" s="284">
        <f>CG144</f>
        <v>0</v>
      </c>
      <c r="CH339" s="281"/>
      <c r="CI339" s="284">
        <f>CI144</f>
        <v>0</v>
      </c>
      <c r="CJ339" s="281"/>
      <c r="CK339" s="284">
        <f>CK144</f>
        <v>0</v>
      </c>
      <c r="CL339" s="281"/>
      <c r="CM339" s="284">
        <f>CM144</f>
        <v>0</v>
      </c>
      <c r="CN339" s="281"/>
      <c r="CO339" s="284">
        <f>CO144</f>
        <v>0</v>
      </c>
      <c r="CP339" s="281"/>
      <c r="CQ339" s="284">
        <f>CQ144</f>
        <v>328</v>
      </c>
      <c r="CR339" s="281"/>
      <c r="CS339" s="284">
        <f>CS144</f>
        <v>505</v>
      </c>
      <c r="CT339" s="281"/>
      <c r="CU339" s="284">
        <f>CU144</f>
        <v>360</v>
      </c>
      <c r="CV339" s="281"/>
      <c r="CW339" s="284">
        <f>CW144</f>
        <v>334</v>
      </c>
      <c r="CX339" s="281"/>
      <c r="CY339" s="284">
        <f>CY144</f>
        <v>417</v>
      </c>
      <c r="CZ339" s="281"/>
      <c r="DA339" s="284">
        <f>DA144</f>
        <v>534</v>
      </c>
      <c r="DB339" s="281"/>
      <c r="DC339" s="284">
        <f>DC144</f>
        <v>373</v>
      </c>
      <c r="DD339" s="281"/>
      <c r="DE339" s="284">
        <f>DE144</f>
        <v>512</v>
      </c>
      <c r="DF339" s="281"/>
      <c r="DG339" s="284">
        <f>DG144</f>
        <v>612</v>
      </c>
      <c r="DH339" s="281"/>
      <c r="DI339" s="284">
        <f>DI144</f>
        <v>450</v>
      </c>
      <c r="DJ339" s="281"/>
      <c r="DK339" s="284">
        <f>DK144</f>
        <v>449</v>
      </c>
      <c r="DL339" s="281"/>
      <c r="DM339" s="284">
        <f>DM144</f>
        <v>1022</v>
      </c>
      <c r="DN339" s="281"/>
      <c r="DO339" s="284">
        <f>DO144</f>
        <v>959</v>
      </c>
      <c r="DP339" s="281"/>
      <c r="DQ339" s="284">
        <f>DQ144</f>
        <v>830</v>
      </c>
      <c r="DR339" s="281"/>
      <c r="DS339" s="284">
        <f>DS144</f>
        <v>800</v>
      </c>
      <c r="DT339" s="281"/>
      <c r="DU339" s="156"/>
      <c r="DV339" s="156"/>
      <c r="DW339" s="156"/>
      <c r="DX339" s="156"/>
      <c r="DY339" s="156"/>
      <c r="DZ339" s="156"/>
      <c r="EA339" s="156"/>
      <c r="EB339" s="156"/>
      <c r="EC339" s="156"/>
      <c r="ED339" s="156"/>
      <c r="EE339" s="156"/>
      <c r="EF339" s="156"/>
      <c r="EG339" s="156"/>
      <c r="EH339" s="156"/>
      <c r="EI339" s="156"/>
      <c r="EJ339" s="156"/>
      <c r="EK339" s="156"/>
      <c r="EL339" s="156"/>
      <c r="EM339" s="156"/>
      <c r="EN339" s="284">
        <f>EN144</f>
        <v>1431</v>
      </c>
      <c r="EO339" s="281"/>
      <c r="EP339" s="284">
        <f>EP144</f>
        <v>1312</v>
      </c>
      <c r="EQ339" s="281"/>
      <c r="ER339" s="284">
        <f>ER144</f>
        <v>1518</v>
      </c>
      <c r="ES339" s="281"/>
      <c r="ET339" s="284">
        <f>ET144</f>
        <v>1877</v>
      </c>
      <c r="EU339" s="281"/>
      <c r="EV339" s="284">
        <f>EV144</f>
        <v>2143</v>
      </c>
      <c r="EW339" s="281"/>
      <c r="EX339" s="284">
        <f>EX144</f>
        <v>1943</v>
      </c>
      <c r="EY339" s="281"/>
      <c r="EZ339" s="284">
        <f>EZ144</f>
        <v>1482</v>
      </c>
      <c r="FA339" s="281"/>
      <c r="FB339" s="284">
        <f>FB144</f>
        <v>1482</v>
      </c>
      <c r="FC339" s="281"/>
      <c r="FD339" s="284">
        <f>FD144</f>
        <v>1074</v>
      </c>
      <c r="FE339" s="281"/>
      <c r="FF339" s="284">
        <f>FF144</f>
        <v>1468</v>
      </c>
      <c r="FG339" s="281"/>
      <c r="FH339" s="284">
        <f>FH144</f>
        <v>1518</v>
      </c>
      <c r="FI339" s="281"/>
      <c r="FJ339" s="284">
        <f>FJ144</f>
        <v>1188</v>
      </c>
      <c r="FK339" s="281"/>
      <c r="FL339" s="284">
        <f>FL144</f>
        <v>1081</v>
      </c>
      <c r="FM339" s="281"/>
      <c r="FN339" s="284">
        <f>FN144</f>
        <v>2497</v>
      </c>
      <c r="FO339" s="281"/>
      <c r="FP339" s="284">
        <f>FP144</f>
        <v>1580</v>
      </c>
      <c r="FQ339" s="281"/>
      <c r="FR339" s="156"/>
      <c r="FS339" s="156"/>
      <c r="FT339" s="156"/>
      <c r="FU339" s="156"/>
      <c r="FV339" s="156"/>
      <c r="FW339" s="156"/>
      <c r="FX339" s="156"/>
      <c r="FY339" s="156"/>
      <c r="FZ339" s="156"/>
      <c r="GA339" s="156"/>
      <c r="GB339" s="156"/>
      <c r="GC339" s="156"/>
      <c r="GD339" s="156"/>
      <c r="GE339" s="156"/>
      <c r="GF339" s="494"/>
      <c r="GG339" s="494"/>
    </row>
    <row r="340" spans="1:189" ht="8.25" customHeight="1" outlineLevel="2" x14ac:dyDescent="0.3">
      <c r="A340" s="1"/>
      <c r="B340" s="18"/>
      <c r="C340" s="18"/>
      <c r="D340" s="18"/>
      <c r="E340" s="18"/>
      <c r="F340" s="18"/>
      <c r="G340" s="3"/>
      <c r="H340" s="3"/>
      <c r="I340" s="19"/>
      <c r="J340" s="20"/>
      <c r="K340" s="19"/>
      <c r="L340" s="20"/>
      <c r="M340" s="19"/>
      <c r="N340" s="20"/>
      <c r="O340" s="19"/>
      <c r="P340" s="20"/>
      <c r="Q340" s="19"/>
      <c r="R340" s="20"/>
      <c r="S340" s="19"/>
      <c r="T340" s="20"/>
      <c r="U340" s="19"/>
      <c r="V340" s="20"/>
      <c r="W340" s="19"/>
      <c r="X340" s="20"/>
      <c r="Y340" s="19"/>
      <c r="Z340" s="20"/>
      <c r="AA340" s="19"/>
      <c r="AB340" s="20"/>
      <c r="AC340" s="19"/>
      <c r="AD340" s="20"/>
      <c r="AE340" s="19"/>
      <c r="AF340" s="20"/>
      <c r="AG340" s="19"/>
      <c r="AH340" s="20"/>
      <c r="AI340" s="19"/>
      <c r="AJ340" s="20"/>
      <c r="AK340" s="19"/>
      <c r="AL340" s="20"/>
      <c r="AM340" s="19"/>
      <c r="AN340" s="20"/>
      <c r="AO340" s="19"/>
      <c r="AP340" s="20"/>
      <c r="AQ340" s="19"/>
      <c r="AR340" s="20"/>
      <c r="AS340" s="19"/>
      <c r="AT340" s="20"/>
      <c r="AU340" s="19"/>
      <c r="AV340" s="20"/>
      <c r="AW340" s="19"/>
      <c r="AX340" s="20"/>
      <c r="AY340" s="19"/>
      <c r="AZ340" s="20"/>
      <c r="BA340" s="19"/>
      <c r="BB340" s="20"/>
      <c r="BC340" s="19"/>
      <c r="BD340" s="20"/>
      <c r="BE340" s="19"/>
      <c r="BF340" s="20"/>
      <c r="BG340" s="19"/>
      <c r="BH340" s="20"/>
      <c r="BI340" s="19"/>
      <c r="BJ340" s="20"/>
      <c r="BK340" s="19"/>
      <c r="BL340" s="20"/>
      <c r="BM340" s="19"/>
      <c r="BN340" s="20"/>
      <c r="BO340" s="19"/>
      <c r="BP340" s="20"/>
      <c r="BQ340" s="19"/>
      <c r="BR340" s="20"/>
      <c r="BS340" s="19"/>
      <c r="BT340" s="20"/>
      <c r="BU340" s="19"/>
      <c r="BV340" s="20"/>
      <c r="BW340" s="19"/>
      <c r="BX340" s="20"/>
      <c r="BY340" s="19"/>
      <c r="BZ340" s="20"/>
      <c r="CA340" s="19"/>
      <c r="CB340" s="20"/>
      <c r="CC340" s="19"/>
      <c r="CD340" s="20"/>
      <c r="CE340" s="19"/>
      <c r="CF340" s="20"/>
      <c r="CG340" s="19"/>
      <c r="CH340" s="20"/>
      <c r="CI340" s="19"/>
      <c r="CJ340" s="20"/>
      <c r="CK340" s="19"/>
      <c r="CL340" s="20"/>
      <c r="CM340" s="19"/>
      <c r="CN340" s="20"/>
      <c r="CO340" s="19"/>
      <c r="CP340" s="20"/>
      <c r="CQ340" s="19"/>
      <c r="CR340" s="20"/>
      <c r="CS340" s="19"/>
      <c r="CT340" s="20"/>
      <c r="CU340" s="19"/>
      <c r="CV340" s="20"/>
      <c r="CW340" s="19"/>
      <c r="CX340" s="20"/>
      <c r="CY340" s="19"/>
      <c r="CZ340" s="20"/>
      <c r="DA340" s="19"/>
      <c r="DB340" s="20"/>
      <c r="DC340" s="19"/>
      <c r="DD340" s="20"/>
      <c r="DE340" s="19"/>
      <c r="DF340" s="20"/>
      <c r="DG340" s="19"/>
      <c r="DH340" s="20"/>
      <c r="DI340" s="19"/>
      <c r="DJ340" s="20"/>
      <c r="DK340" s="19"/>
      <c r="DL340" s="20"/>
      <c r="DM340" s="19"/>
      <c r="DN340" s="20"/>
      <c r="DO340" s="19"/>
      <c r="DP340" s="20"/>
      <c r="DQ340" s="19"/>
      <c r="DR340" s="20"/>
      <c r="DS340" s="19"/>
      <c r="DT340" s="20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19"/>
      <c r="EO340" s="20"/>
      <c r="EP340" s="19"/>
      <c r="EQ340" s="20"/>
      <c r="ER340" s="19"/>
      <c r="ES340" s="20"/>
      <c r="ET340" s="19"/>
      <c r="EU340" s="20"/>
      <c r="EV340" s="19"/>
      <c r="EW340" s="20"/>
      <c r="EX340" s="19"/>
      <c r="EY340" s="20"/>
      <c r="EZ340" s="19"/>
      <c r="FA340" s="20"/>
      <c r="FB340" s="19"/>
      <c r="FC340" s="20"/>
      <c r="FD340" s="19"/>
      <c r="FE340" s="20"/>
      <c r="FF340" s="19"/>
      <c r="FG340" s="20"/>
      <c r="FH340" s="19"/>
      <c r="FI340" s="20"/>
      <c r="FJ340" s="19"/>
      <c r="FK340" s="20"/>
      <c r="FL340" s="19"/>
      <c r="FM340" s="20"/>
      <c r="FN340" s="19"/>
      <c r="FO340" s="20"/>
      <c r="FP340" s="19"/>
      <c r="FQ340" s="20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</row>
    <row r="341" spans="1:189" ht="15" hidden="1" customHeight="1" outlineLevel="2" x14ac:dyDescent="0.3">
      <c r="A341" s="63"/>
      <c r="B341" s="426" t="s">
        <v>260</v>
      </c>
      <c r="C341" s="313" t="s">
        <v>80</v>
      </c>
      <c r="D341" s="313" t="s">
        <v>96</v>
      </c>
      <c r="E341" s="313" t="s">
        <v>257</v>
      </c>
      <c r="F341" s="313" t="s">
        <v>27</v>
      </c>
      <c r="G341" s="5" t="s">
        <v>28</v>
      </c>
      <c r="H341" s="5"/>
      <c r="I341" s="327">
        <v>0.8</v>
      </c>
      <c r="J341" s="281"/>
      <c r="K341" s="427"/>
      <c r="L341" s="281"/>
      <c r="M341" s="427"/>
      <c r="N341" s="281"/>
      <c r="O341" s="427"/>
      <c r="P341" s="281"/>
      <c r="Q341" s="427"/>
      <c r="R341" s="281"/>
      <c r="S341" s="427"/>
      <c r="T341" s="281"/>
      <c r="U341" s="427"/>
      <c r="V341" s="281"/>
      <c r="W341" s="327">
        <v>0.8</v>
      </c>
      <c r="X341" s="281"/>
      <c r="Y341" s="327">
        <v>0.8</v>
      </c>
      <c r="Z341" s="281"/>
      <c r="AA341" s="327">
        <v>0.8</v>
      </c>
      <c r="AB341" s="281"/>
      <c r="AC341" s="327">
        <v>0.8</v>
      </c>
      <c r="AD341" s="281"/>
      <c r="AE341" s="327">
        <v>0.8</v>
      </c>
      <c r="AF341" s="281"/>
      <c r="AG341" s="327">
        <v>0.8</v>
      </c>
      <c r="AH341" s="281"/>
      <c r="AI341" s="327">
        <v>0.8</v>
      </c>
      <c r="AJ341" s="281"/>
      <c r="AK341" s="327">
        <v>0.8</v>
      </c>
      <c r="AL341" s="281"/>
      <c r="AM341" s="327">
        <v>0.8</v>
      </c>
      <c r="AN341" s="281"/>
      <c r="AO341" s="327">
        <v>0.8</v>
      </c>
      <c r="AP341" s="281"/>
      <c r="AQ341" s="327">
        <v>0.8</v>
      </c>
      <c r="AR341" s="281"/>
      <c r="AS341" s="427">
        <v>0.8</v>
      </c>
      <c r="AT341" s="281"/>
      <c r="AU341" s="427">
        <v>0.8</v>
      </c>
      <c r="AV341" s="281"/>
      <c r="AW341" s="327">
        <v>0.8</v>
      </c>
      <c r="AX341" s="281"/>
      <c r="AY341" s="327">
        <v>0.8</v>
      </c>
      <c r="AZ341" s="281"/>
      <c r="BA341" s="327">
        <v>0.8</v>
      </c>
      <c r="BB341" s="281"/>
      <c r="BC341" s="327">
        <v>0.8</v>
      </c>
      <c r="BD341" s="281"/>
      <c r="BE341" s="327">
        <v>0.8</v>
      </c>
      <c r="BF341" s="281"/>
      <c r="BG341" s="327">
        <v>0.8</v>
      </c>
      <c r="BH341" s="281"/>
      <c r="BI341" s="327">
        <v>0.8</v>
      </c>
      <c r="BJ341" s="281"/>
      <c r="BK341" s="327">
        <v>0.8</v>
      </c>
      <c r="BL341" s="281"/>
      <c r="BM341" s="327">
        <v>0.8</v>
      </c>
      <c r="BN341" s="281"/>
      <c r="BO341" s="327">
        <v>0.8</v>
      </c>
      <c r="BP341" s="281"/>
      <c r="BQ341" s="327">
        <v>0.8</v>
      </c>
      <c r="BR341" s="281"/>
      <c r="BS341" s="327">
        <v>0.8</v>
      </c>
      <c r="BT341" s="281"/>
      <c r="BU341" s="327">
        <v>0.8</v>
      </c>
      <c r="BV341" s="281"/>
      <c r="BW341" s="327">
        <v>0.8</v>
      </c>
      <c r="BX341" s="281"/>
      <c r="BY341" s="327">
        <v>0.8</v>
      </c>
      <c r="BZ341" s="281"/>
      <c r="CA341" s="327">
        <v>0.8</v>
      </c>
      <c r="CB341" s="281"/>
      <c r="CC341" s="327">
        <v>0.8</v>
      </c>
      <c r="CD341" s="281"/>
      <c r="CE341" s="327">
        <v>0.8</v>
      </c>
      <c r="CF341" s="281"/>
      <c r="CG341" s="327">
        <v>0.8</v>
      </c>
      <c r="CH341" s="281"/>
      <c r="CI341" s="327">
        <v>0.8</v>
      </c>
      <c r="CJ341" s="281"/>
      <c r="CK341" s="327">
        <v>0.8</v>
      </c>
      <c r="CL341" s="281"/>
      <c r="CM341" s="327">
        <v>0.8</v>
      </c>
      <c r="CN341" s="281"/>
      <c r="CO341" s="327">
        <v>0.8</v>
      </c>
      <c r="CP341" s="281"/>
      <c r="CQ341" s="327">
        <v>0.8</v>
      </c>
      <c r="CR341" s="281"/>
      <c r="CS341" s="327">
        <v>0.8</v>
      </c>
      <c r="CT341" s="281"/>
      <c r="CU341" s="327">
        <v>0.8</v>
      </c>
      <c r="CV341" s="281"/>
      <c r="CW341" s="327">
        <v>0.8</v>
      </c>
      <c r="CX341" s="281"/>
      <c r="CY341" s="327">
        <v>0.8</v>
      </c>
      <c r="CZ341" s="281"/>
      <c r="DA341" s="327">
        <v>0.8</v>
      </c>
      <c r="DB341" s="281"/>
      <c r="DC341" s="327">
        <v>0.8</v>
      </c>
      <c r="DD341" s="281"/>
      <c r="DE341" s="327">
        <v>0.8</v>
      </c>
      <c r="DF341" s="281"/>
      <c r="DG341" s="327">
        <v>0.8</v>
      </c>
      <c r="DH341" s="281"/>
      <c r="DI341" s="327">
        <v>0.8</v>
      </c>
      <c r="DJ341" s="281"/>
      <c r="DK341" s="327">
        <v>0.8</v>
      </c>
      <c r="DL341" s="281"/>
      <c r="DM341" s="327">
        <v>0.8</v>
      </c>
      <c r="DN341" s="281"/>
      <c r="DO341" s="327">
        <v>0.8</v>
      </c>
      <c r="DP341" s="281"/>
      <c r="DQ341" s="327">
        <v>0.8</v>
      </c>
      <c r="DR341" s="281"/>
      <c r="DS341" s="327">
        <v>0.8</v>
      </c>
      <c r="DT341" s="281"/>
      <c r="DU341" s="319" t="s">
        <v>29</v>
      </c>
      <c r="DV341" s="319" t="s">
        <v>29</v>
      </c>
      <c r="DW341" s="319" t="s">
        <v>87</v>
      </c>
      <c r="DX341" s="319" t="s">
        <v>87</v>
      </c>
      <c r="DY341" s="319" t="s">
        <v>87</v>
      </c>
      <c r="DZ341" s="319" t="s">
        <v>87</v>
      </c>
      <c r="EA341" s="319" t="s">
        <v>87</v>
      </c>
      <c r="EB341" s="319" t="s">
        <v>87</v>
      </c>
      <c r="EC341" s="319" t="s">
        <v>87</v>
      </c>
      <c r="ED341" s="319"/>
      <c r="EE341" s="319"/>
      <c r="EF341" s="319"/>
      <c r="EG341" s="319"/>
      <c r="EH341" s="319"/>
      <c r="EI341" s="319"/>
      <c r="EJ341" s="319"/>
      <c r="EK341" s="319"/>
      <c r="EL341" s="319"/>
      <c r="EM341" s="319"/>
      <c r="EN341" s="327">
        <v>0.8</v>
      </c>
      <c r="EO341" s="281"/>
      <c r="EP341" s="327">
        <v>0.8</v>
      </c>
      <c r="EQ341" s="281"/>
      <c r="ER341" s="327">
        <v>0.8</v>
      </c>
      <c r="ES341" s="281"/>
      <c r="ET341" s="327">
        <v>0.8</v>
      </c>
      <c r="EU341" s="281"/>
      <c r="EV341" s="327">
        <v>0.8</v>
      </c>
      <c r="EW341" s="281"/>
      <c r="EX341" s="327">
        <v>0.8</v>
      </c>
      <c r="EY341" s="281"/>
      <c r="EZ341" s="327">
        <v>0.8</v>
      </c>
      <c r="FA341" s="281"/>
      <c r="FB341" s="327">
        <v>0.8</v>
      </c>
      <c r="FC341" s="281"/>
      <c r="FD341" s="327">
        <v>0.8</v>
      </c>
      <c r="FE341" s="281"/>
      <c r="FF341" s="327">
        <v>0.8</v>
      </c>
      <c r="FG341" s="281"/>
      <c r="FH341" s="327">
        <v>0.8</v>
      </c>
      <c r="FI341" s="281"/>
      <c r="FJ341" s="327">
        <v>0.8</v>
      </c>
      <c r="FK341" s="281"/>
      <c r="FL341" s="327">
        <v>0.8</v>
      </c>
      <c r="FM341" s="281"/>
      <c r="FN341" s="327">
        <v>0.8</v>
      </c>
      <c r="FO341" s="281"/>
      <c r="FP341" s="327">
        <v>0.8</v>
      </c>
      <c r="FQ341" s="281"/>
      <c r="FR341" s="319"/>
      <c r="FS341" s="319"/>
      <c r="FT341" s="319"/>
      <c r="FU341" s="319"/>
      <c r="FV341" s="319"/>
      <c r="FW341" s="319"/>
      <c r="FX341" s="319"/>
      <c r="FY341" s="319"/>
      <c r="FZ341" s="319"/>
      <c r="GA341" s="319"/>
      <c r="GB341" s="319"/>
      <c r="GC341" s="319"/>
      <c r="GD341" s="319"/>
      <c r="GE341" s="319"/>
      <c r="GF341" s="319"/>
      <c r="GG341" s="319"/>
    </row>
    <row r="342" spans="1:189" ht="4.5" hidden="1" customHeight="1" outlineLevel="2" x14ac:dyDescent="0.3">
      <c r="A342" s="1"/>
      <c r="B342" s="301"/>
      <c r="C342" s="301"/>
      <c r="D342" s="301"/>
      <c r="E342" s="301"/>
      <c r="F342" s="301"/>
      <c r="G342" s="5"/>
      <c r="H342" s="5"/>
      <c r="I342" s="328"/>
      <c r="J342" s="281"/>
      <c r="K342" s="428"/>
      <c r="L342" s="281"/>
      <c r="M342" s="428"/>
      <c r="N342" s="281"/>
      <c r="O342" s="428"/>
      <c r="P342" s="281"/>
      <c r="Q342" s="428"/>
      <c r="R342" s="281"/>
      <c r="S342" s="428"/>
      <c r="T342" s="281"/>
      <c r="U342" s="428"/>
      <c r="V342" s="281"/>
      <c r="W342" s="328"/>
      <c r="X342" s="281"/>
      <c r="Y342" s="328"/>
      <c r="Z342" s="281"/>
      <c r="AA342" s="328"/>
      <c r="AB342" s="281"/>
      <c r="AC342" s="328"/>
      <c r="AD342" s="281"/>
      <c r="AE342" s="328"/>
      <c r="AF342" s="281"/>
      <c r="AG342" s="328"/>
      <c r="AH342" s="281"/>
      <c r="AI342" s="328"/>
      <c r="AJ342" s="281"/>
      <c r="AK342" s="328"/>
      <c r="AL342" s="281"/>
      <c r="AM342" s="328"/>
      <c r="AN342" s="281"/>
      <c r="AO342" s="328"/>
      <c r="AP342" s="281"/>
      <c r="AQ342" s="328"/>
      <c r="AR342" s="281"/>
      <c r="AS342" s="428"/>
      <c r="AT342" s="281"/>
      <c r="AU342" s="428"/>
      <c r="AV342" s="281"/>
      <c r="AW342" s="328"/>
      <c r="AX342" s="281"/>
      <c r="AY342" s="328"/>
      <c r="AZ342" s="281"/>
      <c r="BA342" s="328"/>
      <c r="BB342" s="281"/>
      <c r="BC342" s="328"/>
      <c r="BD342" s="281"/>
      <c r="BE342" s="328"/>
      <c r="BF342" s="281"/>
      <c r="BG342" s="328"/>
      <c r="BH342" s="281"/>
      <c r="BI342" s="328"/>
      <c r="BJ342" s="281"/>
      <c r="BK342" s="328"/>
      <c r="BL342" s="281"/>
      <c r="BM342" s="328"/>
      <c r="BN342" s="281"/>
      <c r="BO342" s="328"/>
      <c r="BP342" s="281"/>
      <c r="BQ342" s="328"/>
      <c r="BR342" s="281"/>
      <c r="BS342" s="328"/>
      <c r="BT342" s="281"/>
      <c r="BU342" s="328"/>
      <c r="BV342" s="281"/>
      <c r="BW342" s="328"/>
      <c r="BX342" s="281"/>
      <c r="BY342" s="328"/>
      <c r="BZ342" s="281"/>
      <c r="CA342" s="328"/>
      <c r="CB342" s="281"/>
      <c r="CC342" s="328"/>
      <c r="CD342" s="281"/>
      <c r="CE342" s="328"/>
      <c r="CF342" s="281"/>
      <c r="CG342" s="328"/>
      <c r="CH342" s="281"/>
      <c r="CI342" s="328"/>
      <c r="CJ342" s="281"/>
      <c r="CK342" s="328"/>
      <c r="CL342" s="281"/>
      <c r="CM342" s="328"/>
      <c r="CN342" s="281"/>
      <c r="CO342" s="328"/>
      <c r="CP342" s="281"/>
      <c r="CQ342" s="328"/>
      <c r="CR342" s="281"/>
      <c r="CS342" s="328"/>
      <c r="CT342" s="281"/>
      <c r="CU342" s="328"/>
      <c r="CV342" s="281"/>
      <c r="CW342" s="328"/>
      <c r="CX342" s="281"/>
      <c r="CY342" s="328"/>
      <c r="CZ342" s="281"/>
      <c r="DA342" s="328"/>
      <c r="DB342" s="281"/>
      <c r="DC342" s="328"/>
      <c r="DD342" s="281"/>
      <c r="DE342" s="328"/>
      <c r="DF342" s="281"/>
      <c r="DG342" s="328"/>
      <c r="DH342" s="281"/>
      <c r="DI342" s="328"/>
      <c r="DJ342" s="281"/>
      <c r="DK342" s="328"/>
      <c r="DL342" s="281"/>
      <c r="DM342" s="328"/>
      <c r="DN342" s="281"/>
      <c r="DO342" s="328"/>
      <c r="DP342" s="281"/>
      <c r="DQ342" s="328"/>
      <c r="DR342" s="281"/>
      <c r="DS342" s="328"/>
      <c r="DT342" s="281"/>
      <c r="DU342" s="301"/>
      <c r="DV342" s="301"/>
      <c r="DW342" s="301"/>
      <c r="DX342" s="301"/>
      <c r="DY342" s="301"/>
      <c r="DZ342" s="301"/>
      <c r="EA342" s="301"/>
      <c r="EB342" s="301"/>
      <c r="EC342" s="301"/>
      <c r="ED342" s="301"/>
      <c r="EE342" s="301"/>
      <c r="EF342" s="301"/>
      <c r="EG342" s="301"/>
      <c r="EH342" s="301"/>
      <c r="EI342" s="301"/>
      <c r="EJ342" s="301"/>
      <c r="EK342" s="301"/>
      <c r="EL342" s="301"/>
      <c r="EM342" s="301"/>
      <c r="EN342" s="328"/>
      <c r="EO342" s="281"/>
      <c r="EP342" s="328"/>
      <c r="EQ342" s="281"/>
      <c r="ER342" s="328"/>
      <c r="ES342" s="281"/>
      <c r="ET342" s="328"/>
      <c r="EU342" s="281"/>
      <c r="EV342" s="328"/>
      <c r="EW342" s="281"/>
      <c r="EX342" s="328"/>
      <c r="EY342" s="281"/>
      <c r="EZ342" s="328"/>
      <c r="FA342" s="281"/>
      <c r="FB342" s="328"/>
      <c r="FC342" s="281"/>
      <c r="FD342" s="328"/>
      <c r="FE342" s="281"/>
      <c r="FF342" s="328"/>
      <c r="FG342" s="281"/>
      <c r="FH342" s="328"/>
      <c r="FI342" s="281"/>
      <c r="FJ342" s="328"/>
      <c r="FK342" s="281"/>
      <c r="FL342" s="328"/>
      <c r="FM342" s="281"/>
      <c r="FN342" s="328"/>
      <c r="FO342" s="281"/>
      <c r="FP342" s="328"/>
      <c r="FQ342" s="281"/>
      <c r="FR342" s="301"/>
      <c r="FS342" s="301"/>
      <c r="FT342" s="301"/>
      <c r="FU342" s="301"/>
      <c r="FV342" s="301"/>
      <c r="FW342" s="301"/>
      <c r="FX342" s="301"/>
      <c r="FY342" s="301"/>
      <c r="FZ342" s="301"/>
      <c r="GA342" s="301"/>
      <c r="GB342" s="301"/>
      <c r="GC342" s="301"/>
      <c r="GD342" s="301"/>
      <c r="GE342" s="301"/>
      <c r="GF342" s="301"/>
      <c r="GG342" s="301"/>
    </row>
    <row r="343" spans="1:189" ht="15" hidden="1" customHeight="1" outlineLevel="2" x14ac:dyDescent="0.3">
      <c r="A343" s="1"/>
      <c r="B343" s="301"/>
      <c r="C343" s="301"/>
      <c r="D343" s="301"/>
      <c r="E343" s="301"/>
      <c r="F343" s="301"/>
      <c r="G343" s="5" t="s">
        <v>30</v>
      </c>
      <c r="H343" s="5"/>
      <c r="I343" s="283">
        <f>I344/I345</f>
        <v>0.89431323393587547</v>
      </c>
      <c r="J343" s="281"/>
      <c r="K343" s="429"/>
      <c r="L343" s="281"/>
      <c r="M343" s="429"/>
      <c r="N343" s="281"/>
      <c r="O343" s="429"/>
      <c r="P343" s="281"/>
      <c r="Q343" s="429"/>
      <c r="R343" s="281"/>
      <c r="S343" s="429"/>
      <c r="T343" s="281"/>
      <c r="U343" s="429"/>
      <c r="V343" s="281"/>
      <c r="W343" s="283">
        <v>0.86119999999999997</v>
      </c>
      <c r="X343" s="281"/>
      <c r="Y343" s="283">
        <v>0.91300000000000003</v>
      </c>
      <c r="Z343" s="281"/>
      <c r="AA343" s="283">
        <v>0.89649999999999996</v>
      </c>
      <c r="AB343" s="281"/>
      <c r="AC343" s="283">
        <v>0.88349999999999995</v>
      </c>
      <c r="AD343" s="281"/>
      <c r="AE343" s="283">
        <v>0.93440000000000001</v>
      </c>
      <c r="AF343" s="281"/>
      <c r="AG343" s="283">
        <f>AG344/AG345</f>
        <v>0.88097768331562165</v>
      </c>
      <c r="AH343" s="281"/>
      <c r="AI343" s="283">
        <f>AI344/AI345</f>
        <v>0.92972350230414746</v>
      </c>
      <c r="AJ343" s="281"/>
      <c r="AK343" s="283">
        <f>AK344/AK345</f>
        <v>0.90756302521008403</v>
      </c>
      <c r="AL343" s="281"/>
      <c r="AM343" s="283">
        <f>AM344/AM345</f>
        <v>0.93076923076923079</v>
      </c>
      <c r="AN343" s="281"/>
      <c r="AO343" s="283">
        <f>AO344/AO345</f>
        <v>0.80924855491329484</v>
      </c>
      <c r="AP343" s="281"/>
      <c r="AQ343" s="283">
        <f>AQ344/AQ345</f>
        <v>0.97142857142857142</v>
      </c>
      <c r="AR343" s="281"/>
      <c r="AS343" s="429"/>
      <c r="AT343" s="281"/>
      <c r="AU343" s="429"/>
      <c r="AV343" s="281"/>
      <c r="AW343" s="283">
        <f>AW344/AW345</f>
        <v>0.94545454545454544</v>
      </c>
      <c r="AX343" s="281"/>
      <c r="AY343" s="283">
        <f>AY344/AY345</f>
        <v>0.87861271676300579</v>
      </c>
      <c r="AZ343" s="281"/>
      <c r="BA343" s="283">
        <f>BA344/BA345</f>
        <v>0.91509433962264153</v>
      </c>
      <c r="BB343" s="281"/>
      <c r="BC343" s="283">
        <f>BC344/BC345</f>
        <v>0.8529411764705882</v>
      </c>
      <c r="BD343" s="281"/>
      <c r="BE343" s="283">
        <f>BE344/BE345</f>
        <v>0.8910891089108911</v>
      </c>
      <c r="BF343" s="281"/>
      <c r="BG343" s="283">
        <f>BG344/BG345</f>
        <v>0.88685015290519875</v>
      </c>
      <c r="BH343" s="281"/>
      <c r="BI343" s="283">
        <f>BI344/BI345</f>
        <v>0.891588785046729</v>
      </c>
      <c r="BJ343" s="281"/>
      <c r="BK343" s="283">
        <f>BK344/BK345</f>
        <v>0.88656716417910453</v>
      </c>
      <c r="BL343" s="281"/>
      <c r="BM343" s="283">
        <f>BM344/BM345</f>
        <v>0.90299823633156961</v>
      </c>
      <c r="BN343" s="281"/>
      <c r="BO343" s="283">
        <f>BO344/BO345</f>
        <v>0.89429175475687106</v>
      </c>
      <c r="BP343" s="281"/>
      <c r="BQ343" s="283">
        <f>BQ344/BQ345</f>
        <v>0.89485714285714291</v>
      </c>
      <c r="BR343" s="281"/>
      <c r="BS343" s="283">
        <f>BS344/BS345</f>
        <v>0.89156626506024095</v>
      </c>
      <c r="BT343" s="281"/>
      <c r="BU343" s="283">
        <f>BU344/BU345</f>
        <v>0.90205011389521639</v>
      </c>
      <c r="BV343" s="281"/>
      <c r="BW343" s="283">
        <f>BW344/BW345</f>
        <v>0.92193675889328064</v>
      </c>
      <c r="BX343" s="281"/>
      <c r="BY343" s="283">
        <f>BY344/BY345</f>
        <v>0.90503875968992253</v>
      </c>
      <c r="BZ343" s="281"/>
      <c r="CA343" s="283">
        <f>CA344/CA345</f>
        <v>0.90926456542502387</v>
      </c>
      <c r="CB343" s="281"/>
      <c r="CC343" s="283">
        <f>CC344/CC345</f>
        <v>0.87935656836461129</v>
      </c>
      <c r="CD343" s="281"/>
      <c r="CE343" s="283">
        <f>CE344/CE345</f>
        <v>0.94230769230769229</v>
      </c>
      <c r="CF343" s="281"/>
      <c r="CG343" s="283"/>
      <c r="CH343" s="281"/>
      <c r="CI343" s="283"/>
      <c r="CJ343" s="281"/>
      <c r="CK343" s="283"/>
      <c r="CL343" s="281"/>
      <c r="CM343" s="283"/>
      <c r="CN343" s="281"/>
      <c r="CO343" s="283"/>
      <c r="CP343" s="281"/>
      <c r="CQ343" s="283"/>
      <c r="CR343" s="281"/>
      <c r="CS343" s="283"/>
      <c r="CT343" s="281"/>
      <c r="CU343" s="283"/>
      <c r="CV343" s="281"/>
      <c r="CW343" s="283"/>
      <c r="CX343" s="281"/>
      <c r="CY343" s="283"/>
      <c r="CZ343" s="281"/>
      <c r="DA343" s="283"/>
      <c r="DB343" s="281"/>
      <c r="DC343" s="283"/>
      <c r="DD343" s="281"/>
      <c r="DE343" s="283"/>
      <c r="DF343" s="281"/>
      <c r="DG343" s="283"/>
      <c r="DH343" s="281"/>
      <c r="DI343" s="283"/>
      <c r="DJ343" s="281"/>
      <c r="DK343" s="283"/>
      <c r="DL343" s="281"/>
      <c r="DM343" s="283"/>
      <c r="DN343" s="281"/>
      <c r="DO343" s="283"/>
      <c r="DP343" s="281"/>
      <c r="DQ343" s="283"/>
      <c r="DR343" s="281"/>
      <c r="DS343" s="283"/>
      <c r="DT343" s="281"/>
      <c r="DU343" s="301"/>
      <c r="DV343" s="301"/>
      <c r="DW343" s="301"/>
      <c r="DX343" s="301"/>
      <c r="DY343" s="301"/>
      <c r="DZ343" s="301"/>
      <c r="EA343" s="301"/>
      <c r="EB343" s="301"/>
      <c r="EC343" s="301"/>
      <c r="ED343" s="301"/>
      <c r="EE343" s="301"/>
      <c r="EF343" s="301"/>
      <c r="EG343" s="301"/>
      <c r="EH343" s="301"/>
      <c r="EI343" s="301"/>
      <c r="EJ343" s="301"/>
      <c r="EK343" s="301"/>
      <c r="EL343" s="301"/>
      <c r="EM343" s="301"/>
      <c r="EN343" s="283"/>
      <c r="EO343" s="281"/>
      <c r="EP343" s="283"/>
      <c r="EQ343" s="281"/>
      <c r="ER343" s="283"/>
      <c r="ES343" s="281"/>
      <c r="ET343" s="283"/>
      <c r="EU343" s="281"/>
      <c r="EV343" s="283"/>
      <c r="EW343" s="281"/>
      <c r="EX343" s="283"/>
      <c r="EY343" s="281"/>
      <c r="EZ343" s="283"/>
      <c r="FA343" s="281"/>
      <c r="FB343" s="283"/>
      <c r="FC343" s="281"/>
      <c r="FD343" s="283"/>
      <c r="FE343" s="281"/>
      <c r="FF343" s="283"/>
      <c r="FG343" s="281"/>
      <c r="FH343" s="283"/>
      <c r="FI343" s="281"/>
      <c r="FJ343" s="283"/>
      <c r="FK343" s="281"/>
      <c r="FL343" s="283"/>
      <c r="FM343" s="281"/>
      <c r="FN343" s="283"/>
      <c r="FO343" s="281"/>
      <c r="FP343" s="283"/>
      <c r="FQ343" s="281"/>
      <c r="FR343" s="301"/>
      <c r="FS343" s="301"/>
      <c r="FT343" s="301"/>
      <c r="FU343" s="301"/>
      <c r="FV343" s="301"/>
      <c r="FW343" s="301"/>
      <c r="FX343" s="301"/>
      <c r="FY343" s="301"/>
      <c r="FZ343" s="301"/>
      <c r="GA343" s="301"/>
      <c r="GB343" s="301"/>
      <c r="GC343" s="301"/>
      <c r="GD343" s="301"/>
      <c r="GE343" s="301"/>
      <c r="GF343" s="301"/>
      <c r="GG343" s="301"/>
    </row>
    <row r="344" spans="1:189" ht="15" hidden="1" customHeight="1" outlineLevel="2" x14ac:dyDescent="0.3">
      <c r="A344" s="1"/>
      <c r="B344" s="301"/>
      <c r="C344" s="301"/>
      <c r="D344" s="301"/>
      <c r="E344" s="301"/>
      <c r="F344" s="301"/>
      <c r="G344" s="5" t="s">
        <v>255</v>
      </c>
      <c r="H344" s="5"/>
      <c r="I344" s="284">
        <f t="shared" ref="I344:I345" si="724">SUM(K344:AH344)</f>
        <v>6778</v>
      </c>
      <c r="J344" s="281"/>
      <c r="K344" s="428"/>
      <c r="L344" s="281"/>
      <c r="M344" s="428"/>
      <c r="N344" s="281"/>
      <c r="O344" s="428"/>
      <c r="P344" s="281"/>
      <c r="Q344" s="428"/>
      <c r="R344" s="281"/>
      <c r="S344" s="428"/>
      <c r="T344" s="281"/>
      <c r="U344" s="428"/>
      <c r="V344" s="281"/>
      <c r="W344" s="284">
        <v>1005</v>
      </c>
      <c r="X344" s="281"/>
      <c r="Y344" s="284">
        <v>1113</v>
      </c>
      <c r="Z344" s="281"/>
      <c r="AA344" s="284">
        <v>1317</v>
      </c>
      <c r="AB344" s="281"/>
      <c r="AC344" s="284">
        <v>1502</v>
      </c>
      <c r="AD344" s="281"/>
      <c r="AE344" s="284">
        <v>1012</v>
      </c>
      <c r="AF344" s="281"/>
      <c r="AG344" s="284">
        <v>829</v>
      </c>
      <c r="AH344" s="281"/>
      <c r="AI344" s="86">
        <v>807</v>
      </c>
      <c r="AJ344" s="86">
        <f>AI344*AI343</f>
        <v>750.286866359447</v>
      </c>
      <c r="AK344" s="86">
        <v>432</v>
      </c>
      <c r="AL344" s="86">
        <f>AK344*AK343</f>
        <v>392.06722689075627</v>
      </c>
      <c r="AM344" s="86">
        <v>605</v>
      </c>
      <c r="AN344" s="86">
        <f>AM344*AM343</f>
        <v>563.11538461538464</v>
      </c>
      <c r="AO344" s="86">
        <v>140</v>
      </c>
      <c r="AP344" s="86">
        <f>AO344*AO343</f>
        <v>113.29479768786128</v>
      </c>
      <c r="AQ344" s="86">
        <v>68</v>
      </c>
      <c r="AR344" s="86">
        <f>AQ344*AQ343</f>
        <v>66.05714285714285</v>
      </c>
      <c r="AS344" s="87"/>
      <c r="AT344" s="87"/>
      <c r="AU344" s="87"/>
      <c r="AV344" s="87"/>
      <c r="AW344" s="86">
        <v>52</v>
      </c>
      <c r="AX344" s="86">
        <f>AW344*AW343</f>
        <v>49.163636363636364</v>
      </c>
      <c r="AY344" s="86">
        <v>152</v>
      </c>
      <c r="AZ344" s="86">
        <f>AY344*AY343</f>
        <v>133.54913294797689</v>
      </c>
      <c r="BA344" s="86">
        <v>97</v>
      </c>
      <c r="BB344" s="86">
        <f>BA344*BA343</f>
        <v>88.764150943396231</v>
      </c>
      <c r="BC344" s="86">
        <v>29</v>
      </c>
      <c r="BD344" s="86">
        <f>BC344*BC343</f>
        <v>24.735294117647058</v>
      </c>
      <c r="BE344" s="86">
        <v>720</v>
      </c>
      <c r="BF344" s="86">
        <f>BE344*BE343</f>
        <v>641.58415841584156</v>
      </c>
      <c r="BG344" s="86">
        <v>580</v>
      </c>
      <c r="BH344" s="86">
        <f>BG344*BG343</f>
        <v>514.37308868501532</v>
      </c>
      <c r="BI344" s="86">
        <v>477</v>
      </c>
      <c r="BJ344" s="86">
        <f>BI344*BI343</f>
        <v>425.28785046728973</v>
      </c>
      <c r="BK344" s="86">
        <v>594</v>
      </c>
      <c r="BL344" s="86">
        <f>BK344*BK343</f>
        <v>526.62089552238808</v>
      </c>
      <c r="BM344" s="86">
        <v>512</v>
      </c>
      <c r="BN344" s="86">
        <f>BM344*BM343</f>
        <v>462.33509700176364</v>
      </c>
      <c r="BO344" s="86">
        <v>846</v>
      </c>
      <c r="BP344" s="86">
        <f>BO344*BO343</f>
        <v>756.57082452431291</v>
      </c>
      <c r="BQ344" s="86">
        <v>783</v>
      </c>
      <c r="BR344" s="86">
        <f>BQ344*BQ343</f>
        <v>700.67314285714292</v>
      </c>
      <c r="BS344" s="86">
        <v>592</v>
      </c>
      <c r="BT344" s="86">
        <f>BS344*BS343</f>
        <v>527.80722891566268</v>
      </c>
      <c r="BU344" s="86">
        <v>792</v>
      </c>
      <c r="BV344" s="86">
        <f>BU344*BU343</f>
        <v>714.42369020501133</v>
      </c>
      <c r="BW344" s="86">
        <v>933</v>
      </c>
      <c r="BX344" s="86">
        <f>BW344*BW343</f>
        <v>860.16699604743087</v>
      </c>
      <c r="BY344" s="86">
        <v>934</v>
      </c>
      <c r="BZ344" s="86">
        <f>BY344*BY343</f>
        <v>845.30620155038764</v>
      </c>
      <c r="CA344" s="86">
        <v>952</v>
      </c>
      <c r="CB344" s="86">
        <f>CA344*CA343</f>
        <v>865.61986628462273</v>
      </c>
      <c r="CC344" s="86">
        <v>328</v>
      </c>
      <c r="CD344" s="86">
        <f>CC344*CC343</f>
        <v>288.42895442359253</v>
      </c>
      <c r="CE344" s="86">
        <v>49</v>
      </c>
      <c r="CF344" s="86">
        <f>CE344*CE343</f>
        <v>46.17307692307692</v>
      </c>
      <c r="CG344" s="86"/>
      <c r="CH344" s="86">
        <f>CG344*CG343</f>
        <v>0</v>
      </c>
      <c r="CI344" s="86"/>
      <c r="CJ344" s="86">
        <f>CI344*CI343</f>
        <v>0</v>
      </c>
      <c r="CK344" s="86"/>
      <c r="CL344" s="86">
        <f>CK344*CK343</f>
        <v>0</v>
      </c>
      <c r="CM344" s="86"/>
      <c r="CN344" s="86">
        <f>CM344*CM343</f>
        <v>0</v>
      </c>
      <c r="CO344" s="86"/>
      <c r="CP344" s="86">
        <f>CO344*CO343</f>
        <v>0</v>
      </c>
      <c r="CQ344" s="86"/>
      <c r="CR344" s="86">
        <f>CQ344*CQ343</f>
        <v>0</v>
      </c>
      <c r="CS344" s="86"/>
      <c r="CT344" s="86">
        <f>CS344*CS343</f>
        <v>0</v>
      </c>
      <c r="CU344" s="86"/>
      <c r="CV344" s="86">
        <f>CU344*CU343</f>
        <v>0</v>
      </c>
      <c r="CW344" s="86"/>
      <c r="CX344" s="86">
        <f>CW344*CW343</f>
        <v>0</v>
      </c>
      <c r="CY344" s="86"/>
      <c r="CZ344" s="86">
        <f>CY344*CY343</f>
        <v>0</v>
      </c>
      <c r="DA344" s="86"/>
      <c r="DB344" s="86">
        <f>DA344*DA343</f>
        <v>0</v>
      </c>
      <c r="DC344" s="86"/>
      <c r="DD344" s="86">
        <f>DC344*DC343</f>
        <v>0</v>
      </c>
      <c r="DE344" s="86"/>
      <c r="DF344" s="86">
        <f>DE344*DE343</f>
        <v>0</v>
      </c>
      <c r="DG344" s="86"/>
      <c r="DH344" s="86">
        <f>DG344*DG343</f>
        <v>0</v>
      </c>
      <c r="DI344" s="86"/>
      <c r="DJ344" s="86">
        <f>DI344*DI343</f>
        <v>0</v>
      </c>
      <c r="DK344" s="86"/>
      <c r="DL344" s="86">
        <f>DK344*DK343</f>
        <v>0</v>
      </c>
      <c r="DM344" s="86"/>
      <c r="DN344" s="86">
        <f>DM344*DM343</f>
        <v>0</v>
      </c>
      <c r="DO344" s="86"/>
      <c r="DP344" s="86">
        <f>DO344*DO343</f>
        <v>0</v>
      </c>
      <c r="DQ344" s="86"/>
      <c r="DR344" s="86">
        <f>DQ344*DQ343</f>
        <v>0</v>
      </c>
      <c r="DS344" s="86"/>
      <c r="DT344" s="86">
        <f>DS344*DS343</f>
        <v>0</v>
      </c>
      <c r="DU344" s="301"/>
      <c r="DV344" s="301"/>
      <c r="DW344" s="301"/>
      <c r="DX344" s="301"/>
      <c r="DY344" s="301"/>
      <c r="DZ344" s="301"/>
      <c r="EA344" s="301"/>
      <c r="EB344" s="301"/>
      <c r="EC344" s="301"/>
      <c r="ED344" s="301"/>
      <c r="EE344" s="301"/>
      <c r="EF344" s="301"/>
      <c r="EG344" s="301"/>
      <c r="EH344" s="301"/>
      <c r="EI344" s="301"/>
      <c r="EJ344" s="301"/>
      <c r="EK344" s="301"/>
      <c r="EL344" s="301"/>
      <c r="EM344" s="301"/>
      <c r="EN344" s="86"/>
      <c r="EO344" s="86">
        <f>EN344*EN343</f>
        <v>0</v>
      </c>
      <c r="EP344" s="86"/>
      <c r="EQ344" s="86">
        <f>EP344*EP343</f>
        <v>0</v>
      </c>
      <c r="ER344" s="86"/>
      <c r="ES344" s="86">
        <f>ER344*ER343</f>
        <v>0</v>
      </c>
      <c r="ET344" s="86"/>
      <c r="EU344" s="86">
        <f>ET344*ET343</f>
        <v>0</v>
      </c>
      <c r="EV344" s="86"/>
      <c r="EW344" s="86">
        <f>EV344*EV343</f>
        <v>0</v>
      </c>
      <c r="EX344" s="86"/>
      <c r="EY344" s="86">
        <f>EX344*EX343</f>
        <v>0</v>
      </c>
      <c r="EZ344" s="86"/>
      <c r="FA344" s="86">
        <f>EZ344*EZ343</f>
        <v>0</v>
      </c>
      <c r="FB344" s="86"/>
      <c r="FC344" s="86">
        <f>FB344*FB343</f>
        <v>0</v>
      </c>
      <c r="FD344" s="86"/>
      <c r="FE344" s="86">
        <f>FD344*FD343</f>
        <v>0</v>
      </c>
      <c r="FF344" s="86"/>
      <c r="FG344" s="86">
        <f>FF344*FF343</f>
        <v>0</v>
      </c>
      <c r="FH344" s="86"/>
      <c r="FI344" s="86">
        <f>FH344*FH343</f>
        <v>0</v>
      </c>
      <c r="FJ344" s="86"/>
      <c r="FK344" s="86">
        <f>FJ344*FJ343</f>
        <v>0</v>
      </c>
      <c r="FL344" s="86"/>
      <c r="FM344" s="86">
        <f>FL344*FL343</f>
        <v>0</v>
      </c>
      <c r="FN344" s="86"/>
      <c r="FO344" s="86">
        <f>FN344*FN343</f>
        <v>0</v>
      </c>
      <c r="FP344" s="86"/>
      <c r="FQ344" s="86">
        <f>FP344*FP343</f>
        <v>0</v>
      </c>
      <c r="FR344" s="301"/>
      <c r="FS344" s="301"/>
      <c r="FT344" s="301"/>
      <c r="FU344" s="301"/>
      <c r="FV344" s="301"/>
      <c r="FW344" s="301"/>
      <c r="FX344" s="301"/>
      <c r="FY344" s="301"/>
      <c r="FZ344" s="301"/>
      <c r="GA344" s="301"/>
      <c r="GB344" s="301"/>
      <c r="GC344" s="301"/>
      <c r="GD344" s="301"/>
      <c r="GE344" s="301"/>
      <c r="GF344" s="301"/>
      <c r="GG344" s="301"/>
    </row>
    <row r="345" spans="1:189" ht="15" hidden="1" customHeight="1" outlineLevel="3" x14ac:dyDescent="0.3">
      <c r="A345" s="1"/>
      <c r="B345" s="301"/>
      <c r="C345" s="301"/>
      <c r="D345" s="301"/>
      <c r="E345" s="301"/>
      <c r="F345" s="301"/>
      <c r="G345" s="5" t="s">
        <v>258</v>
      </c>
      <c r="H345" s="5"/>
      <c r="I345" s="284">
        <f t="shared" si="724"/>
        <v>7579</v>
      </c>
      <c r="J345" s="281"/>
      <c r="K345" s="428"/>
      <c r="L345" s="281"/>
      <c r="M345" s="428"/>
      <c r="N345" s="281"/>
      <c r="O345" s="428"/>
      <c r="P345" s="281"/>
      <c r="Q345" s="428"/>
      <c r="R345" s="281"/>
      <c r="S345" s="428"/>
      <c r="T345" s="281"/>
      <c r="U345" s="428"/>
      <c r="V345" s="281"/>
      <c r="W345" s="284">
        <v>1167</v>
      </c>
      <c r="X345" s="281"/>
      <c r="Y345" s="284">
        <v>1219</v>
      </c>
      <c r="Z345" s="281"/>
      <c r="AA345" s="284">
        <v>1469</v>
      </c>
      <c r="AB345" s="281"/>
      <c r="AC345" s="284">
        <v>1700</v>
      </c>
      <c r="AD345" s="281"/>
      <c r="AE345" s="284">
        <v>1083</v>
      </c>
      <c r="AF345" s="281"/>
      <c r="AG345" s="284">
        <v>941</v>
      </c>
      <c r="AH345" s="281"/>
      <c r="AI345" s="284">
        <v>868</v>
      </c>
      <c r="AJ345" s="281"/>
      <c r="AK345" s="284">
        <v>476</v>
      </c>
      <c r="AL345" s="281"/>
      <c r="AM345" s="284">
        <v>650</v>
      </c>
      <c r="AN345" s="281"/>
      <c r="AO345" s="284">
        <v>173</v>
      </c>
      <c r="AP345" s="281"/>
      <c r="AQ345" s="284">
        <v>70</v>
      </c>
      <c r="AR345" s="281"/>
      <c r="AS345" s="428"/>
      <c r="AT345" s="281"/>
      <c r="AU345" s="428"/>
      <c r="AV345" s="281"/>
      <c r="AW345" s="284">
        <v>55</v>
      </c>
      <c r="AX345" s="281"/>
      <c r="AY345" s="284">
        <v>173</v>
      </c>
      <c r="AZ345" s="281"/>
      <c r="BA345" s="284">
        <v>106</v>
      </c>
      <c r="BB345" s="281"/>
      <c r="BC345" s="284">
        <v>34</v>
      </c>
      <c r="BD345" s="281"/>
      <c r="BE345" s="284">
        <v>808</v>
      </c>
      <c r="BF345" s="281"/>
      <c r="BG345" s="284">
        <v>654</v>
      </c>
      <c r="BH345" s="281"/>
      <c r="BI345" s="284">
        <v>535</v>
      </c>
      <c r="BJ345" s="281"/>
      <c r="BK345" s="284">
        <v>670</v>
      </c>
      <c r="BL345" s="281"/>
      <c r="BM345" s="284">
        <v>567</v>
      </c>
      <c r="BN345" s="281"/>
      <c r="BO345" s="284">
        <v>946</v>
      </c>
      <c r="BP345" s="281"/>
      <c r="BQ345" s="284">
        <v>875</v>
      </c>
      <c r="BR345" s="281"/>
      <c r="BS345" s="284">
        <v>664</v>
      </c>
      <c r="BT345" s="281"/>
      <c r="BU345" s="284">
        <v>878</v>
      </c>
      <c r="BV345" s="281"/>
      <c r="BW345" s="284">
        <v>1012</v>
      </c>
      <c r="BX345" s="281"/>
      <c r="BY345" s="284">
        <v>1032</v>
      </c>
      <c r="BZ345" s="281"/>
      <c r="CA345" s="284">
        <v>1047</v>
      </c>
      <c r="CB345" s="281"/>
      <c r="CC345" s="284">
        <v>373</v>
      </c>
      <c r="CD345" s="281"/>
      <c r="CE345" s="284">
        <v>52</v>
      </c>
      <c r="CF345" s="281"/>
      <c r="CG345" s="284"/>
      <c r="CH345" s="281"/>
      <c r="CI345" s="284"/>
      <c r="CJ345" s="281"/>
      <c r="CK345" s="284"/>
      <c r="CL345" s="281"/>
      <c r="CM345" s="284"/>
      <c r="CN345" s="281"/>
      <c r="CO345" s="284"/>
      <c r="CP345" s="281"/>
      <c r="CQ345" s="284"/>
      <c r="CR345" s="281"/>
      <c r="CS345" s="284"/>
      <c r="CT345" s="281"/>
      <c r="CU345" s="284"/>
      <c r="CV345" s="281"/>
      <c r="CW345" s="284"/>
      <c r="CX345" s="281"/>
      <c r="CY345" s="284"/>
      <c r="CZ345" s="281"/>
      <c r="DA345" s="284"/>
      <c r="DB345" s="281"/>
      <c r="DC345" s="284"/>
      <c r="DD345" s="281"/>
      <c r="DE345" s="284"/>
      <c r="DF345" s="281"/>
      <c r="DG345" s="284"/>
      <c r="DH345" s="281"/>
      <c r="DI345" s="284"/>
      <c r="DJ345" s="281"/>
      <c r="DK345" s="284"/>
      <c r="DL345" s="281"/>
      <c r="DM345" s="284"/>
      <c r="DN345" s="281"/>
      <c r="DO345" s="284"/>
      <c r="DP345" s="281"/>
      <c r="DQ345" s="284"/>
      <c r="DR345" s="281"/>
      <c r="DS345" s="284"/>
      <c r="DT345" s="281"/>
      <c r="DU345" s="301"/>
      <c r="DV345" s="301"/>
      <c r="DW345" s="301"/>
      <c r="DX345" s="301"/>
      <c r="DY345" s="301"/>
      <c r="DZ345" s="301"/>
      <c r="EA345" s="301"/>
      <c r="EB345" s="301"/>
      <c r="EC345" s="301"/>
      <c r="ED345" s="301"/>
      <c r="EE345" s="301"/>
      <c r="EF345" s="301"/>
      <c r="EG345" s="301"/>
      <c r="EH345" s="301"/>
      <c r="EI345" s="301"/>
      <c r="EJ345" s="301"/>
      <c r="EK345" s="301"/>
      <c r="EL345" s="301"/>
      <c r="EM345" s="301"/>
      <c r="EN345" s="284"/>
      <c r="EO345" s="281"/>
      <c r="EP345" s="284"/>
      <c r="EQ345" s="281"/>
      <c r="ER345" s="284"/>
      <c r="ES345" s="281"/>
      <c r="ET345" s="284"/>
      <c r="EU345" s="281"/>
      <c r="EV345" s="284"/>
      <c r="EW345" s="281"/>
      <c r="EX345" s="284"/>
      <c r="EY345" s="281"/>
      <c r="EZ345" s="284"/>
      <c r="FA345" s="281"/>
      <c r="FB345" s="284"/>
      <c r="FC345" s="281"/>
      <c r="FD345" s="284"/>
      <c r="FE345" s="281"/>
      <c r="FF345" s="284"/>
      <c r="FG345" s="281"/>
      <c r="FH345" s="284"/>
      <c r="FI345" s="281"/>
      <c r="FJ345" s="284"/>
      <c r="FK345" s="281"/>
      <c r="FL345" s="284"/>
      <c r="FM345" s="281"/>
      <c r="FN345" s="284"/>
      <c r="FO345" s="281"/>
      <c r="FP345" s="284"/>
      <c r="FQ345" s="281"/>
      <c r="FR345" s="301"/>
      <c r="FS345" s="301"/>
      <c r="FT345" s="301"/>
      <c r="FU345" s="301"/>
      <c r="FV345" s="301"/>
      <c r="FW345" s="301"/>
      <c r="FX345" s="301"/>
      <c r="FY345" s="301"/>
      <c r="FZ345" s="301"/>
      <c r="GA345" s="301"/>
      <c r="GB345" s="301"/>
      <c r="GC345" s="301"/>
      <c r="GD345" s="301"/>
      <c r="GE345" s="301"/>
      <c r="GF345" s="301"/>
      <c r="GG345" s="301"/>
    </row>
    <row r="346" spans="1:189" ht="12.75" hidden="1" customHeight="1" outlineLevel="3" x14ac:dyDescent="0.3">
      <c r="A346" s="1"/>
      <c r="B346" s="302"/>
      <c r="C346" s="302"/>
      <c r="D346" s="302"/>
      <c r="E346" s="302"/>
      <c r="F346" s="302"/>
      <c r="G346" s="5" t="s">
        <v>122</v>
      </c>
      <c r="H346" s="5"/>
      <c r="I346" s="284">
        <f>I151</f>
        <v>40532</v>
      </c>
      <c r="J346" s="281"/>
      <c r="K346" s="428"/>
      <c r="L346" s="281"/>
      <c r="M346" s="428"/>
      <c r="N346" s="281"/>
      <c r="O346" s="428"/>
      <c r="P346" s="281"/>
      <c r="Q346" s="428"/>
      <c r="R346" s="281"/>
      <c r="S346" s="428"/>
      <c r="T346" s="281"/>
      <c r="U346" s="428"/>
      <c r="V346" s="281"/>
      <c r="W346" s="284">
        <v>7355</v>
      </c>
      <c r="X346" s="281"/>
      <c r="Y346" s="284">
        <v>7606</v>
      </c>
      <c r="Z346" s="281"/>
      <c r="AA346" s="284">
        <f>AA151</f>
        <v>6927</v>
      </c>
      <c r="AB346" s="281"/>
      <c r="AC346" s="284">
        <f>AC151</f>
        <v>7385</v>
      </c>
      <c r="AD346" s="281"/>
      <c r="AE346" s="284">
        <f>AE151</f>
        <v>5844</v>
      </c>
      <c r="AF346" s="281"/>
      <c r="AG346" s="284">
        <f>AG151</f>
        <v>5435</v>
      </c>
      <c r="AH346" s="281"/>
      <c r="AI346" s="284">
        <f>AI151</f>
        <v>5240</v>
      </c>
      <c r="AJ346" s="281"/>
      <c r="AK346" s="284">
        <f>AK151</f>
        <v>3545</v>
      </c>
      <c r="AL346" s="281"/>
      <c r="AM346" s="284">
        <f>AM151</f>
        <v>2507</v>
      </c>
      <c r="AN346" s="281"/>
      <c r="AO346" s="284">
        <f>AO151</f>
        <v>732</v>
      </c>
      <c r="AP346" s="281"/>
      <c r="AQ346" s="284">
        <f>AQ151</f>
        <v>252</v>
      </c>
      <c r="AR346" s="281"/>
      <c r="AS346" s="428">
        <f>AS151</f>
        <v>0</v>
      </c>
      <c r="AT346" s="281"/>
      <c r="AU346" s="428">
        <f>AU151</f>
        <v>0</v>
      </c>
      <c r="AV346" s="281"/>
      <c r="AW346" s="284">
        <f>AW151</f>
        <v>244</v>
      </c>
      <c r="AX346" s="281"/>
      <c r="AY346" s="284">
        <f>AY151</f>
        <v>647</v>
      </c>
      <c r="AZ346" s="281"/>
      <c r="BA346" s="284">
        <f>BA151</f>
        <v>326</v>
      </c>
      <c r="BB346" s="281"/>
      <c r="BC346" s="284">
        <f>BC151</f>
        <v>566</v>
      </c>
      <c r="BD346" s="281"/>
      <c r="BE346" s="284">
        <f>BE151</f>
        <v>1983</v>
      </c>
      <c r="BF346" s="281"/>
      <c r="BG346" s="284">
        <f>BG151</f>
        <v>1863</v>
      </c>
      <c r="BH346" s="281"/>
      <c r="BI346" s="284">
        <f>BI151</f>
        <v>1783</v>
      </c>
      <c r="BJ346" s="281"/>
      <c r="BK346" s="284">
        <f>BK151</f>
        <v>2414</v>
      </c>
      <c r="BL346" s="281"/>
      <c r="BM346" s="284">
        <f>BM151</f>
        <v>2376</v>
      </c>
      <c r="BN346" s="281"/>
      <c r="BO346" s="284">
        <f>BO151</f>
        <v>2433</v>
      </c>
      <c r="BP346" s="281"/>
      <c r="BQ346" s="284">
        <f>BQ151</f>
        <v>2202</v>
      </c>
      <c r="BR346" s="281"/>
      <c r="BS346" s="284">
        <f>BS151</f>
        <v>1577</v>
      </c>
      <c r="BT346" s="281"/>
      <c r="BU346" s="284">
        <f>BU151</f>
        <v>1892</v>
      </c>
      <c r="BV346" s="281"/>
      <c r="BW346" s="284">
        <f>BW151</f>
        <v>2307</v>
      </c>
      <c r="BX346" s="281"/>
      <c r="BY346" s="284">
        <f>BY151</f>
        <v>2099</v>
      </c>
      <c r="BZ346" s="281"/>
      <c r="CA346" s="284">
        <f>CA151</f>
        <v>2425</v>
      </c>
      <c r="CB346" s="281"/>
      <c r="CC346" s="284">
        <f>CC151</f>
        <v>869</v>
      </c>
      <c r="CD346" s="281"/>
      <c r="CE346" s="284">
        <f>CE151</f>
        <v>109</v>
      </c>
      <c r="CF346" s="281"/>
      <c r="CG346" s="284">
        <f>CG151</f>
        <v>0</v>
      </c>
      <c r="CH346" s="281"/>
      <c r="CI346" s="284">
        <f>CI151</f>
        <v>0</v>
      </c>
      <c r="CJ346" s="281"/>
      <c r="CK346" s="284">
        <f>CK151</f>
        <v>0</v>
      </c>
      <c r="CL346" s="281"/>
      <c r="CM346" s="284">
        <f>CM151</f>
        <v>0</v>
      </c>
      <c r="CN346" s="281"/>
      <c r="CO346" s="284">
        <f>CO151</f>
        <v>0</v>
      </c>
      <c r="CP346" s="281"/>
      <c r="CQ346" s="284">
        <f>CQ151</f>
        <v>0</v>
      </c>
      <c r="CR346" s="281"/>
      <c r="CS346" s="284">
        <f>CS151</f>
        <v>0</v>
      </c>
      <c r="CT346" s="281"/>
      <c r="CU346" s="284">
        <f>CU151</f>
        <v>0</v>
      </c>
      <c r="CV346" s="281"/>
      <c r="CW346" s="284">
        <f>CW151</f>
        <v>0</v>
      </c>
      <c r="CX346" s="281"/>
      <c r="CY346" s="284">
        <f>CY151</f>
        <v>0</v>
      </c>
      <c r="CZ346" s="281"/>
      <c r="DA346" s="284">
        <f>DA151</f>
        <v>0</v>
      </c>
      <c r="DB346" s="281"/>
      <c r="DC346" s="284">
        <f>DC151</f>
        <v>0</v>
      </c>
      <c r="DD346" s="281"/>
      <c r="DE346" s="284">
        <f>DE151</f>
        <v>0</v>
      </c>
      <c r="DF346" s="281"/>
      <c r="DG346" s="284">
        <f>DG151</f>
        <v>0</v>
      </c>
      <c r="DH346" s="281"/>
      <c r="DI346" s="284">
        <f>DI151</f>
        <v>0</v>
      </c>
      <c r="DJ346" s="281"/>
      <c r="DK346" s="284">
        <f>DK151</f>
        <v>0</v>
      </c>
      <c r="DL346" s="281"/>
      <c r="DM346" s="284">
        <f>DM151</f>
        <v>0</v>
      </c>
      <c r="DN346" s="281"/>
      <c r="DO346" s="284">
        <f>DO151</f>
        <v>0</v>
      </c>
      <c r="DP346" s="281"/>
      <c r="DQ346" s="284">
        <f>DQ151</f>
        <v>0</v>
      </c>
      <c r="DR346" s="281"/>
      <c r="DS346" s="284">
        <f>DS151</f>
        <v>0</v>
      </c>
      <c r="DT346" s="281"/>
      <c r="DU346" s="302"/>
      <c r="DV346" s="302"/>
      <c r="DW346" s="302"/>
      <c r="DX346" s="302"/>
      <c r="DY346" s="302"/>
      <c r="DZ346" s="302"/>
      <c r="EA346" s="302"/>
      <c r="EB346" s="302"/>
      <c r="EC346" s="302"/>
      <c r="ED346" s="302"/>
      <c r="EE346" s="302"/>
      <c r="EF346" s="302"/>
      <c r="EG346" s="302"/>
      <c r="EH346" s="302"/>
      <c r="EI346" s="302"/>
      <c r="EJ346" s="302"/>
      <c r="EK346" s="302"/>
      <c r="EL346" s="302"/>
      <c r="EM346" s="302"/>
      <c r="EN346" s="284">
        <f>EN151</f>
        <v>0</v>
      </c>
      <c r="EO346" s="281"/>
      <c r="EP346" s="284">
        <f>EP151</f>
        <v>0</v>
      </c>
      <c r="EQ346" s="281"/>
      <c r="ER346" s="284">
        <f>ER151</f>
        <v>0</v>
      </c>
      <c r="ES346" s="281"/>
      <c r="ET346" s="284">
        <f>ET151</f>
        <v>0</v>
      </c>
      <c r="EU346" s="281"/>
      <c r="EV346" s="284">
        <f>EV151</f>
        <v>0</v>
      </c>
      <c r="EW346" s="281"/>
      <c r="EX346" s="284">
        <f>EX151</f>
        <v>0</v>
      </c>
      <c r="EY346" s="281"/>
      <c r="EZ346" s="284">
        <f>EZ151</f>
        <v>0</v>
      </c>
      <c r="FA346" s="281"/>
      <c r="FB346" s="284">
        <f>FB151</f>
        <v>0</v>
      </c>
      <c r="FC346" s="281"/>
      <c r="FD346" s="284">
        <f>FD151</f>
        <v>0</v>
      </c>
      <c r="FE346" s="281"/>
      <c r="FF346" s="284">
        <f>FF151</f>
        <v>0</v>
      </c>
      <c r="FG346" s="281"/>
      <c r="FH346" s="284">
        <f>FH151</f>
        <v>0</v>
      </c>
      <c r="FI346" s="281"/>
      <c r="FJ346" s="284">
        <f>FJ151</f>
        <v>0</v>
      </c>
      <c r="FK346" s="281"/>
      <c r="FL346" s="284">
        <f>FL151</f>
        <v>0</v>
      </c>
      <c r="FM346" s="281"/>
      <c r="FN346" s="284">
        <f>FN151</f>
        <v>0</v>
      </c>
      <c r="FO346" s="281"/>
      <c r="FP346" s="284">
        <f>FP151</f>
        <v>0</v>
      </c>
      <c r="FQ346" s="281"/>
      <c r="FR346" s="302"/>
      <c r="FS346" s="302"/>
      <c r="FT346" s="302"/>
      <c r="FU346" s="302"/>
      <c r="FV346" s="302"/>
      <c r="FW346" s="302"/>
      <c r="FX346" s="302"/>
      <c r="FY346" s="302"/>
      <c r="FZ346" s="302"/>
      <c r="GA346" s="302"/>
      <c r="GB346" s="302"/>
      <c r="GC346" s="302"/>
      <c r="GD346" s="302"/>
      <c r="GE346" s="302"/>
      <c r="GF346" s="302"/>
      <c r="GG346" s="302"/>
    </row>
    <row r="347" spans="1:189" ht="12.75" customHeight="1" outlineLevel="3" x14ac:dyDescent="0.3">
      <c r="A347" s="1"/>
      <c r="B347" s="18"/>
      <c r="C347" s="18"/>
      <c r="D347" s="18"/>
      <c r="E347" s="18"/>
      <c r="F347" s="18"/>
      <c r="G347" s="3"/>
      <c r="H347" s="3"/>
      <c r="I347" s="20"/>
      <c r="J347" s="20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88"/>
      <c r="AT347" s="88"/>
      <c r="AU347" s="88"/>
      <c r="AV347" s="88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C347" s="20"/>
      <c r="CE347" s="20"/>
      <c r="CG347" s="20"/>
      <c r="CI347" s="20"/>
      <c r="CK347" s="20"/>
      <c r="CM347" s="20"/>
      <c r="CO347" s="20"/>
      <c r="CQ347" s="20"/>
      <c r="CS347" s="20"/>
      <c r="CU347" s="20"/>
      <c r="CW347" s="20"/>
      <c r="CY347" s="20"/>
      <c r="DA347" s="20"/>
      <c r="DC347" s="20"/>
      <c r="DE347" s="20"/>
      <c r="DG347" s="20"/>
      <c r="DI347" s="20"/>
      <c r="DK347" s="20"/>
      <c r="DM347" s="20"/>
      <c r="DO347" s="20"/>
      <c r="DQ347" s="20"/>
      <c r="DS347" s="20"/>
      <c r="EN347" s="20"/>
      <c r="EP347" s="20"/>
      <c r="ER347" s="20"/>
      <c r="ET347" s="20"/>
      <c r="EV347" s="20"/>
      <c r="EX347" s="20"/>
      <c r="EZ347" s="20"/>
      <c r="FB347" s="20"/>
      <c r="FD347" s="20"/>
      <c r="FF347" s="20"/>
      <c r="FH347" s="20"/>
      <c r="FJ347" s="20"/>
      <c r="FL347" s="20"/>
      <c r="FN347" s="20"/>
      <c r="FP347" s="20"/>
    </row>
    <row r="348" spans="1:189" ht="12.75" customHeight="1" outlineLevel="3" x14ac:dyDescent="0.3">
      <c r="A348" s="1"/>
      <c r="B348" s="313" t="s">
        <v>261</v>
      </c>
      <c r="C348" s="313" t="s">
        <v>80</v>
      </c>
      <c r="D348" s="313" t="s">
        <v>96</v>
      </c>
      <c r="E348" s="313" t="s">
        <v>257</v>
      </c>
      <c r="F348" s="313" t="s">
        <v>27</v>
      </c>
      <c r="G348" s="5" t="s">
        <v>28</v>
      </c>
      <c r="H348" s="5"/>
      <c r="I348" s="327">
        <v>0.8</v>
      </c>
      <c r="J348" s="281"/>
      <c r="K348" s="427"/>
      <c r="L348" s="281"/>
      <c r="M348" s="427"/>
      <c r="N348" s="281"/>
      <c r="O348" s="427"/>
      <c r="P348" s="281"/>
      <c r="Q348" s="427"/>
      <c r="R348" s="281"/>
      <c r="S348" s="427"/>
      <c r="T348" s="281"/>
      <c r="U348" s="427"/>
      <c r="V348" s="281"/>
      <c r="W348" s="327">
        <v>0.8</v>
      </c>
      <c r="X348" s="281"/>
      <c r="Y348" s="327">
        <v>0.8</v>
      </c>
      <c r="Z348" s="281"/>
      <c r="AA348" s="327">
        <v>0.8</v>
      </c>
      <c r="AB348" s="281"/>
      <c r="AC348" s="327">
        <v>0.8</v>
      </c>
      <c r="AD348" s="281"/>
      <c r="AE348" s="327">
        <v>0.8</v>
      </c>
      <c r="AF348" s="281"/>
      <c r="AG348" s="327">
        <v>0.8</v>
      </c>
      <c r="AH348" s="281"/>
      <c r="AI348" s="327">
        <v>0.8</v>
      </c>
      <c r="AJ348" s="281"/>
      <c r="AK348" s="327">
        <v>0.8</v>
      </c>
      <c r="AL348" s="281"/>
      <c r="AM348" s="327">
        <v>0.8</v>
      </c>
      <c r="AN348" s="281"/>
      <c r="AO348" s="327">
        <v>0.8</v>
      </c>
      <c r="AP348" s="281"/>
      <c r="AQ348" s="327">
        <v>0.8</v>
      </c>
      <c r="AR348" s="281"/>
      <c r="AS348" s="427">
        <v>0.8</v>
      </c>
      <c r="AT348" s="281"/>
      <c r="AU348" s="427">
        <v>0.8</v>
      </c>
      <c r="AV348" s="281"/>
      <c r="AW348" s="327">
        <v>0.8</v>
      </c>
      <c r="AX348" s="281"/>
      <c r="AY348" s="327">
        <v>0.8</v>
      </c>
      <c r="AZ348" s="281"/>
      <c r="BA348" s="327">
        <v>0.8</v>
      </c>
      <c r="BB348" s="281"/>
      <c r="BC348" s="327">
        <v>0.8</v>
      </c>
      <c r="BD348" s="281"/>
      <c r="BE348" s="327">
        <v>0.8</v>
      </c>
      <c r="BF348" s="281"/>
      <c r="BG348" s="327">
        <v>0.75</v>
      </c>
      <c r="BH348" s="281"/>
      <c r="BI348" s="327">
        <v>0.75</v>
      </c>
      <c r="BJ348" s="281"/>
      <c r="BK348" s="327">
        <v>0.75</v>
      </c>
      <c r="BL348" s="281"/>
      <c r="BM348" s="327">
        <v>0.75</v>
      </c>
      <c r="BN348" s="281"/>
      <c r="BO348" s="327">
        <v>0.75</v>
      </c>
      <c r="BP348" s="281"/>
      <c r="BQ348" s="327">
        <v>0.75</v>
      </c>
      <c r="BR348" s="281"/>
      <c r="BS348" s="327">
        <v>0.75</v>
      </c>
      <c r="BT348" s="281"/>
      <c r="BU348" s="327">
        <v>0.75</v>
      </c>
      <c r="BV348" s="281"/>
      <c r="BW348" s="327">
        <v>0.75</v>
      </c>
      <c r="BX348" s="281"/>
      <c r="BY348" s="327">
        <v>0.75</v>
      </c>
      <c r="BZ348" s="281"/>
      <c r="CA348" s="327">
        <v>0.75</v>
      </c>
      <c r="CB348" s="281"/>
      <c r="CC348" s="327">
        <v>0.75</v>
      </c>
      <c r="CD348" s="281"/>
      <c r="CE348" s="327">
        <v>0.75</v>
      </c>
      <c r="CF348" s="281"/>
      <c r="CG348" s="327">
        <v>0.75</v>
      </c>
      <c r="CH348" s="281"/>
      <c r="CI348" s="327">
        <v>0.75</v>
      </c>
      <c r="CJ348" s="281"/>
      <c r="CK348" s="327">
        <v>0.75</v>
      </c>
      <c r="CL348" s="281"/>
      <c r="CM348" s="327">
        <v>0.75</v>
      </c>
      <c r="CN348" s="281"/>
      <c r="CO348" s="327">
        <v>0.75</v>
      </c>
      <c r="CP348" s="281"/>
      <c r="CQ348" s="327">
        <v>0.75</v>
      </c>
      <c r="CR348" s="281"/>
      <c r="CS348" s="327">
        <v>0.75</v>
      </c>
      <c r="CT348" s="281"/>
      <c r="CU348" s="327">
        <v>0.75</v>
      </c>
      <c r="CV348" s="281"/>
      <c r="CW348" s="327">
        <v>0.75</v>
      </c>
      <c r="CX348" s="281"/>
      <c r="CY348" s="327">
        <v>0.75</v>
      </c>
      <c r="CZ348" s="281"/>
      <c r="DA348" s="327">
        <v>0.75</v>
      </c>
      <c r="DB348" s="281"/>
      <c r="DC348" s="327">
        <v>0.75</v>
      </c>
      <c r="DD348" s="281"/>
      <c r="DE348" s="327">
        <v>0.75</v>
      </c>
      <c r="DF348" s="281"/>
      <c r="DG348" s="327">
        <v>0.75</v>
      </c>
      <c r="DH348" s="281"/>
      <c r="DI348" s="327">
        <v>0.75</v>
      </c>
      <c r="DJ348" s="281"/>
      <c r="DK348" s="327">
        <v>0.75</v>
      </c>
      <c r="DL348" s="281"/>
      <c r="DM348" s="327">
        <v>0.75</v>
      </c>
      <c r="DN348" s="281"/>
      <c r="DO348" s="327">
        <v>0.75</v>
      </c>
      <c r="DP348" s="281"/>
      <c r="DQ348" s="327">
        <v>0.75</v>
      </c>
      <c r="DR348" s="281"/>
      <c r="DS348" s="327">
        <v>0.75</v>
      </c>
      <c r="DT348" s="281"/>
      <c r="DU348" s="319" t="s">
        <v>29</v>
      </c>
      <c r="DV348" s="319" t="s">
        <v>29</v>
      </c>
      <c r="DW348" s="319" t="s">
        <v>29</v>
      </c>
      <c r="DX348" s="319" t="s">
        <v>29</v>
      </c>
      <c r="DY348" s="319" t="s">
        <v>29</v>
      </c>
      <c r="DZ348" s="319" t="s">
        <v>29</v>
      </c>
      <c r="EA348" s="319" t="s">
        <v>29</v>
      </c>
      <c r="EB348" s="319" t="s">
        <v>29</v>
      </c>
      <c r="EC348" s="319" t="s">
        <v>29</v>
      </c>
      <c r="ED348" s="319" t="s">
        <v>29</v>
      </c>
      <c r="EE348" s="319" t="s">
        <v>29</v>
      </c>
      <c r="EF348" s="319" t="s">
        <v>29</v>
      </c>
      <c r="EG348" s="319" t="s">
        <v>29</v>
      </c>
      <c r="EH348" s="319" t="s">
        <v>29</v>
      </c>
      <c r="EI348" s="319" t="s">
        <v>29</v>
      </c>
      <c r="EJ348" s="319" t="s">
        <v>29</v>
      </c>
      <c r="EK348" s="319"/>
      <c r="EL348" s="319"/>
      <c r="EM348" s="319"/>
      <c r="EN348" s="327">
        <v>0.75</v>
      </c>
      <c r="EO348" s="281"/>
      <c r="EP348" s="327">
        <v>0.75</v>
      </c>
      <c r="EQ348" s="281"/>
      <c r="ER348" s="327">
        <v>0.75</v>
      </c>
      <c r="ES348" s="281"/>
      <c r="ET348" s="327">
        <v>0.75</v>
      </c>
      <c r="EU348" s="281"/>
      <c r="EV348" s="327">
        <v>0.75</v>
      </c>
      <c r="EW348" s="281"/>
      <c r="EX348" s="327">
        <v>0.75</v>
      </c>
      <c r="EY348" s="281"/>
      <c r="EZ348" s="327">
        <v>0.75</v>
      </c>
      <c r="FA348" s="281"/>
      <c r="FB348" s="327">
        <v>0.75</v>
      </c>
      <c r="FC348" s="281"/>
      <c r="FD348" s="327">
        <v>0.75</v>
      </c>
      <c r="FE348" s="281"/>
      <c r="FF348" s="327">
        <v>0.75</v>
      </c>
      <c r="FG348" s="281"/>
      <c r="FH348" s="327">
        <v>0.75</v>
      </c>
      <c r="FI348" s="281"/>
      <c r="FJ348" s="327">
        <v>0.75</v>
      </c>
      <c r="FK348" s="281"/>
      <c r="FL348" s="327">
        <v>0.75</v>
      </c>
      <c r="FM348" s="281"/>
      <c r="FN348" s="327">
        <v>0.75</v>
      </c>
      <c r="FO348" s="281"/>
      <c r="FP348" s="327">
        <v>0.75</v>
      </c>
      <c r="FQ348" s="281"/>
      <c r="FR348" s="319" t="s">
        <v>29</v>
      </c>
      <c r="FS348" s="319" t="s">
        <v>29</v>
      </c>
      <c r="FT348" s="319" t="s">
        <v>29</v>
      </c>
      <c r="FU348" s="319" t="s">
        <v>29</v>
      </c>
      <c r="FV348" s="319" t="s">
        <v>29</v>
      </c>
      <c r="FW348" s="319" t="s">
        <v>29</v>
      </c>
      <c r="FX348" s="319" t="s">
        <v>29</v>
      </c>
      <c r="FY348" s="319" t="s">
        <v>29</v>
      </c>
      <c r="FZ348" s="319" t="s">
        <v>29</v>
      </c>
      <c r="GA348" s="319" t="s">
        <v>29</v>
      </c>
      <c r="GB348" s="319" t="s">
        <v>29</v>
      </c>
      <c r="GC348" s="319" t="s">
        <v>29</v>
      </c>
      <c r="GD348" s="319" t="s">
        <v>29</v>
      </c>
      <c r="GE348" s="319" t="s">
        <v>29</v>
      </c>
      <c r="GF348" s="319"/>
      <c r="GG348" s="319"/>
    </row>
    <row r="349" spans="1:189" ht="4.5" customHeight="1" outlineLevel="3" x14ac:dyDescent="0.3">
      <c r="A349" s="1"/>
      <c r="B349" s="301"/>
      <c r="C349" s="301"/>
      <c r="D349" s="301"/>
      <c r="E349" s="301"/>
      <c r="F349" s="301"/>
      <c r="G349" s="5"/>
      <c r="H349" s="5"/>
      <c r="I349" s="328"/>
      <c r="J349" s="281"/>
      <c r="K349" s="428"/>
      <c r="L349" s="281"/>
      <c r="M349" s="428"/>
      <c r="N349" s="281"/>
      <c r="O349" s="428"/>
      <c r="P349" s="281"/>
      <c r="Q349" s="428"/>
      <c r="R349" s="281"/>
      <c r="S349" s="428"/>
      <c r="T349" s="281"/>
      <c r="U349" s="428"/>
      <c r="V349" s="281"/>
      <c r="W349" s="328"/>
      <c r="X349" s="281"/>
      <c r="Y349" s="328"/>
      <c r="Z349" s="281"/>
      <c r="AA349" s="328"/>
      <c r="AB349" s="281"/>
      <c r="AC349" s="328"/>
      <c r="AD349" s="281"/>
      <c r="AE349" s="328"/>
      <c r="AF349" s="281"/>
      <c r="AG349" s="328"/>
      <c r="AH349" s="281"/>
      <c r="AI349" s="328"/>
      <c r="AJ349" s="281"/>
      <c r="AK349" s="328"/>
      <c r="AL349" s="281"/>
      <c r="AM349" s="328"/>
      <c r="AN349" s="281"/>
      <c r="AO349" s="328"/>
      <c r="AP349" s="281"/>
      <c r="AQ349" s="328"/>
      <c r="AR349" s="281"/>
      <c r="AS349" s="428"/>
      <c r="AT349" s="281"/>
      <c r="AU349" s="428"/>
      <c r="AV349" s="281"/>
      <c r="AW349" s="328"/>
      <c r="AX349" s="281"/>
      <c r="AY349" s="328"/>
      <c r="AZ349" s="281"/>
      <c r="BA349" s="328"/>
      <c r="BB349" s="281"/>
      <c r="BC349" s="328"/>
      <c r="BD349" s="281"/>
      <c r="BE349" s="328"/>
      <c r="BF349" s="281"/>
      <c r="BG349" s="328"/>
      <c r="BH349" s="281"/>
      <c r="BI349" s="328"/>
      <c r="BJ349" s="281"/>
      <c r="BK349" s="328"/>
      <c r="BL349" s="281"/>
      <c r="BM349" s="328"/>
      <c r="BN349" s="281"/>
      <c r="BO349" s="328"/>
      <c r="BP349" s="281"/>
      <c r="BQ349" s="328"/>
      <c r="BR349" s="281"/>
      <c r="BS349" s="328"/>
      <c r="BT349" s="281"/>
      <c r="BU349" s="328"/>
      <c r="BV349" s="281"/>
      <c r="BW349" s="282"/>
      <c r="BX349" s="281"/>
      <c r="BY349" s="282"/>
      <c r="BZ349" s="281"/>
      <c r="CA349" s="282"/>
      <c r="CB349" s="281"/>
      <c r="CC349" s="282"/>
      <c r="CD349" s="281"/>
      <c r="CE349" s="282"/>
      <c r="CF349" s="281"/>
      <c r="CG349" s="282"/>
      <c r="CH349" s="281"/>
      <c r="CI349" s="282"/>
      <c r="CJ349" s="281"/>
      <c r="CK349" s="282"/>
      <c r="CL349" s="281"/>
      <c r="CM349" s="282"/>
      <c r="CN349" s="281"/>
      <c r="CO349" s="328"/>
      <c r="CP349" s="281"/>
      <c r="CQ349" s="328"/>
      <c r="CR349" s="281"/>
      <c r="CS349" s="328"/>
      <c r="CT349" s="281"/>
      <c r="CU349" s="328"/>
      <c r="CV349" s="281"/>
      <c r="CW349" s="328"/>
      <c r="CX349" s="281"/>
      <c r="CY349" s="328"/>
      <c r="CZ349" s="281"/>
      <c r="DA349" s="328"/>
      <c r="DB349" s="281"/>
      <c r="DC349" s="328"/>
      <c r="DD349" s="281"/>
      <c r="DE349" s="328"/>
      <c r="DF349" s="281"/>
      <c r="DG349" s="328"/>
      <c r="DH349" s="281"/>
      <c r="DI349" s="328"/>
      <c r="DJ349" s="281"/>
      <c r="DK349" s="328"/>
      <c r="DL349" s="281"/>
      <c r="DM349" s="328"/>
      <c r="DN349" s="281"/>
      <c r="DO349" s="328"/>
      <c r="DP349" s="281"/>
      <c r="DQ349" s="328"/>
      <c r="DR349" s="281"/>
      <c r="DS349" s="328"/>
      <c r="DT349" s="281"/>
      <c r="DU349" s="301"/>
      <c r="DV349" s="301"/>
      <c r="DW349" s="301"/>
      <c r="DX349" s="301"/>
      <c r="DY349" s="301"/>
      <c r="DZ349" s="301"/>
      <c r="EA349" s="301"/>
      <c r="EB349" s="301"/>
      <c r="EC349" s="301"/>
      <c r="ED349" s="301"/>
      <c r="EE349" s="301"/>
      <c r="EF349" s="301"/>
      <c r="EG349" s="301"/>
      <c r="EH349" s="301"/>
      <c r="EI349" s="301"/>
      <c r="EJ349" s="301"/>
      <c r="EK349" s="301"/>
      <c r="EL349" s="301"/>
      <c r="EM349" s="301"/>
      <c r="EN349" s="328"/>
      <c r="EO349" s="281"/>
      <c r="EP349" s="328"/>
      <c r="EQ349" s="281"/>
      <c r="ER349" s="328"/>
      <c r="ES349" s="281"/>
      <c r="ET349" s="282"/>
      <c r="EU349" s="281"/>
      <c r="EV349" s="282"/>
      <c r="EW349" s="281"/>
      <c r="EX349" s="282"/>
      <c r="EY349" s="281"/>
      <c r="EZ349" s="282"/>
      <c r="FA349" s="281"/>
      <c r="FB349" s="282"/>
      <c r="FC349" s="281"/>
      <c r="FD349" s="282"/>
      <c r="FE349" s="281"/>
      <c r="FF349" s="282"/>
      <c r="FG349" s="281"/>
      <c r="FH349" s="282"/>
      <c r="FI349" s="281"/>
      <c r="FJ349" s="282"/>
      <c r="FK349" s="281"/>
      <c r="FL349" s="282"/>
      <c r="FM349" s="281"/>
      <c r="FN349" s="328"/>
      <c r="FO349" s="281"/>
      <c r="FP349" s="282"/>
      <c r="FQ349" s="281"/>
      <c r="FR349" s="301"/>
      <c r="FS349" s="301"/>
      <c r="FT349" s="301"/>
      <c r="FU349" s="301"/>
      <c r="FV349" s="301"/>
      <c r="FW349" s="301"/>
      <c r="FX349" s="301"/>
      <c r="FY349" s="301"/>
      <c r="FZ349" s="301"/>
      <c r="GA349" s="301"/>
      <c r="GB349" s="301"/>
      <c r="GC349" s="301"/>
      <c r="GD349" s="301"/>
      <c r="GE349" s="301"/>
      <c r="GF349" s="289"/>
      <c r="GG349" s="289"/>
    </row>
    <row r="350" spans="1:189" ht="12.75" customHeight="1" outlineLevel="3" x14ac:dyDescent="0.3">
      <c r="A350" s="1"/>
      <c r="B350" s="301"/>
      <c r="C350" s="301"/>
      <c r="D350" s="301"/>
      <c r="E350" s="301"/>
      <c r="F350" s="301"/>
      <c r="G350" s="5" t="s">
        <v>30</v>
      </c>
      <c r="H350" s="5"/>
      <c r="I350" s="283">
        <f>I351/I352</f>
        <v>0.89431323393587547</v>
      </c>
      <c r="J350" s="281"/>
      <c r="K350" s="429"/>
      <c r="L350" s="281"/>
      <c r="M350" s="429"/>
      <c r="N350" s="281"/>
      <c r="O350" s="429"/>
      <c r="P350" s="281"/>
      <c r="Q350" s="429"/>
      <c r="R350" s="281"/>
      <c r="S350" s="429"/>
      <c r="T350" s="281"/>
      <c r="U350" s="429"/>
      <c r="V350" s="281"/>
      <c r="W350" s="283">
        <v>0.86119999999999997</v>
      </c>
      <c r="X350" s="281"/>
      <c r="Y350" s="283">
        <v>0.91300000000000003</v>
      </c>
      <c r="Z350" s="281"/>
      <c r="AA350" s="283">
        <v>0.89649999999999996</v>
      </c>
      <c r="AB350" s="281"/>
      <c r="AC350" s="283">
        <v>0.88349999999999995</v>
      </c>
      <c r="AD350" s="281"/>
      <c r="AE350" s="283">
        <v>0.93440000000000001</v>
      </c>
      <c r="AF350" s="281"/>
      <c r="AG350" s="283">
        <f>AG351/AG352</f>
        <v>0.88097768331562165</v>
      </c>
      <c r="AH350" s="281"/>
      <c r="AI350" s="283">
        <f>AI351/AI352</f>
        <v>0.92972350230414746</v>
      </c>
      <c r="AJ350" s="281"/>
      <c r="AK350" s="283">
        <f>AK351/AK352</f>
        <v>0.90756302521008403</v>
      </c>
      <c r="AL350" s="281"/>
      <c r="AM350" s="283">
        <f>AM351/AM352</f>
        <v>0.93076923076923079</v>
      </c>
      <c r="AN350" s="281"/>
      <c r="AO350" s="283">
        <f>AO351/AO352</f>
        <v>0.80924855491329484</v>
      </c>
      <c r="AP350" s="281"/>
      <c r="AQ350" s="283">
        <f>AQ351/AQ352</f>
        <v>0.97142857142857142</v>
      </c>
      <c r="AR350" s="281"/>
      <c r="AS350" s="429"/>
      <c r="AT350" s="281"/>
      <c r="AU350" s="429"/>
      <c r="AV350" s="281"/>
      <c r="AW350" s="283">
        <f>AW351/AW352</f>
        <v>0.94545454545454544</v>
      </c>
      <c r="AX350" s="281"/>
      <c r="AY350" s="283">
        <f>AY351/AY352</f>
        <v>0.87861271676300579</v>
      </c>
      <c r="AZ350" s="281"/>
      <c r="BA350" s="283">
        <f>BA351/BA352</f>
        <v>0.91509433962264153</v>
      </c>
      <c r="BB350" s="281"/>
      <c r="BC350" s="283">
        <f>BC351/BC352</f>
        <v>0.8529411764705882</v>
      </c>
      <c r="BD350" s="281"/>
      <c r="BE350" s="283">
        <f>BE351/BE352</f>
        <v>0.8910891089108911</v>
      </c>
      <c r="BF350" s="281"/>
      <c r="BG350" s="283" t="e">
        <f>BG351/BG352</f>
        <v>#DIV/0!</v>
      </c>
      <c r="BH350" s="281"/>
      <c r="BI350" s="283" t="e">
        <f>BI351/BI352</f>
        <v>#DIV/0!</v>
      </c>
      <c r="BJ350" s="281"/>
      <c r="BK350" s="283" t="e">
        <f>BK351/BK352</f>
        <v>#DIV/0!</v>
      </c>
      <c r="BL350" s="281"/>
      <c r="BM350" s="283" t="e">
        <f>BM351/BM352</f>
        <v>#DIV/0!</v>
      </c>
      <c r="BN350" s="281"/>
      <c r="BO350" s="283" t="e">
        <f>BO351/BO352</f>
        <v>#DIV/0!</v>
      </c>
      <c r="BP350" s="281"/>
      <c r="BQ350" s="283" t="e">
        <f>BQ351/BQ352</f>
        <v>#DIV/0!</v>
      </c>
      <c r="BR350" s="281"/>
      <c r="BS350" s="283" t="e">
        <f>BS351/BS352</f>
        <v>#DIV/0!</v>
      </c>
      <c r="BT350" s="281"/>
      <c r="BU350" s="283" t="e">
        <f>BU351/BU352</f>
        <v>#DIV/0!</v>
      </c>
      <c r="BV350" s="281"/>
      <c r="BW350" s="283">
        <f>BW351/BW352</f>
        <v>0.53842388644150763</v>
      </c>
      <c r="BX350" s="281"/>
      <c r="BY350" s="283">
        <f>BY351/BY352</f>
        <v>0.5370810810810811</v>
      </c>
      <c r="BZ350" s="281"/>
      <c r="CA350" s="283">
        <f>CA351/CA352</f>
        <v>0.56831422664912612</v>
      </c>
      <c r="CB350" s="281"/>
      <c r="CC350" s="283">
        <f>CC351/CC352</f>
        <v>0.53677379480840548</v>
      </c>
      <c r="CD350" s="281"/>
      <c r="CE350" s="283">
        <f>CE351/CE352</f>
        <v>0.513351134846462</v>
      </c>
      <c r="CF350" s="281"/>
      <c r="CG350" s="283">
        <f>CG351/CG352</f>
        <v>0.54171840079463618</v>
      </c>
      <c r="CH350" s="281"/>
      <c r="CI350" s="283">
        <f>CI351/CI352</f>
        <v>0.58628930817610059</v>
      </c>
      <c r="CJ350" s="281"/>
      <c r="CK350" s="283">
        <f>CK351/CK352</f>
        <v>0.5714285714285714</v>
      </c>
      <c r="CL350" s="281"/>
      <c r="CM350" s="283">
        <f>CM351/CM352</f>
        <v>0.71091747821629936</v>
      </c>
      <c r="CN350" s="281"/>
      <c r="CO350" s="283">
        <f>CO351/CO352</f>
        <v>0.76797385620915037</v>
      </c>
      <c r="CP350" s="281"/>
      <c r="CQ350" s="283">
        <f>CQ351/CQ352</f>
        <v>0.76816608996539792</v>
      </c>
      <c r="CR350" s="281"/>
      <c r="CS350" s="283">
        <f>CS351/CS352</f>
        <v>0.76715825297787865</v>
      </c>
      <c r="CT350" s="281"/>
      <c r="CU350" s="283">
        <f>CU351/CU352</f>
        <v>0.78031344514709922</v>
      </c>
      <c r="CV350" s="281"/>
      <c r="CW350" s="283">
        <f>CW351/CW352</f>
        <v>0.78777703156480861</v>
      </c>
      <c r="CX350" s="281"/>
      <c r="CY350" s="283">
        <f>CY351/CY352</f>
        <v>0.80330123796423658</v>
      </c>
      <c r="CZ350" s="281"/>
      <c r="DA350" s="283">
        <f>DA351/DA352</f>
        <v>0.77713578208832024</v>
      </c>
      <c r="DB350" s="281"/>
      <c r="DC350" s="283">
        <f>DC351/DC352</f>
        <v>0.79209726443769002</v>
      </c>
      <c r="DD350" s="281"/>
      <c r="DE350" s="283">
        <f>DE351/DE352</f>
        <v>0.78162106350025817</v>
      </c>
      <c r="DF350" s="281"/>
      <c r="DG350" s="283">
        <f>DG351/DG352</f>
        <v>0.76366625565145907</v>
      </c>
      <c r="DH350" s="281"/>
      <c r="DI350" s="283">
        <f>DI351/DI352</f>
        <v>0.77462609592573495</v>
      </c>
      <c r="DJ350" s="281"/>
      <c r="DK350" s="283">
        <f>DK351/DK352</f>
        <v>0.79423076923076918</v>
      </c>
      <c r="DL350" s="281"/>
      <c r="DM350" s="283">
        <f>DM351/DM352</f>
        <v>0.75868440502586842</v>
      </c>
      <c r="DN350" s="281"/>
      <c r="DO350" s="283">
        <f>DO351/DO352</f>
        <v>0.79668470906630584</v>
      </c>
      <c r="DP350" s="281"/>
      <c r="DQ350" s="283">
        <f>DQ351/DQ352</f>
        <v>0.81305523368095789</v>
      </c>
      <c r="DR350" s="281"/>
      <c r="DS350" s="283">
        <f>DS351/DS352</f>
        <v>0.96943231441048039</v>
      </c>
      <c r="DT350" s="281"/>
      <c r="DU350" s="301"/>
      <c r="DV350" s="301"/>
      <c r="DW350" s="301"/>
      <c r="DX350" s="301"/>
      <c r="DY350" s="301"/>
      <c r="DZ350" s="301"/>
      <c r="EA350" s="301"/>
      <c r="EB350" s="301"/>
      <c r="EC350" s="301"/>
      <c r="ED350" s="301"/>
      <c r="EE350" s="301"/>
      <c r="EF350" s="301"/>
      <c r="EG350" s="301"/>
      <c r="EH350" s="301"/>
      <c r="EI350" s="301"/>
      <c r="EJ350" s="301"/>
      <c r="EK350" s="301"/>
      <c r="EL350" s="301"/>
      <c r="EM350" s="301"/>
      <c r="EN350" s="283">
        <f>EN351/EN352</f>
        <v>0.797427652733119</v>
      </c>
      <c r="EO350" s="281"/>
      <c r="EP350" s="283">
        <f>EP351/EP352</f>
        <v>0.77576853526220613</v>
      </c>
      <c r="EQ350" s="281"/>
      <c r="ER350" s="283">
        <f>ER351/ER352</f>
        <v>0.75740318906605919</v>
      </c>
      <c r="ES350" s="281"/>
      <c r="ET350" s="283">
        <f>ET351/ET352</f>
        <v>0.62022254475084659</v>
      </c>
      <c r="EU350" s="281"/>
      <c r="EV350" s="283">
        <f>EV351/EV352</f>
        <v>0.70261437908496727</v>
      </c>
      <c r="EW350" s="281"/>
      <c r="EX350" s="283">
        <f>EX351/EX352</f>
        <v>0.71251193887297037</v>
      </c>
      <c r="EY350" s="281"/>
      <c r="EZ350" s="283">
        <f>EZ351/EZ352</f>
        <v>0.68253968253968256</v>
      </c>
      <c r="FA350" s="281"/>
      <c r="FB350" s="283">
        <f>FB351/FB352</f>
        <v>0.7421875</v>
      </c>
      <c r="FC350" s="281"/>
      <c r="FD350" s="283">
        <f>FD351/FD352</f>
        <v>0.69318181818181823</v>
      </c>
      <c r="FE350" s="281"/>
      <c r="FF350" s="283">
        <f>FF351/FF352</f>
        <v>0.52631578947368418</v>
      </c>
      <c r="FG350" s="281"/>
      <c r="FH350" s="283">
        <f>FH351/FH352</f>
        <v>0.35326086956521741</v>
      </c>
      <c r="FI350" s="281"/>
      <c r="FJ350" s="283">
        <f>FJ351/FJ352</f>
        <v>0.6145038167938931</v>
      </c>
      <c r="FK350" s="281"/>
      <c r="FL350" s="283">
        <f>FL351/FL352</f>
        <v>0.68980797636632196</v>
      </c>
      <c r="FM350" s="281"/>
      <c r="FN350" s="327">
        <f>FN351/FN352</f>
        <v>0.74901960784313726</v>
      </c>
      <c r="FO350" s="329"/>
      <c r="FP350" s="327">
        <f>FP351/FP352</f>
        <v>0.70921985815602839</v>
      </c>
      <c r="FQ350" s="329"/>
      <c r="FR350" s="301"/>
      <c r="FS350" s="301"/>
      <c r="FT350" s="301"/>
      <c r="FU350" s="301"/>
      <c r="FV350" s="301"/>
      <c r="FW350" s="301"/>
      <c r="FX350" s="301"/>
      <c r="FY350" s="301"/>
      <c r="FZ350" s="301"/>
      <c r="GA350" s="301"/>
      <c r="GB350" s="301"/>
      <c r="GC350" s="301"/>
      <c r="GD350" s="301"/>
      <c r="GE350" s="301"/>
      <c r="GF350" s="289"/>
      <c r="GG350" s="289"/>
    </row>
    <row r="351" spans="1:189" ht="12.75" customHeight="1" outlineLevel="3" x14ac:dyDescent="0.3">
      <c r="A351" s="1"/>
      <c r="B351" s="301"/>
      <c r="C351" s="301"/>
      <c r="D351" s="301"/>
      <c r="E351" s="301"/>
      <c r="F351" s="301"/>
      <c r="G351" s="5" t="s">
        <v>255</v>
      </c>
      <c r="H351" s="5"/>
      <c r="I351" s="284">
        <f t="shared" ref="I351:I352" si="725">SUM(K351:AH351)</f>
        <v>6778</v>
      </c>
      <c r="J351" s="281"/>
      <c r="K351" s="428"/>
      <c r="L351" s="281"/>
      <c r="M351" s="428"/>
      <c r="N351" s="281"/>
      <c r="O351" s="428"/>
      <c r="P351" s="281"/>
      <c r="Q351" s="428"/>
      <c r="R351" s="281"/>
      <c r="S351" s="428"/>
      <c r="T351" s="281"/>
      <c r="U351" s="428"/>
      <c r="V351" s="281"/>
      <c r="W351" s="284">
        <v>1005</v>
      </c>
      <c r="X351" s="281"/>
      <c r="Y351" s="284">
        <v>1113</v>
      </c>
      <c r="Z351" s="281"/>
      <c r="AA351" s="284">
        <v>1317</v>
      </c>
      <c r="AB351" s="281"/>
      <c r="AC351" s="284">
        <v>1502</v>
      </c>
      <c r="AD351" s="281"/>
      <c r="AE351" s="284">
        <v>1012</v>
      </c>
      <c r="AF351" s="281"/>
      <c r="AG351" s="284">
        <v>829</v>
      </c>
      <c r="AH351" s="281"/>
      <c r="AI351" s="86">
        <v>807</v>
      </c>
      <c r="AJ351" s="86">
        <f>AI351*AI350</f>
        <v>750.286866359447</v>
      </c>
      <c r="AK351" s="86">
        <v>432</v>
      </c>
      <c r="AL351" s="86">
        <f>AK351*AK350</f>
        <v>392.06722689075627</v>
      </c>
      <c r="AM351" s="86">
        <v>605</v>
      </c>
      <c r="AN351" s="86">
        <f>AM351*AM350</f>
        <v>563.11538461538464</v>
      </c>
      <c r="AO351" s="86">
        <v>140</v>
      </c>
      <c r="AP351" s="86">
        <f>AO351*AO350</f>
        <v>113.29479768786128</v>
      </c>
      <c r="AQ351" s="86">
        <v>68</v>
      </c>
      <c r="AR351" s="86">
        <f>AQ351*AQ350</f>
        <v>66.05714285714285</v>
      </c>
      <c r="AS351" s="87"/>
      <c r="AT351" s="87"/>
      <c r="AU351" s="87"/>
      <c r="AV351" s="87"/>
      <c r="AW351" s="86">
        <v>52</v>
      </c>
      <c r="AX351" s="86">
        <f>AW351*AW350</f>
        <v>49.163636363636364</v>
      </c>
      <c r="AY351" s="86">
        <v>152</v>
      </c>
      <c r="AZ351" s="86">
        <f>AY351*AY350</f>
        <v>133.54913294797689</v>
      </c>
      <c r="BA351" s="86">
        <v>97</v>
      </c>
      <c r="BB351" s="86">
        <f>BA351*BA350</f>
        <v>88.764150943396231</v>
      </c>
      <c r="BC351" s="86">
        <v>29</v>
      </c>
      <c r="BD351" s="86">
        <f>BC351*BC350</f>
        <v>24.735294117647058</v>
      </c>
      <c r="BE351" s="86">
        <v>720</v>
      </c>
      <c r="BF351" s="86">
        <f>BE351*BE350</f>
        <v>641.58415841584156</v>
      </c>
      <c r="BG351" s="86"/>
      <c r="BH351" s="86" t="e">
        <f>BG351*BG350</f>
        <v>#DIV/0!</v>
      </c>
      <c r="BI351" s="86"/>
      <c r="BJ351" s="86" t="e">
        <f>BI351*BI350</f>
        <v>#DIV/0!</v>
      </c>
      <c r="BK351" s="86"/>
      <c r="BL351" s="86" t="e">
        <f>BK351*BK350</f>
        <v>#DIV/0!</v>
      </c>
      <c r="BM351" s="86"/>
      <c r="BN351" s="86" t="e">
        <f>BM351*BM350</f>
        <v>#DIV/0!</v>
      </c>
      <c r="BO351" s="86"/>
      <c r="BP351" s="86" t="e">
        <f>BO351*BO350</f>
        <v>#DIV/0!</v>
      </c>
      <c r="BQ351" s="86"/>
      <c r="BR351" s="86" t="e">
        <f>BQ351*BQ350</f>
        <v>#DIV/0!</v>
      </c>
      <c r="BS351" s="86"/>
      <c r="BT351" s="86" t="e">
        <f>BS351*BS350</f>
        <v>#DIV/0!</v>
      </c>
      <c r="BU351" s="86"/>
      <c r="BV351" s="86" t="e">
        <f>BU351*BU350</f>
        <v>#DIV/0!</v>
      </c>
      <c r="BW351" s="86">
        <v>2200</v>
      </c>
      <c r="BX351" s="86">
        <f>BW351*BW350</f>
        <v>1184.5325501713169</v>
      </c>
      <c r="BY351" s="86">
        <v>2484</v>
      </c>
      <c r="BZ351" s="86">
        <f>BY351*BY350</f>
        <v>1334.1094054054054</v>
      </c>
      <c r="CA351" s="86">
        <v>3024</v>
      </c>
      <c r="CB351" s="157">
        <f>CA351*CA350</f>
        <v>1718.5822213869574</v>
      </c>
      <c r="CC351" s="86">
        <v>3474</v>
      </c>
      <c r="CD351" s="157">
        <f>CC351*CC350</f>
        <v>1864.7521631644006</v>
      </c>
      <c r="CE351" s="86">
        <v>3845</v>
      </c>
      <c r="CF351" s="157">
        <f>CE351*CE350</f>
        <v>1973.8351134846464</v>
      </c>
      <c r="CG351" s="86">
        <v>4363</v>
      </c>
      <c r="CH351" s="157">
        <f>CG351*CG350</f>
        <v>2363.5173826669975</v>
      </c>
      <c r="CI351" s="86">
        <v>4661</v>
      </c>
      <c r="CJ351" s="157">
        <f>CI351*CI350</f>
        <v>2732.6944654088047</v>
      </c>
      <c r="CK351" s="86">
        <v>1880</v>
      </c>
      <c r="CL351" s="157">
        <f>CK351*CK350</f>
        <v>1074.2857142857142</v>
      </c>
      <c r="CM351" s="86">
        <v>4161</v>
      </c>
      <c r="CN351" s="157">
        <f>CM351*CM350</f>
        <v>2958.1276268580218</v>
      </c>
      <c r="CO351" s="86">
        <v>3055</v>
      </c>
      <c r="CP351" s="157">
        <f>CO351*CO350</f>
        <v>2346.1601307189544</v>
      </c>
      <c r="CQ351" s="86">
        <v>222</v>
      </c>
      <c r="CR351" s="157">
        <f>CQ351*CQ350</f>
        <v>170.53287197231833</v>
      </c>
      <c r="CS351" s="86">
        <v>2705</v>
      </c>
      <c r="CT351" s="157">
        <f>CS351*CS350</f>
        <v>2075.1630743051619</v>
      </c>
      <c r="CU351" s="86">
        <v>2838</v>
      </c>
      <c r="CV351" s="157">
        <f>CU351*CU350</f>
        <v>2214.5295573274675</v>
      </c>
      <c r="CW351" s="86">
        <v>2346</v>
      </c>
      <c r="CX351" s="157">
        <f>CW351*CW350</f>
        <v>1848.1249160510411</v>
      </c>
      <c r="CY351" s="86">
        <v>2336</v>
      </c>
      <c r="CZ351" s="157">
        <f>CY351*CY350</f>
        <v>1876.5116918844567</v>
      </c>
      <c r="DA351" s="86">
        <v>1883</v>
      </c>
      <c r="DB351" s="157">
        <f>DA351*DA350</f>
        <v>1463.3466776723069</v>
      </c>
      <c r="DC351" s="86">
        <v>1303</v>
      </c>
      <c r="DD351" s="157">
        <f>DC351*DC350</f>
        <v>1032.10273556231</v>
      </c>
      <c r="DE351" s="86">
        <v>1514</v>
      </c>
      <c r="DF351" s="157">
        <f>DE351*DE350</f>
        <v>1183.374290139391</v>
      </c>
      <c r="DG351" s="86">
        <v>1858</v>
      </c>
      <c r="DH351" s="157">
        <f>DG351*DG350</f>
        <v>1418.891903000411</v>
      </c>
      <c r="DI351" s="86">
        <v>1502</v>
      </c>
      <c r="DJ351" s="157">
        <f>DI351*DI350</f>
        <v>1163.4883960804539</v>
      </c>
      <c r="DK351" s="86">
        <v>2478</v>
      </c>
      <c r="DL351" s="157">
        <f>DK351*DK350</f>
        <v>1968.103846153846</v>
      </c>
      <c r="DM351" s="86">
        <v>2053</v>
      </c>
      <c r="DN351" s="157">
        <f>DM351*DM350</f>
        <v>1557.5790835181078</v>
      </c>
      <c r="DO351" s="86">
        <v>2355</v>
      </c>
      <c r="DP351" s="157">
        <f>DO351*DO350</f>
        <v>1876.1924898511502</v>
      </c>
      <c r="DQ351" s="86">
        <v>2105</v>
      </c>
      <c r="DR351" s="195">
        <f>DQ351*DQ350</f>
        <v>1711.4812668984164</v>
      </c>
      <c r="DS351" s="86">
        <v>1776</v>
      </c>
      <c r="DT351" s="195">
        <f>DS351*DS350</f>
        <v>1721.7117903930132</v>
      </c>
      <c r="DU351" s="301"/>
      <c r="DV351" s="301"/>
      <c r="DW351" s="301"/>
      <c r="DX351" s="301"/>
      <c r="DY351" s="301"/>
      <c r="DZ351" s="301"/>
      <c r="EA351" s="301"/>
      <c r="EB351" s="301"/>
      <c r="EC351" s="301"/>
      <c r="ED351" s="301"/>
      <c r="EE351" s="301"/>
      <c r="EF351" s="301"/>
      <c r="EG351" s="301"/>
      <c r="EH351" s="301"/>
      <c r="EI351" s="301"/>
      <c r="EJ351" s="301"/>
      <c r="EK351" s="301"/>
      <c r="EL351" s="301"/>
      <c r="EM351" s="301"/>
      <c r="EN351" s="86">
        <v>1240</v>
      </c>
      <c r="EO351" s="195">
        <f>EN351*EN350</f>
        <v>988.81028938906752</v>
      </c>
      <c r="EP351" s="86">
        <v>1287</v>
      </c>
      <c r="EQ351" s="195">
        <f>EP351*EP350</f>
        <v>998.41410488245924</v>
      </c>
      <c r="ER351" s="86">
        <v>1330</v>
      </c>
      <c r="ES351" s="195">
        <f>ER351*ER350</f>
        <v>1007.3462414578587</v>
      </c>
      <c r="ET351" s="86">
        <v>1282</v>
      </c>
      <c r="EU351" s="195">
        <f>ET351*ET350</f>
        <v>795.12530237058536</v>
      </c>
      <c r="EV351" s="86">
        <v>215</v>
      </c>
      <c r="EW351" s="195">
        <f>EV351*EV350</f>
        <v>151.06209150326796</v>
      </c>
      <c r="EX351" s="86">
        <v>746</v>
      </c>
      <c r="EY351" s="195">
        <f>EX351*EX350</f>
        <v>531.53390639923589</v>
      </c>
      <c r="EZ351" s="86">
        <v>129</v>
      </c>
      <c r="FA351" s="195">
        <f>EZ351*EZ350</f>
        <v>88.047619047619051</v>
      </c>
      <c r="FB351" s="86">
        <v>95</v>
      </c>
      <c r="FC351" s="195">
        <f>FB351*FB350</f>
        <v>70.5078125</v>
      </c>
      <c r="FD351" s="86">
        <v>61</v>
      </c>
      <c r="FE351" s="195">
        <f>FD351*FD350</f>
        <v>42.284090909090914</v>
      </c>
      <c r="FF351" s="86">
        <v>30</v>
      </c>
      <c r="FG351" s="195">
        <f>FF351*FF350</f>
        <v>15.789473684210526</v>
      </c>
      <c r="FH351" s="86">
        <v>65</v>
      </c>
      <c r="FI351" s="195">
        <f>FH351*FH350</f>
        <v>22.961956521739133</v>
      </c>
      <c r="FJ351" s="86">
        <v>322</v>
      </c>
      <c r="FK351" s="195">
        <f>FJ351*FJ350</f>
        <v>197.87022900763358</v>
      </c>
      <c r="FL351" s="86">
        <v>467</v>
      </c>
      <c r="FM351" s="195">
        <f>FL351*FL350</f>
        <v>322.14032496307237</v>
      </c>
      <c r="FN351" s="86">
        <v>191</v>
      </c>
      <c r="FO351" s="195">
        <f>FN351*FN350</f>
        <v>143.06274509803922</v>
      </c>
      <c r="FP351" s="86">
        <v>300</v>
      </c>
      <c r="FQ351" s="195">
        <f>FP351*FP350</f>
        <v>212.76595744680853</v>
      </c>
      <c r="FR351" s="301"/>
      <c r="FS351" s="301"/>
      <c r="FT351" s="301"/>
      <c r="FU351" s="301"/>
      <c r="FV351" s="301"/>
      <c r="FW351" s="301"/>
      <c r="FX351" s="301"/>
      <c r="FY351" s="301"/>
      <c r="FZ351" s="301"/>
      <c r="GA351" s="301"/>
      <c r="GB351" s="301"/>
      <c r="GC351" s="301"/>
      <c r="GD351" s="301"/>
      <c r="GE351" s="301"/>
      <c r="GF351" s="289"/>
      <c r="GG351" s="289"/>
    </row>
    <row r="352" spans="1:189" ht="12.75" customHeight="1" outlineLevel="3" x14ac:dyDescent="0.3">
      <c r="A352" s="1"/>
      <c r="B352" s="301"/>
      <c r="C352" s="301"/>
      <c r="D352" s="301"/>
      <c r="E352" s="301"/>
      <c r="F352" s="301"/>
      <c r="G352" s="5" t="s">
        <v>258</v>
      </c>
      <c r="H352" s="5"/>
      <c r="I352" s="284">
        <f t="shared" si="725"/>
        <v>7579</v>
      </c>
      <c r="J352" s="281"/>
      <c r="K352" s="428"/>
      <c r="L352" s="281"/>
      <c r="M352" s="428"/>
      <c r="N352" s="281"/>
      <c r="O352" s="428"/>
      <c r="P352" s="281"/>
      <c r="Q352" s="428"/>
      <c r="R352" s="281"/>
      <c r="S352" s="428"/>
      <c r="T352" s="281"/>
      <c r="U352" s="428"/>
      <c r="V352" s="281"/>
      <c r="W352" s="284">
        <v>1167</v>
      </c>
      <c r="X352" s="281"/>
      <c r="Y352" s="284">
        <v>1219</v>
      </c>
      <c r="Z352" s="281"/>
      <c r="AA352" s="284">
        <v>1469</v>
      </c>
      <c r="AB352" s="281"/>
      <c r="AC352" s="284">
        <v>1700</v>
      </c>
      <c r="AD352" s="281"/>
      <c r="AE352" s="284">
        <v>1083</v>
      </c>
      <c r="AF352" s="281"/>
      <c r="AG352" s="284">
        <v>941</v>
      </c>
      <c r="AH352" s="281"/>
      <c r="AI352" s="284">
        <v>868</v>
      </c>
      <c r="AJ352" s="281"/>
      <c r="AK352" s="284">
        <v>476</v>
      </c>
      <c r="AL352" s="281"/>
      <c r="AM352" s="284">
        <v>650</v>
      </c>
      <c r="AN352" s="281"/>
      <c r="AO352" s="284">
        <v>173</v>
      </c>
      <c r="AP352" s="281"/>
      <c r="AQ352" s="284">
        <v>70</v>
      </c>
      <c r="AR352" s="281"/>
      <c r="AS352" s="428"/>
      <c r="AT352" s="281"/>
      <c r="AU352" s="428"/>
      <c r="AV352" s="281"/>
      <c r="AW352" s="284">
        <v>55</v>
      </c>
      <c r="AX352" s="281"/>
      <c r="AY352" s="284">
        <v>173</v>
      </c>
      <c r="AZ352" s="281"/>
      <c r="BA352" s="284">
        <v>106</v>
      </c>
      <c r="BB352" s="281"/>
      <c r="BC352" s="284">
        <v>34</v>
      </c>
      <c r="BD352" s="281"/>
      <c r="BE352" s="284">
        <v>808</v>
      </c>
      <c r="BF352" s="281"/>
      <c r="BG352" s="284"/>
      <c r="BH352" s="281"/>
      <c r="BI352" s="284"/>
      <c r="BJ352" s="281"/>
      <c r="BK352" s="284"/>
      <c r="BL352" s="281"/>
      <c r="BM352" s="284"/>
      <c r="BN352" s="281"/>
      <c r="BO352" s="284"/>
      <c r="BP352" s="281"/>
      <c r="BQ352" s="284"/>
      <c r="BR352" s="281"/>
      <c r="BS352" s="284"/>
      <c r="BT352" s="281"/>
      <c r="BU352" s="284"/>
      <c r="BV352" s="281"/>
      <c r="BW352" s="284">
        <v>4086</v>
      </c>
      <c r="BX352" s="281"/>
      <c r="BY352" s="284">
        <v>4625</v>
      </c>
      <c r="BZ352" s="281"/>
      <c r="CA352" s="284">
        <v>5321</v>
      </c>
      <c r="CB352" s="281"/>
      <c r="CC352" s="284">
        <v>6472</v>
      </c>
      <c r="CD352" s="281"/>
      <c r="CE352" s="284">
        <v>7490</v>
      </c>
      <c r="CF352" s="281"/>
      <c r="CG352" s="284">
        <v>8054</v>
      </c>
      <c r="CH352" s="281"/>
      <c r="CI352" s="284">
        <v>7950</v>
      </c>
      <c r="CJ352" s="281"/>
      <c r="CK352" s="284">
        <v>3290</v>
      </c>
      <c r="CL352" s="281"/>
      <c r="CM352" s="284">
        <v>5853</v>
      </c>
      <c r="CN352" s="281"/>
      <c r="CO352" s="284">
        <v>3978</v>
      </c>
      <c r="CP352" s="281"/>
      <c r="CQ352" s="284">
        <v>289</v>
      </c>
      <c r="CR352" s="281"/>
      <c r="CS352" s="284">
        <v>3526</v>
      </c>
      <c r="CT352" s="281"/>
      <c r="CU352" s="284">
        <v>3637</v>
      </c>
      <c r="CV352" s="281"/>
      <c r="CW352" s="284">
        <v>2978</v>
      </c>
      <c r="CX352" s="281"/>
      <c r="CY352" s="284">
        <v>2908</v>
      </c>
      <c r="CZ352" s="281"/>
      <c r="DA352" s="284">
        <v>2423</v>
      </c>
      <c r="DB352" s="281"/>
      <c r="DC352" s="284">
        <v>1645</v>
      </c>
      <c r="DD352" s="281"/>
      <c r="DE352" s="284">
        <v>1937</v>
      </c>
      <c r="DF352" s="281"/>
      <c r="DG352" s="284">
        <v>2433</v>
      </c>
      <c r="DH352" s="281"/>
      <c r="DI352" s="284">
        <v>1939</v>
      </c>
      <c r="DJ352" s="281"/>
      <c r="DK352" s="284">
        <v>3120</v>
      </c>
      <c r="DL352" s="281"/>
      <c r="DM352" s="284">
        <v>2706</v>
      </c>
      <c r="DN352" s="281"/>
      <c r="DO352" s="284">
        <v>2956</v>
      </c>
      <c r="DP352" s="281"/>
      <c r="DQ352" s="284">
        <v>2589</v>
      </c>
      <c r="DR352" s="281"/>
      <c r="DS352" s="284">
        <v>1832</v>
      </c>
      <c r="DT352" s="281"/>
      <c r="DU352" s="301"/>
      <c r="DV352" s="301"/>
      <c r="DW352" s="301"/>
      <c r="DX352" s="301"/>
      <c r="DY352" s="301"/>
      <c r="DZ352" s="301"/>
      <c r="EA352" s="301"/>
      <c r="EB352" s="301"/>
      <c r="EC352" s="301"/>
      <c r="ED352" s="301"/>
      <c r="EE352" s="301"/>
      <c r="EF352" s="301"/>
      <c r="EG352" s="301"/>
      <c r="EH352" s="301"/>
      <c r="EI352" s="301"/>
      <c r="EJ352" s="301"/>
      <c r="EK352" s="301"/>
      <c r="EL352" s="301"/>
      <c r="EM352" s="301"/>
      <c r="EN352" s="284">
        <v>1555</v>
      </c>
      <c r="EO352" s="281"/>
      <c r="EP352" s="284">
        <v>1659</v>
      </c>
      <c r="EQ352" s="281"/>
      <c r="ER352" s="284">
        <v>1756</v>
      </c>
      <c r="ES352" s="281"/>
      <c r="ET352" s="284">
        <v>2067</v>
      </c>
      <c r="EU352" s="281"/>
      <c r="EV352" s="284">
        <v>306</v>
      </c>
      <c r="EW352" s="281"/>
      <c r="EX352" s="284">
        <v>1047</v>
      </c>
      <c r="EY352" s="281"/>
      <c r="EZ352" s="284">
        <v>189</v>
      </c>
      <c r="FA352" s="281"/>
      <c r="FB352" s="284">
        <v>128</v>
      </c>
      <c r="FC352" s="281"/>
      <c r="FD352" s="284">
        <v>88</v>
      </c>
      <c r="FE352" s="281"/>
      <c r="FF352" s="284">
        <v>57</v>
      </c>
      <c r="FG352" s="281"/>
      <c r="FH352" s="284">
        <v>184</v>
      </c>
      <c r="FI352" s="281"/>
      <c r="FJ352" s="284">
        <v>524</v>
      </c>
      <c r="FK352" s="281"/>
      <c r="FL352" s="284">
        <v>677</v>
      </c>
      <c r="FM352" s="281"/>
      <c r="FN352" s="284">
        <v>255</v>
      </c>
      <c r="FO352" s="281"/>
      <c r="FP352" s="284">
        <v>423</v>
      </c>
      <c r="FQ352" s="281"/>
      <c r="FR352" s="301"/>
      <c r="FS352" s="301"/>
      <c r="FT352" s="301"/>
      <c r="FU352" s="301"/>
      <c r="FV352" s="301"/>
      <c r="FW352" s="301"/>
      <c r="FX352" s="301"/>
      <c r="FY352" s="301"/>
      <c r="FZ352" s="301"/>
      <c r="GA352" s="301"/>
      <c r="GB352" s="301"/>
      <c r="GC352" s="301"/>
      <c r="GD352" s="301"/>
      <c r="GE352" s="301"/>
      <c r="GF352" s="289"/>
      <c r="GG352" s="289"/>
    </row>
    <row r="353" spans="1:189" ht="36" customHeight="1" outlineLevel="3" x14ac:dyDescent="0.3">
      <c r="A353" s="1"/>
      <c r="B353" s="302"/>
      <c r="C353" s="302"/>
      <c r="D353" s="302"/>
      <c r="E353" s="302"/>
      <c r="F353" s="302"/>
      <c r="G353" s="5" t="s">
        <v>122</v>
      </c>
      <c r="H353" s="5"/>
      <c r="I353" s="284">
        <f>I159</f>
        <v>3</v>
      </c>
      <c r="J353" s="281"/>
      <c r="K353" s="428"/>
      <c r="L353" s="281"/>
      <c r="M353" s="428"/>
      <c r="N353" s="281"/>
      <c r="O353" s="428"/>
      <c r="P353" s="281"/>
      <c r="Q353" s="428"/>
      <c r="R353" s="281"/>
      <c r="S353" s="428"/>
      <c r="T353" s="281"/>
      <c r="U353" s="428"/>
      <c r="V353" s="281"/>
      <c r="W353" s="284">
        <v>7355</v>
      </c>
      <c r="X353" s="281"/>
      <c r="Y353" s="284">
        <v>7606</v>
      </c>
      <c r="Z353" s="281"/>
      <c r="AA353" s="284">
        <f>AA159</f>
        <v>3</v>
      </c>
      <c r="AB353" s="281"/>
      <c r="AC353" s="284">
        <f>AC159</f>
        <v>3</v>
      </c>
      <c r="AD353" s="281"/>
      <c r="AE353" s="284">
        <f>AE159</f>
        <v>3</v>
      </c>
      <c r="AF353" s="281"/>
      <c r="AG353" s="284">
        <f>AG159</f>
        <v>3</v>
      </c>
      <c r="AH353" s="281"/>
      <c r="AI353" s="284">
        <f>AI159</f>
        <v>3</v>
      </c>
      <c r="AJ353" s="281"/>
      <c r="AK353" s="284">
        <f>AK159</f>
        <v>3</v>
      </c>
      <c r="AL353" s="281"/>
      <c r="AM353" s="284">
        <f>AM159</f>
        <v>3</v>
      </c>
      <c r="AN353" s="281"/>
      <c r="AO353" s="284">
        <f>AO159</f>
        <v>3</v>
      </c>
      <c r="AP353" s="281"/>
      <c r="AQ353" s="284">
        <f>AQ159</f>
        <v>3</v>
      </c>
      <c r="AR353" s="281"/>
      <c r="AS353" s="428">
        <f>AS159</f>
        <v>3</v>
      </c>
      <c r="AT353" s="281"/>
      <c r="AU353" s="428">
        <f>AU159</f>
        <v>3</v>
      </c>
      <c r="AV353" s="281"/>
      <c r="AW353" s="284">
        <f>AW159</f>
        <v>3</v>
      </c>
      <c r="AX353" s="281"/>
      <c r="AY353" s="284">
        <f>AY159</f>
        <v>3</v>
      </c>
      <c r="AZ353" s="281"/>
      <c r="BA353" s="284">
        <f>BA159</f>
        <v>3</v>
      </c>
      <c r="BB353" s="281"/>
      <c r="BC353" s="284">
        <f>BC159</f>
        <v>3</v>
      </c>
      <c r="BD353" s="281"/>
      <c r="BE353" s="284">
        <f>BE159</f>
        <v>3</v>
      </c>
      <c r="BF353" s="281"/>
      <c r="BG353" s="284"/>
      <c r="BH353" s="281"/>
      <c r="BI353" s="284"/>
      <c r="BJ353" s="281"/>
      <c r="BK353" s="284"/>
      <c r="BL353" s="281"/>
      <c r="BM353" s="284"/>
      <c r="BN353" s="281"/>
      <c r="BO353" s="284"/>
      <c r="BP353" s="281"/>
      <c r="BQ353" s="284"/>
      <c r="BR353" s="281"/>
      <c r="BS353" s="284"/>
      <c r="BT353" s="281"/>
      <c r="BU353" s="284"/>
      <c r="BV353" s="281"/>
      <c r="BW353" s="284">
        <f>BW157</f>
        <v>5900</v>
      </c>
      <c r="BX353" s="281"/>
      <c r="BY353" s="284">
        <f>BY157</f>
        <v>6439</v>
      </c>
      <c r="BZ353" s="281"/>
      <c r="CA353" s="284">
        <f>CA157</f>
        <v>7066</v>
      </c>
      <c r="CB353" s="281"/>
      <c r="CC353" s="284">
        <f>CC157</f>
        <v>8262</v>
      </c>
      <c r="CD353" s="281"/>
      <c r="CE353" s="284">
        <f>CE157</f>
        <v>8404</v>
      </c>
      <c r="CF353" s="281"/>
      <c r="CG353" s="284">
        <f>CG157</f>
        <v>9414</v>
      </c>
      <c r="CH353" s="281"/>
      <c r="CI353" s="284">
        <f>CI157</f>
        <v>10697</v>
      </c>
      <c r="CJ353" s="281"/>
      <c r="CK353" s="284">
        <f>CK157</f>
        <v>8298</v>
      </c>
      <c r="CL353" s="281"/>
      <c r="CM353" s="284">
        <f>CM157</f>
        <v>5157</v>
      </c>
      <c r="CN353" s="281"/>
      <c r="CO353" s="284">
        <f>CO157</f>
        <v>6934</v>
      </c>
      <c r="CP353" s="281"/>
      <c r="CQ353" s="284">
        <f>CQ157</f>
        <v>7168</v>
      </c>
      <c r="CR353" s="281"/>
      <c r="CS353" s="284">
        <f>CS157</f>
        <v>6536</v>
      </c>
      <c r="CT353" s="281"/>
      <c r="CU353" s="284">
        <f>CU157</f>
        <v>6556</v>
      </c>
      <c r="CV353" s="281"/>
      <c r="CW353" s="284">
        <f>CW157</f>
        <v>6596</v>
      </c>
      <c r="CX353" s="281"/>
      <c r="CY353" s="284">
        <f>CY157</f>
        <v>4989</v>
      </c>
      <c r="CZ353" s="281"/>
      <c r="DA353" s="284">
        <f>DA157</f>
        <v>4230</v>
      </c>
      <c r="DB353" s="281"/>
      <c r="DC353" s="284">
        <f>DC157</f>
        <v>2673</v>
      </c>
      <c r="DD353" s="281"/>
      <c r="DE353" s="284">
        <f>DE157</f>
        <v>3140</v>
      </c>
      <c r="DF353" s="281"/>
      <c r="DG353" s="284">
        <f>DG157</f>
        <v>4120</v>
      </c>
      <c r="DH353" s="281"/>
      <c r="DI353" s="284">
        <f>DI157</f>
        <v>3105</v>
      </c>
      <c r="DJ353" s="281"/>
      <c r="DK353" s="284">
        <f>DK157</f>
        <v>3973</v>
      </c>
      <c r="DL353" s="281"/>
      <c r="DM353" s="284">
        <f>DM157</f>
        <v>3310</v>
      </c>
      <c r="DN353" s="281"/>
      <c r="DO353" s="284">
        <f>DO157</f>
        <v>3548</v>
      </c>
      <c r="DP353" s="281"/>
      <c r="DQ353" s="284">
        <f>DQ157</f>
        <v>4204</v>
      </c>
      <c r="DR353" s="281"/>
      <c r="DS353" s="284">
        <f>DS157</f>
        <v>2953</v>
      </c>
      <c r="DT353" s="281"/>
      <c r="DU353" s="302"/>
      <c r="DV353" s="302"/>
      <c r="DW353" s="302"/>
      <c r="DX353" s="302"/>
      <c r="DY353" s="302"/>
      <c r="DZ353" s="302"/>
      <c r="EA353" s="302"/>
      <c r="EB353" s="302"/>
      <c r="EC353" s="302"/>
      <c r="ED353" s="302"/>
      <c r="EE353" s="302"/>
      <c r="EF353" s="302"/>
      <c r="EG353" s="302"/>
      <c r="EH353" s="302"/>
      <c r="EI353" s="302"/>
      <c r="EJ353" s="302"/>
      <c r="EK353" s="302"/>
      <c r="EL353" s="302"/>
      <c r="EM353" s="302"/>
      <c r="EN353" s="284">
        <f>EN157</f>
        <v>2559</v>
      </c>
      <c r="EO353" s="281"/>
      <c r="EP353" s="284">
        <f>EP157</f>
        <v>2707</v>
      </c>
      <c r="EQ353" s="281"/>
      <c r="ER353" s="284">
        <f>ER157</f>
        <v>2822</v>
      </c>
      <c r="ES353" s="281"/>
      <c r="ET353" s="284">
        <f>ET157</f>
        <v>3540</v>
      </c>
      <c r="EU353" s="281"/>
      <c r="EV353" s="284">
        <f>EV157</f>
        <v>510</v>
      </c>
      <c r="EW353" s="281"/>
      <c r="EX353" s="284">
        <f>EX157</f>
        <v>2064</v>
      </c>
      <c r="EY353" s="281"/>
      <c r="EZ353" s="284">
        <f>EZ157</f>
        <v>1728</v>
      </c>
      <c r="FA353" s="281"/>
      <c r="FB353" s="284">
        <f>FB157</f>
        <v>2760</v>
      </c>
      <c r="FC353" s="281"/>
      <c r="FD353" s="284">
        <f>FD157</f>
        <v>1984</v>
      </c>
      <c r="FE353" s="281"/>
      <c r="FF353" s="284">
        <f>FF157</f>
        <v>1805</v>
      </c>
      <c r="FG353" s="281"/>
      <c r="FH353" s="284">
        <f>FH157</f>
        <v>1488</v>
      </c>
      <c r="FI353" s="281"/>
      <c r="FJ353" s="284">
        <f>FJ157</f>
        <v>2282</v>
      </c>
      <c r="FK353" s="281"/>
      <c r="FL353" s="284">
        <f>FL157</f>
        <v>2540</v>
      </c>
      <c r="FM353" s="281"/>
      <c r="FN353" s="284">
        <v>1898</v>
      </c>
      <c r="FO353" s="281"/>
      <c r="FP353" s="284">
        <v>1323</v>
      </c>
      <c r="FQ353" s="281"/>
      <c r="FR353" s="302"/>
      <c r="FS353" s="302"/>
      <c r="FT353" s="302"/>
      <c r="FU353" s="302"/>
      <c r="FV353" s="302"/>
      <c r="FW353" s="302"/>
      <c r="FX353" s="302"/>
      <c r="FY353" s="302"/>
      <c r="FZ353" s="302"/>
      <c r="GA353" s="302"/>
      <c r="GB353" s="302"/>
      <c r="GC353" s="302"/>
      <c r="GD353" s="302"/>
      <c r="GE353" s="302"/>
      <c r="GF353" s="290"/>
      <c r="GG353" s="290"/>
    </row>
    <row r="354" spans="1:189" ht="8.25" customHeight="1" outlineLevel="2" x14ac:dyDescent="0.3">
      <c r="A354" s="1"/>
      <c r="B354" s="18"/>
      <c r="C354" s="18"/>
      <c r="D354" s="18"/>
      <c r="E354" s="18"/>
      <c r="F354" s="18"/>
      <c r="G354" s="3"/>
      <c r="H354" s="3"/>
      <c r="I354" s="19"/>
      <c r="J354" s="20"/>
      <c r="K354" s="19"/>
      <c r="L354" s="20"/>
      <c r="M354" s="19"/>
      <c r="N354" s="20"/>
      <c r="O354" s="19"/>
      <c r="P354" s="20"/>
      <c r="Q354" s="19"/>
      <c r="R354" s="20"/>
      <c r="S354" s="19"/>
      <c r="T354" s="20"/>
      <c r="U354" s="19"/>
      <c r="V354" s="20"/>
      <c r="W354" s="19"/>
      <c r="X354" s="20"/>
      <c r="Y354" s="19"/>
      <c r="Z354" s="20"/>
      <c r="AA354" s="19"/>
      <c r="AB354" s="20"/>
      <c r="AC354" s="19"/>
      <c r="AD354" s="20"/>
      <c r="AE354" s="19"/>
      <c r="AF354" s="20"/>
      <c r="AG354" s="19"/>
      <c r="AH354" s="20"/>
      <c r="AI354" s="19"/>
      <c r="AJ354" s="20"/>
      <c r="AK354" s="19"/>
      <c r="AL354" s="20"/>
      <c r="AM354" s="19"/>
      <c r="AN354" s="20"/>
      <c r="AO354" s="19"/>
      <c r="AP354" s="20"/>
      <c r="AQ354" s="19"/>
      <c r="AR354" s="20"/>
      <c r="AS354" s="19"/>
      <c r="AT354" s="20"/>
      <c r="AU354" s="19"/>
      <c r="AV354" s="20"/>
      <c r="AW354" s="19"/>
      <c r="AX354" s="20"/>
      <c r="AY354" s="19"/>
      <c r="AZ354" s="20"/>
      <c r="BA354" s="19"/>
      <c r="BB354" s="20"/>
      <c r="BC354" s="19"/>
      <c r="BD354" s="20"/>
      <c r="BE354" s="19"/>
      <c r="BF354" s="20"/>
      <c r="BG354" s="19"/>
      <c r="BH354" s="20"/>
      <c r="BI354" s="19"/>
      <c r="BJ354" s="20"/>
      <c r="BK354" s="19"/>
      <c r="BL354" s="20"/>
      <c r="BM354" s="19"/>
      <c r="BN354" s="20"/>
      <c r="BO354" s="19"/>
      <c r="BP354" s="20"/>
      <c r="BQ354" s="19"/>
      <c r="BR354" s="20"/>
      <c r="BS354" s="19"/>
      <c r="BT354" s="20"/>
      <c r="BU354" s="19"/>
      <c r="BV354" s="20"/>
      <c r="BW354" s="19"/>
      <c r="BX354" s="20"/>
      <c r="BY354" s="19"/>
      <c r="BZ354" s="20"/>
      <c r="CA354" s="19"/>
      <c r="CB354" s="20"/>
      <c r="CC354" s="19"/>
      <c r="CD354" s="20"/>
      <c r="CE354" s="19"/>
      <c r="CF354" s="20"/>
      <c r="CG354" s="19"/>
      <c r="CH354" s="20"/>
      <c r="CI354" s="19"/>
      <c r="CJ354" s="20"/>
      <c r="CK354" s="19"/>
      <c r="CL354" s="20"/>
      <c r="CM354" s="19"/>
      <c r="CN354" s="20"/>
      <c r="CO354" s="19"/>
      <c r="CP354" s="20"/>
      <c r="CQ354" s="19"/>
      <c r="CR354" s="20"/>
      <c r="CS354" s="19"/>
      <c r="CT354" s="20"/>
      <c r="CU354" s="19"/>
      <c r="CV354" s="20"/>
      <c r="CW354" s="19"/>
      <c r="CX354" s="20"/>
      <c r="CY354" s="19"/>
      <c r="CZ354" s="20"/>
      <c r="DA354" s="19"/>
      <c r="DB354" s="20"/>
      <c r="DC354" s="19"/>
      <c r="DD354" s="20"/>
      <c r="DE354" s="19"/>
      <c r="DF354" s="20"/>
      <c r="DG354" s="19"/>
      <c r="DH354" s="20"/>
      <c r="DI354" s="19"/>
      <c r="DJ354" s="20"/>
      <c r="DK354" s="19"/>
      <c r="DL354" s="20"/>
      <c r="DM354" s="19"/>
      <c r="DN354" s="20"/>
      <c r="DO354" s="19"/>
      <c r="DP354" s="20"/>
      <c r="DQ354" s="19"/>
      <c r="DR354" s="20"/>
      <c r="DS354" s="19"/>
      <c r="DT354" s="20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19"/>
      <c r="EO354" s="20"/>
      <c r="EP354" s="19"/>
      <c r="EQ354" s="20"/>
      <c r="ER354" s="19"/>
      <c r="ES354" s="20"/>
      <c r="ET354" s="19"/>
      <c r="EU354" s="20"/>
      <c r="EV354" s="19"/>
      <c r="EW354" s="20"/>
      <c r="EX354" s="19"/>
      <c r="EY354" s="20"/>
      <c r="EZ354" s="19"/>
      <c r="FA354" s="20"/>
      <c r="FB354" s="19"/>
      <c r="FC354" s="20"/>
      <c r="FD354" s="19"/>
      <c r="FE354" s="20"/>
      <c r="FF354" s="19"/>
      <c r="FG354" s="20"/>
      <c r="FH354" s="19"/>
      <c r="FI354" s="20"/>
      <c r="FJ354" s="19"/>
      <c r="FK354" s="20"/>
      <c r="FL354" s="19"/>
      <c r="FM354" s="20"/>
      <c r="FN354" s="19"/>
      <c r="FO354" s="20"/>
      <c r="FP354" s="19"/>
      <c r="FQ354" s="20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</row>
    <row r="355" spans="1:189" ht="15" customHeight="1" outlineLevel="2" x14ac:dyDescent="0.3">
      <c r="A355" s="63"/>
      <c r="B355" s="313" t="s">
        <v>262</v>
      </c>
      <c r="C355" s="313" t="s">
        <v>80</v>
      </c>
      <c r="D355" s="313" t="s">
        <v>96</v>
      </c>
      <c r="E355" s="313" t="s">
        <v>257</v>
      </c>
      <c r="F355" s="313" t="s">
        <v>27</v>
      </c>
      <c r="G355" s="5" t="s">
        <v>28</v>
      </c>
      <c r="H355" s="5"/>
      <c r="I355" s="327">
        <v>0.75</v>
      </c>
      <c r="J355" s="281"/>
      <c r="K355" s="463" t="s">
        <v>263</v>
      </c>
      <c r="L355" s="281"/>
      <c r="M355" s="427"/>
      <c r="N355" s="281"/>
      <c r="O355" s="427"/>
      <c r="P355" s="281"/>
      <c r="Q355" s="427"/>
      <c r="R355" s="281"/>
      <c r="S355" s="427"/>
      <c r="T355" s="281"/>
      <c r="U355" s="427"/>
      <c r="V355" s="281"/>
      <c r="W355" s="327">
        <v>0.75</v>
      </c>
      <c r="X355" s="281"/>
      <c r="Y355" s="327">
        <v>0.75</v>
      </c>
      <c r="Z355" s="281"/>
      <c r="AA355" s="327">
        <v>0.75</v>
      </c>
      <c r="AB355" s="281"/>
      <c r="AC355" s="327">
        <v>0.75</v>
      </c>
      <c r="AD355" s="281"/>
      <c r="AE355" s="327">
        <v>0.75</v>
      </c>
      <c r="AF355" s="281"/>
      <c r="AG355" s="327">
        <v>0.75</v>
      </c>
      <c r="AH355" s="281"/>
      <c r="AI355" s="327">
        <v>0.75</v>
      </c>
      <c r="AJ355" s="281"/>
      <c r="AK355" s="327">
        <v>0.75</v>
      </c>
      <c r="AL355" s="281"/>
      <c r="AM355" s="327">
        <v>0.75</v>
      </c>
      <c r="AN355" s="281"/>
      <c r="AO355" s="327">
        <v>0.75</v>
      </c>
      <c r="AP355" s="281"/>
      <c r="AQ355" s="327">
        <v>0.75</v>
      </c>
      <c r="AR355" s="281"/>
      <c r="AS355" s="327">
        <v>0.75</v>
      </c>
      <c r="AT355" s="281"/>
      <c r="AU355" s="327">
        <v>0.75</v>
      </c>
      <c r="AV355" s="281"/>
      <c r="AW355" s="327">
        <v>0.75</v>
      </c>
      <c r="AX355" s="281"/>
      <c r="AY355" s="327">
        <v>0.75</v>
      </c>
      <c r="AZ355" s="281"/>
      <c r="BA355" s="327">
        <v>0.75</v>
      </c>
      <c r="BB355" s="281"/>
      <c r="BC355" s="327">
        <v>0.75</v>
      </c>
      <c r="BD355" s="281"/>
      <c r="BE355" s="327">
        <v>0.75</v>
      </c>
      <c r="BF355" s="281"/>
      <c r="BG355" s="327">
        <v>0.75</v>
      </c>
      <c r="BH355" s="281"/>
      <c r="BI355" s="327">
        <v>0.75</v>
      </c>
      <c r="BJ355" s="281"/>
      <c r="BK355" s="327">
        <v>0.75</v>
      </c>
      <c r="BL355" s="281"/>
      <c r="BM355" s="327">
        <v>0.75</v>
      </c>
      <c r="BN355" s="281"/>
      <c r="BO355" s="327">
        <v>0.75</v>
      </c>
      <c r="BP355" s="281"/>
      <c r="BQ355" s="327">
        <v>0.75</v>
      </c>
      <c r="BR355" s="281"/>
      <c r="BS355" s="327">
        <v>0.75</v>
      </c>
      <c r="BT355" s="281"/>
      <c r="BU355" s="327">
        <v>0.75</v>
      </c>
      <c r="BV355" s="281"/>
      <c r="BW355" s="327">
        <v>0.75</v>
      </c>
      <c r="BX355" s="281"/>
      <c r="BY355" s="327">
        <v>0.75</v>
      </c>
      <c r="BZ355" s="281"/>
      <c r="CA355" s="327">
        <v>0.75</v>
      </c>
      <c r="CB355" s="281"/>
      <c r="CC355" s="327">
        <v>0.75</v>
      </c>
      <c r="CD355" s="281"/>
      <c r="CE355" s="327">
        <v>0.75</v>
      </c>
      <c r="CF355" s="281"/>
      <c r="CG355" s="327">
        <v>0.75</v>
      </c>
      <c r="CH355" s="281"/>
      <c r="CI355" s="327">
        <v>0.75</v>
      </c>
      <c r="CJ355" s="281"/>
      <c r="CK355" s="327">
        <v>0.75</v>
      </c>
      <c r="CL355" s="281"/>
      <c r="CM355" s="327">
        <v>0.75</v>
      </c>
      <c r="CN355" s="281"/>
      <c r="CO355" s="327">
        <v>0.75</v>
      </c>
      <c r="CP355" s="281"/>
      <c r="CQ355" s="327">
        <v>0.75</v>
      </c>
      <c r="CR355" s="281"/>
      <c r="CS355" s="327">
        <v>0.75</v>
      </c>
      <c r="CT355" s="281"/>
      <c r="CU355" s="327">
        <v>0.75</v>
      </c>
      <c r="CV355" s="281"/>
      <c r="CW355" s="327">
        <v>0.75</v>
      </c>
      <c r="CX355" s="281"/>
      <c r="CY355" s="327">
        <v>0.75</v>
      </c>
      <c r="CZ355" s="281"/>
      <c r="DA355" s="327">
        <v>0.75</v>
      </c>
      <c r="DB355" s="281"/>
      <c r="DC355" s="327">
        <v>0.75</v>
      </c>
      <c r="DD355" s="281"/>
      <c r="DE355" s="327">
        <v>0.75</v>
      </c>
      <c r="DF355" s="281"/>
      <c r="DG355" s="327">
        <v>0.75</v>
      </c>
      <c r="DH355" s="281"/>
      <c r="DI355" s="327">
        <v>0.75</v>
      </c>
      <c r="DJ355" s="281"/>
      <c r="DK355" s="327">
        <v>0.75</v>
      </c>
      <c r="DL355" s="281"/>
      <c r="DM355" s="327">
        <v>0.75</v>
      </c>
      <c r="DN355" s="281"/>
      <c r="DO355" s="327">
        <v>0.75</v>
      </c>
      <c r="DP355" s="281"/>
      <c r="DQ355" s="327">
        <v>0.75</v>
      </c>
      <c r="DR355" s="281"/>
      <c r="DS355" s="327">
        <v>0.75</v>
      </c>
      <c r="DT355" s="281"/>
      <c r="DU355" s="319" t="s">
        <v>87</v>
      </c>
      <c r="DV355" s="319" t="s">
        <v>87</v>
      </c>
      <c r="DW355" s="319" t="s">
        <v>87</v>
      </c>
      <c r="DX355" s="319" t="s">
        <v>87</v>
      </c>
      <c r="DY355" s="319" t="s">
        <v>29</v>
      </c>
      <c r="DZ355" s="319" t="s">
        <v>29</v>
      </c>
      <c r="EA355" s="319" t="s">
        <v>29</v>
      </c>
      <c r="EB355" s="319" t="s">
        <v>29</v>
      </c>
      <c r="EC355" s="319" t="s">
        <v>29</v>
      </c>
      <c r="ED355" s="319" t="s">
        <v>29</v>
      </c>
      <c r="EE355" s="319" t="s">
        <v>29</v>
      </c>
      <c r="EF355" s="319" t="s">
        <v>29</v>
      </c>
      <c r="EG355" s="319" t="s">
        <v>29</v>
      </c>
      <c r="EH355" s="319" t="s">
        <v>29</v>
      </c>
      <c r="EI355" s="319" t="s">
        <v>29</v>
      </c>
      <c r="EJ355" s="319" t="s">
        <v>29</v>
      </c>
      <c r="EK355" s="319"/>
      <c r="EL355" s="319"/>
      <c r="EM355" s="319"/>
      <c r="EN355" s="327">
        <v>0.75</v>
      </c>
      <c r="EO355" s="281"/>
      <c r="EP355" s="327">
        <v>0.75</v>
      </c>
      <c r="EQ355" s="281"/>
      <c r="ER355" s="327">
        <v>0.75</v>
      </c>
      <c r="ES355" s="281"/>
      <c r="ET355" s="327">
        <v>0.75</v>
      </c>
      <c r="EU355" s="281"/>
      <c r="EV355" s="327">
        <v>0.75</v>
      </c>
      <c r="EW355" s="281"/>
      <c r="EX355" s="327">
        <v>0.75</v>
      </c>
      <c r="EY355" s="281"/>
      <c r="EZ355" s="327">
        <v>0.75</v>
      </c>
      <c r="FA355" s="281"/>
      <c r="FB355" s="327">
        <v>0.75</v>
      </c>
      <c r="FC355" s="281"/>
      <c r="FD355" s="327">
        <v>0.75</v>
      </c>
      <c r="FE355" s="281"/>
      <c r="FF355" s="327">
        <v>0.75</v>
      </c>
      <c r="FG355" s="281"/>
      <c r="FH355" s="327">
        <v>0.75</v>
      </c>
      <c r="FI355" s="281"/>
      <c r="FJ355" s="327">
        <v>0.75</v>
      </c>
      <c r="FK355" s="281"/>
      <c r="FL355" s="330">
        <v>0.75</v>
      </c>
      <c r="FM355" s="331"/>
      <c r="FN355" s="330">
        <v>0.75</v>
      </c>
      <c r="FO355" s="331"/>
      <c r="FP355" s="330">
        <v>0.75</v>
      </c>
      <c r="FQ355" s="331"/>
      <c r="FR355" s="319" t="s">
        <v>29</v>
      </c>
      <c r="FS355" s="319" t="s">
        <v>29</v>
      </c>
      <c r="FT355" s="319" t="s">
        <v>29</v>
      </c>
      <c r="FU355" s="319" t="s">
        <v>29</v>
      </c>
      <c r="FV355" s="319" t="s">
        <v>29</v>
      </c>
      <c r="FW355" s="319" t="s">
        <v>29</v>
      </c>
      <c r="FX355" s="319" t="s">
        <v>29</v>
      </c>
      <c r="FY355" s="319" t="s">
        <v>29</v>
      </c>
      <c r="FZ355" s="319" t="s">
        <v>29</v>
      </c>
      <c r="GA355" s="319" t="s">
        <v>29</v>
      </c>
      <c r="GB355" s="319" t="s">
        <v>29</v>
      </c>
      <c r="GC355" s="319" t="s">
        <v>29</v>
      </c>
      <c r="GD355" s="319" t="s">
        <v>29</v>
      </c>
      <c r="GE355" s="319" t="s">
        <v>29</v>
      </c>
      <c r="GF355" s="319"/>
      <c r="GG355" s="319"/>
    </row>
    <row r="356" spans="1:189" ht="4.5" customHeight="1" outlineLevel="2" x14ac:dyDescent="0.3">
      <c r="A356" s="1"/>
      <c r="B356" s="301"/>
      <c r="C356" s="301"/>
      <c r="D356" s="301"/>
      <c r="E356" s="301"/>
      <c r="F356" s="301"/>
      <c r="G356" s="5"/>
      <c r="H356" s="5"/>
      <c r="I356" s="422"/>
      <c r="J356" s="281"/>
      <c r="K356" s="428"/>
      <c r="L356" s="281"/>
      <c r="M356" s="428"/>
      <c r="N356" s="281"/>
      <c r="O356" s="428"/>
      <c r="P356" s="281"/>
      <c r="Q356" s="428"/>
      <c r="R356" s="281"/>
      <c r="S356" s="428"/>
      <c r="T356" s="281"/>
      <c r="U356" s="428"/>
      <c r="V356" s="281"/>
      <c r="W356" s="282"/>
      <c r="X356" s="281"/>
      <c r="Y356" s="282"/>
      <c r="Z356" s="281"/>
      <c r="AA356" s="422"/>
      <c r="AB356" s="281"/>
      <c r="AC356" s="282"/>
      <c r="AD356" s="281"/>
      <c r="AE356" s="422"/>
      <c r="AF356" s="281"/>
      <c r="AG356" s="422"/>
      <c r="AH356" s="281"/>
      <c r="AI356" s="282"/>
      <c r="AJ356" s="281"/>
      <c r="AK356" s="282"/>
      <c r="AL356" s="281"/>
      <c r="AM356" s="282"/>
      <c r="AN356" s="281"/>
      <c r="AO356" s="282"/>
      <c r="AP356" s="281"/>
      <c r="AQ356" s="282"/>
      <c r="AR356" s="281"/>
      <c r="AS356" s="282"/>
      <c r="AT356" s="281"/>
      <c r="AU356" s="282"/>
      <c r="AV356" s="281"/>
      <c r="AW356" s="282"/>
      <c r="AX356" s="281"/>
      <c r="AY356" s="282"/>
      <c r="AZ356" s="281"/>
      <c r="BA356" s="282"/>
      <c r="BB356" s="281"/>
      <c r="BC356" s="282"/>
      <c r="BD356" s="281"/>
      <c r="BE356" s="282"/>
      <c r="BF356" s="281"/>
      <c r="BG356" s="328"/>
      <c r="BH356" s="281"/>
      <c r="BI356" s="328"/>
      <c r="BJ356" s="281"/>
      <c r="BK356" s="328"/>
      <c r="BL356" s="281"/>
      <c r="BM356" s="282"/>
      <c r="BN356" s="281"/>
      <c r="BO356" s="328"/>
      <c r="BP356" s="281"/>
      <c r="BQ356" s="328"/>
      <c r="BR356" s="281"/>
      <c r="BS356" s="328"/>
      <c r="BT356" s="281"/>
      <c r="BU356" s="328"/>
      <c r="BV356" s="281"/>
      <c r="BW356" s="328"/>
      <c r="BX356" s="281"/>
      <c r="BY356" s="328"/>
      <c r="BZ356" s="281"/>
      <c r="CA356" s="328"/>
      <c r="CB356" s="281"/>
      <c r="CC356" s="328"/>
      <c r="CD356" s="281"/>
      <c r="CE356" s="328"/>
      <c r="CF356" s="281"/>
      <c r="CG356" s="328"/>
      <c r="CH356" s="281"/>
      <c r="CI356" s="328"/>
      <c r="CJ356" s="281"/>
      <c r="CK356" s="282"/>
      <c r="CL356" s="281"/>
      <c r="CM356" s="282"/>
      <c r="CN356" s="281"/>
      <c r="CO356" s="328"/>
      <c r="CP356" s="281"/>
      <c r="CQ356" s="328"/>
      <c r="CR356" s="281"/>
      <c r="CS356" s="282"/>
      <c r="CT356" s="281"/>
      <c r="CU356" s="282"/>
      <c r="CV356" s="281"/>
      <c r="CW356" s="282"/>
      <c r="CX356" s="281"/>
      <c r="CY356" s="282"/>
      <c r="CZ356" s="281"/>
      <c r="DA356" s="282"/>
      <c r="DB356" s="281"/>
      <c r="DC356" s="328"/>
      <c r="DD356" s="281"/>
      <c r="DE356" s="328"/>
      <c r="DF356" s="281"/>
      <c r="DG356" s="328"/>
      <c r="DH356" s="281"/>
      <c r="DI356" s="328"/>
      <c r="DJ356" s="281"/>
      <c r="DK356" s="328"/>
      <c r="DL356" s="281"/>
      <c r="DM356" s="328"/>
      <c r="DN356" s="281"/>
      <c r="DO356" s="282"/>
      <c r="DP356" s="281"/>
      <c r="DQ356" s="328"/>
      <c r="DR356" s="281"/>
      <c r="DS356" s="328"/>
      <c r="DT356" s="281"/>
      <c r="DU356" s="301"/>
      <c r="DV356" s="301"/>
      <c r="DW356" s="301"/>
      <c r="DX356" s="301"/>
      <c r="DY356" s="301"/>
      <c r="DZ356" s="301"/>
      <c r="EA356" s="301"/>
      <c r="EB356" s="301"/>
      <c r="EC356" s="301"/>
      <c r="ED356" s="301"/>
      <c r="EE356" s="301"/>
      <c r="EF356" s="301"/>
      <c r="EG356" s="301"/>
      <c r="EH356" s="301"/>
      <c r="EI356" s="301"/>
      <c r="EJ356" s="301"/>
      <c r="EK356" s="301"/>
      <c r="EL356" s="301"/>
      <c r="EM356" s="301"/>
      <c r="EN356" s="328"/>
      <c r="EO356" s="281"/>
      <c r="EP356" s="328"/>
      <c r="EQ356" s="281"/>
      <c r="ER356" s="328"/>
      <c r="ES356" s="281"/>
      <c r="ET356" s="282"/>
      <c r="EU356" s="281"/>
      <c r="EV356" s="282"/>
      <c r="EW356" s="281"/>
      <c r="EX356" s="328"/>
      <c r="EY356" s="281"/>
      <c r="EZ356" s="328"/>
      <c r="FA356" s="281"/>
      <c r="FB356" s="328"/>
      <c r="FC356" s="281"/>
      <c r="FD356" s="328"/>
      <c r="FE356" s="281"/>
      <c r="FF356" s="328"/>
      <c r="FG356" s="281"/>
      <c r="FH356" s="328"/>
      <c r="FI356" s="281"/>
      <c r="FJ356" s="328"/>
      <c r="FK356" s="281"/>
      <c r="FL356" s="282"/>
      <c r="FM356" s="281"/>
      <c r="FN356" s="282"/>
      <c r="FO356" s="281"/>
      <c r="FP356" s="328"/>
      <c r="FQ356" s="281"/>
      <c r="FR356" s="301"/>
      <c r="FS356" s="301"/>
      <c r="FT356" s="301"/>
      <c r="FU356" s="301"/>
      <c r="FV356" s="301"/>
      <c r="FW356" s="301"/>
      <c r="FX356" s="301"/>
      <c r="FY356" s="301"/>
      <c r="FZ356" s="301"/>
      <c r="GA356" s="301"/>
      <c r="GB356" s="301"/>
      <c r="GC356" s="301"/>
      <c r="GD356" s="301"/>
      <c r="GE356" s="301"/>
      <c r="GF356" s="289"/>
      <c r="GG356" s="289"/>
    </row>
    <row r="357" spans="1:189" ht="15" customHeight="1" outlineLevel="2" x14ac:dyDescent="0.3">
      <c r="A357" s="1"/>
      <c r="B357" s="301"/>
      <c r="C357" s="301"/>
      <c r="D357" s="301"/>
      <c r="E357" s="301"/>
      <c r="F357" s="301"/>
      <c r="G357" s="5" t="s">
        <v>30</v>
      </c>
      <c r="H357" s="5"/>
      <c r="I357" s="283">
        <f>I358/I359</f>
        <v>0.75022651766837811</v>
      </c>
      <c r="J357" s="281"/>
      <c r="K357" s="429"/>
      <c r="L357" s="281"/>
      <c r="M357" s="429"/>
      <c r="N357" s="281"/>
      <c r="O357" s="429"/>
      <c r="P357" s="281"/>
      <c r="Q357" s="429"/>
      <c r="R357" s="281"/>
      <c r="S357" s="429"/>
      <c r="T357" s="281"/>
      <c r="U357" s="429"/>
      <c r="V357" s="281"/>
      <c r="W357" s="283">
        <v>0.74619999999999997</v>
      </c>
      <c r="X357" s="281"/>
      <c r="Y357" s="283">
        <v>0.73850000000000005</v>
      </c>
      <c r="Z357" s="281"/>
      <c r="AA357" s="283">
        <v>0.75239999999999996</v>
      </c>
      <c r="AB357" s="281"/>
      <c r="AC357" s="283">
        <v>0.73960000000000004</v>
      </c>
      <c r="AD357" s="281"/>
      <c r="AE357" s="283">
        <v>0.79239999999999999</v>
      </c>
      <c r="AF357" s="281"/>
      <c r="AG357" s="283">
        <f>AG358/AG359</f>
        <v>0.78735632183908044</v>
      </c>
      <c r="AH357" s="281"/>
      <c r="AI357" s="283">
        <f>AI358/AI359</f>
        <v>0.62660944206008584</v>
      </c>
      <c r="AJ357" s="281"/>
      <c r="AK357" s="283">
        <f>AK358/AK359</f>
        <v>0.708502024291498</v>
      </c>
      <c r="AL357" s="281"/>
      <c r="AM357" s="283">
        <f>AM358/AM359</f>
        <v>0.67901234567901236</v>
      </c>
      <c r="AN357" s="281"/>
      <c r="AO357" s="283">
        <f>AO358/AO359</f>
        <v>0.67222222222222228</v>
      </c>
      <c r="AP357" s="281"/>
      <c r="AQ357" s="283">
        <f>AQ358/AQ359</f>
        <v>0.63225806451612898</v>
      </c>
      <c r="AR357" s="281"/>
      <c r="AS357" s="283">
        <f>AS358/AS359</f>
        <v>0.65034965034965031</v>
      </c>
      <c r="AT357" s="281"/>
      <c r="AU357" s="283">
        <f>AU358/AU359</f>
        <v>0.73883161512027495</v>
      </c>
      <c r="AV357" s="281"/>
      <c r="AW357" s="283">
        <f>AW358/AW359</f>
        <v>0.62557077625570778</v>
      </c>
      <c r="AX357" s="281"/>
      <c r="AY357" s="283">
        <f>AY358/AY359</f>
        <v>0.68936170212765957</v>
      </c>
      <c r="AZ357" s="281"/>
      <c r="BA357" s="283">
        <f>BA358/BA359</f>
        <v>0.64215686274509809</v>
      </c>
      <c r="BB357" s="281"/>
      <c r="BC357" s="283">
        <f>BC358/BC359</f>
        <v>0.67543859649122806</v>
      </c>
      <c r="BD357" s="281"/>
      <c r="BE357" s="283">
        <f>BE358/BE359</f>
        <v>0.68408551068883605</v>
      </c>
      <c r="BF357" s="281"/>
      <c r="BG357" s="283">
        <f>BG358/BG359</f>
        <v>0.7791878172588832</v>
      </c>
      <c r="BH357" s="281"/>
      <c r="BI357" s="283">
        <f>BI358/BI359</f>
        <v>0.82320441988950277</v>
      </c>
      <c r="BJ357" s="281"/>
      <c r="BK357" s="283">
        <f>BK358/BK359</f>
        <v>0.77521613832853031</v>
      </c>
      <c r="BL357" s="281"/>
      <c r="BM357" s="283">
        <f>BM358/BM359</f>
        <v>0.73758865248226946</v>
      </c>
      <c r="BN357" s="281"/>
      <c r="BO357" s="283">
        <f>BO358/BO359</f>
        <v>0.81021897810218979</v>
      </c>
      <c r="BP357" s="281"/>
      <c r="BQ357" s="283">
        <f>BQ358/BQ359</f>
        <v>0.79696969696969699</v>
      </c>
      <c r="BR357" s="281"/>
      <c r="BS357" s="283">
        <f>BS358/BS359</f>
        <v>0.82399999999999995</v>
      </c>
      <c r="BT357" s="281"/>
      <c r="BU357" s="283">
        <f>BU358/BU359</f>
        <v>0.8</v>
      </c>
      <c r="BV357" s="281"/>
      <c r="BW357" s="283">
        <f>BW358/BW359</f>
        <v>0.75</v>
      </c>
      <c r="BX357" s="281"/>
      <c r="BY357" s="283">
        <f>BY358/BY359</f>
        <v>0.81481481481481477</v>
      </c>
      <c r="BZ357" s="281"/>
      <c r="CA357" s="283"/>
      <c r="CB357" s="281"/>
      <c r="CC357" s="283"/>
      <c r="CD357" s="281"/>
      <c r="CE357" s="283"/>
      <c r="CF357" s="281"/>
      <c r="CG357" s="283"/>
      <c r="CH357" s="281"/>
      <c r="CI357" s="283"/>
      <c r="CJ357" s="281"/>
      <c r="CK357" s="283">
        <f>CK358/CK359</f>
        <v>0.49411764705882355</v>
      </c>
      <c r="CL357" s="281"/>
      <c r="CM357" s="283">
        <f>CM358/CM359</f>
        <v>0.71658986175115202</v>
      </c>
      <c r="CN357" s="281"/>
      <c r="CO357" s="283">
        <f>CO358/CO359</f>
        <v>0.75057208237986273</v>
      </c>
      <c r="CP357" s="281"/>
      <c r="CQ357" s="283">
        <f>CQ358/CQ359</f>
        <v>0.77777777777777779</v>
      </c>
      <c r="CR357" s="281"/>
      <c r="CS357" s="283">
        <f>CS358/CS359</f>
        <v>0.68020304568527923</v>
      </c>
      <c r="CT357" s="281"/>
      <c r="CU357" s="283">
        <f>CU358/CU359</f>
        <v>0.74635568513119532</v>
      </c>
      <c r="CV357" s="281"/>
      <c r="CW357" s="283">
        <f>CW358/CW359</f>
        <v>0.7229219143576826</v>
      </c>
      <c r="CX357" s="281"/>
      <c r="CY357" s="283">
        <f>CY358/CY359</f>
        <v>0.75306122448979596</v>
      </c>
      <c r="CZ357" s="281"/>
      <c r="DA357" s="283">
        <f>DA358/DA359</f>
        <v>0.73831775700934577</v>
      </c>
      <c r="DB357" s="281"/>
      <c r="DC357" s="283">
        <f>DC358/DC359</f>
        <v>0.75457875457875456</v>
      </c>
      <c r="DD357" s="281"/>
      <c r="DE357" s="283">
        <f>DE358/DE359</f>
        <v>0.75091575091575091</v>
      </c>
      <c r="DF357" s="281"/>
      <c r="DG357" s="283">
        <f>DG358/DG359</f>
        <v>0.77211796246648789</v>
      </c>
      <c r="DH357" s="281"/>
      <c r="DI357" s="283">
        <f>DI358/DI359</f>
        <v>0.74904942965779464</v>
      </c>
      <c r="DJ357" s="281"/>
      <c r="DK357" s="283">
        <f>DK358/DK359</f>
        <v>0.80568720379146919</v>
      </c>
      <c r="DL357" s="281"/>
      <c r="DM357" s="283">
        <f>DM358/DM359</f>
        <v>0.76765375854214124</v>
      </c>
      <c r="DN357" s="281"/>
      <c r="DO357" s="283">
        <f>DO358/DO359</f>
        <v>0.74311926605504586</v>
      </c>
      <c r="DP357" s="281"/>
      <c r="DQ357" s="283">
        <f>DQ358/DQ359</f>
        <v>0.76673866090712739</v>
      </c>
      <c r="DR357" s="281"/>
      <c r="DS357" s="283">
        <f>DS358/DS359</f>
        <v>0.8</v>
      </c>
      <c r="DT357" s="281"/>
      <c r="DU357" s="301"/>
      <c r="DV357" s="301"/>
      <c r="DW357" s="301"/>
      <c r="DX357" s="301"/>
      <c r="DY357" s="301"/>
      <c r="DZ357" s="301"/>
      <c r="EA357" s="301"/>
      <c r="EB357" s="301"/>
      <c r="EC357" s="301"/>
      <c r="ED357" s="301"/>
      <c r="EE357" s="301"/>
      <c r="EF357" s="301"/>
      <c r="EG357" s="301"/>
      <c r="EH357" s="301"/>
      <c r="EI357" s="301"/>
      <c r="EJ357" s="301"/>
      <c r="EK357" s="301"/>
      <c r="EL357" s="301"/>
      <c r="EM357" s="301"/>
      <c r="EN357" s="283">
        <f>EN358/EN359</f>
        <v>0.78441558441558445</v>
      </c>
      <c r="EO357" s="281"/>
      <c r="EP357" s="283">
        <f>EP358/EP359</f>
        <v>0.79931972789115646</v>
      </c>
      <c r="EQ357" s="281"/>
      <c r="ER357" s="283">
        <f>ER358/ER359</f>
        <v>0.85572139303482586</v>
      </c>
      <c r="ES357" s="281"/>
      <c r="ET357" s="283">
        <f>ET358/ET359</f>
        <v>0.42666666666666669</v>
      </c>
      <c r="EU357" s="281"/>
      <c r="EV357" s="283">
        <f>EV358/EV359</f>
        <v>0.3125</v>
      </c>
      <c r="EW357" s="281"/>
      <c r="EX357" s="283">
        <f>EX358/EX359</f>
        <v>0.9375</v>
      </c>
      <c r="EY357" s="281"/>
      <c r="EZ357" s="283">
        <f>EZ358/EZ359</f>
        <v>1</v>
      </c>
      <c r="FA357" s="281"/>
      <c r="FB357" s="283" t="e">
        <f>FB358/FB359</f>
        <v>#DIV/0!</v>
      </c>
      <c r="FC357" s="281"/>
      <c r="FD357" s="283" t="e">
        <f>FD358/FD359</f>
        <v>#DIV/0!</v>
      </c>
      <c r="FE357" s="281"/>
      <c r="FF357" s="283" t="e">
        <f>FF358/FF359</f>
        <v>#DIV/0!</v>
      </c>
      <c r="FG357" s="281"/>
      <c r="FH357" s="283" t="e">
        <f>FH358/FH359</f>
        <v>#DIV/0!</v>
      </c>
      <c r="FI357" s="281"/>
      <c r="FJ357" s="283">
        <f>FJ358/FJ359</f>
        <v>0.85526315789473684</v>
      </c>
      <c r="FK357" s="281"/>
      <c r="FL357" s="283">
        <f>FL358/FL359</f>
        <v>0.70408163265306123</v>
      </c>
      <c r="FM357" s="281"/>
      <c r="FN357" s="283">
        <f>FN358/FN359</f>
        <v>0.7</v>
      </c>
      <c r="FO357" s="281"/>
      <c r="FP357" s="327">
        <f>FP358/FP359</f>
        <v>0.82258064516129037</v>
      </c>
      <c r="FQ357" s="329"/>
      <c r="FR357" s="301"/>
      <c r="FS357" s="301"/>
      <c r="FT357" s="301"/>
      <c r="FU357" s="301"/>
      <c r="FV357" s="301"/>
      <c r="FW357" s="301"/>
      <c r="FX357" s="301"/>
      <c r="FY357" s="301"/>
      <c r="FZ357" s="301"/>
      <c r="GA357" s="301"/>
      <c r="GB357" s="301"/>
      <c r="GC357" s="301"/>
      <c r="GD357" s="301"/>
      <c r="GE357" s="301"/>
      <c r="GF357" s="289"/>
      <c r="GG357" s="289"/>
    </row>
    <row r="358" spans="1:189" ht="15" customHeight="1" outlineLevel="2" x14ac:dyDescent="0.3">
      <c r="A358" s="1"/>
      <c r="B358" s="301"/>
      <c r="C358" s="301"/>
      <c r="D358" s="301"/>
      <c r="E358" s="301"/>
      <c r="F358" s="301"/>
      <c r="G358" s="5" t="s">
        <v>255</v>
      </c>
      <c r="H358" s="5"/>
      <c r="I358" s="284">
        <f t="shared" ref="I358:I359" si="726">SUM(K358:AH358)</f>
        <v>7452</v>
      </c>
      <c r="J358" s="281"/>
      <c r="K358" s="428"/>
      <c r="L358" s="281"/>
      <c r="M358" s="428"/>
      <c r="N358" s="281"/>
      <c r="O358" s="428"/>
      <c r="P358" s="281"/>
      <c r="Q358" s="428"/>
      <c r="R358" s="281"/>
      <c r="S358" s="428"/>
      <c r="T358" s="281"/>
      <c r="U358" s="428"/>
      <c r="V358" s="281"/>
      <c r="W358" s="284">
        <v>1655</v>
      </c>
      <c r="X358" s="281"/>
      <c r="Y358" s="284">
        <v>1542</v>
      </c>
      <c r="Z358" s="281"/>
      <c r="AA358" s="284">
        <v>1237</v>
      </c>
      <c r="AB358" s="281"/>
      <c r="AC358" s="284">
        <v>1897</v>
      </c>
      <c r="AD358" s="281"/>
      <c r="AE358" s="284">
        <v>710</v>
      </c>
      <c r="AF358" s="281"/>
      <c r="AG358" s="284">
        <v>411</v>
      </c>
      <c r="AH358" s="281"/>
      <c r="AI358" s="86">
        <v>146</v>
      </c>
      <c r="AJ358" s="86">
        <f>AI358*AI357</f>
        <v>91.484978540772531</v>
      </c>
      <c r="AK358" s="86">
        <v>175</v>
      </c>
      <c r="AL358" s="86">
        <f>AK358*AK357</f>
        <v>123.98785425101215</v>
      </c>
      <c r="AM358" s="86">
        <v>220</v>
      </c>
      <c r="AN358" s="86">
        <f>AM358*AM357</f>
        <v>149.38271604938271</v>
      </c>
      <c r="AO358" s="86">
        <v>121</v>
      </c>
      <c r="AP358" s="86">
        <f>AO358*AO357</f>
        <v>81.338888888888889</v>
      </c>
      <c r="AQ358" s="86">
        <v>196</v>
      </c>
      <c r="AR358" s="86">
        <f>AQ358*AQ357</f>
        <v>123.92258064516128</v>
      </c>
      <c r="AS358" s="86">
        <v>93</v>
      </c>
      <c r="AT358" s="86">
        <f>AS358*AS357</f>
        <v>60.48251748251748</v>
      </c>
      <c r="AU358" s="86">
        <v>215</v>
      </c>
      <c r="AV358" s="86">
        <f>AU358*AU357</f>
        <v>158.84879725085912</v>
      </c>
      <c r="AW358" s="86">
        <v>137</v>
      </c>
      <c r="AX358" s="86">
        <f>AW358*AW357</f>
        <v>85.703196347031962</v>
      </c>
      <c r="AY358" s="86">
        <v>162</v>
      </c>
      <c r="AZ358" s="86">
        <f>AY358*AY357</f>
        <v>111.67659574468085</v>
      </c>
      <c r="BA358" s="86">
        <v>131</v>
      </c>
      <c r="BB358" s="86">
        <f>BA358*BA357</f>
        <v>84.122549019607845</v>
      </c>
      <c r="BC358" s="86">
        <v>154</v>
      </c>
      <c r="BD358" s="86">
        <f>BC358*BC357</f>
        <v>104.01754385964912</v>
      </c>
      <c r="BE358" s="86">
        <v>288</v>
      </c>
      <c r="BF358" s="86">
        <f>BE358*BE357</f>
        <v>197.01662707838477</v>
      </c>
      <c r="BG358" s="86">
        <v>307</v>
      </c>
      <c r="BH358" s="86">
        <f>BG358*BG357</f>
        <v>239.21065989847713</v>
      </c>
      <c r="BI358" s="86">
        <v>149</v>
      </c>
      <c r="BJ358" s="86">
        <f>BI358*BI357</f>
        <v>122.65745856353591</v>
      </c>
      <c r="BK358" s="86">
        <v>269</v>
      </c>
      <c r="BL358" s="86">
        <f>BK358*BK357</f>
        <v>208.53314121037465</v>
      </c>
      <c r="BM358" s="86">
        <v>312</v>
      </c>
      <c r="BN358" s="86">
        <f>BM358*BM357</f>
        <v>230.12765957446808</v>
      </c>
      <c r="BO358" s="86">
        <v>222</v>
      </c>
      <c r="BP358" s="86">
        <f>BO358*BO357</f>
        <v>179.86861313868613</v>
      </c>
      <c r="BQ358" s="86">
        <v>263</v>
      </c>
      <c r="BR358" s="86">
        <f>BQ358*BQ357</f>
        <v>209.60303030303032</v>
      </c>
      <c r="BS358" s="86">
        <v>103</v>
      </c>
      <c r="BT358" s="86">
        <f>BS358*BS357</f>
        <v>84.872</v>
      </c>
      <c r="BU358" s="86">
        <v>72</v>
      </c>
      <c r="BV358" s="86">
        <f>BU358*BU357</f>
        <v>57.6</v>
      </c>
      <c r="BW358" s="86">
        <v>30</v>
      </c>
      <c r="BX358" s="86">
        <f>BW358*BW357</f>
        <v>22.5</v>
      </c>
      <c r="BY358" s="86">
        <v>22</v>
      </c>
      <c r="BZ358" s="86">
        <f>BY358*BY357</f>
        <v>17.925925925925924</v>
      </c>
      <c r="CA358" s="86"/>
      <c r="CB358" s="86">
        <f>CA358*CA357</f>
        <v>0</v>
      </c>
      <c r="CC358" s="86"/>
      <c r="CD358" s="86">
        <f>CC358*CC357</f>
        <v>0</v>
      </c>
      <c r="CE358" s="86"/>
      <c r="CF358" s="86">
        <f>CE358*CE357</f>
        <v>0</v>
      </c>
      <c r="CG358" s="86"/>
      <c r="CH358" s="86">
        <f>CG358*CG357</f>
        <v>0</v>
      </c>
      <c r="CI358" s="86"/>
      <c r="CJ358" s="86">
        <f>CI358*CI357</f>
        <v>0</v>
      </c>
      <c r="CK358" s="86">
        <v>126</v>
      </c>
      <c r="CL358" s="86">
        <f>CK358*CK357</f>
        <v>62.258823529411771</v>
      </c>
      <c r="CM358" s="86">
        <v>311</v>
      </c>
      <c r="CN358" s="86">
        <f>CM358*CM357</f>
        <v>222.85944700460828</v>
      </c>
      <c r="CO358" s="86">
        <v>328</v>
      </c>
      <c r="CP358" s="86">
        <f>CO358*CO357</f>
        <v>246.18764302059498</v>
      </c>
      <c r="CQ358" s="86">
        <v>7</v>
      </c>
      <c r="CR358" s="86">
        <f>CQ358*CQ357</f>
        <v>5.4444444444444446</v>
      </c>
      <c r="CS358" s="86">
        <v>134</v>
      </c>
      <c r="CT358" s="86">
        <f>CS358*CS357</f>
        <v>91.147208121827418</v>
      </c>
      <c r="CU358" s="86">
        <v>256</v>
      </c>
      <c r="CV358" s="86">
        <f>CU358*CU357</f>
        <v>191.067055393586</v>
      </c>
      <c r="CW358" s="86">
        <v>287</v>
      </c>
      <c r="CX358" s="86">
        <f>CW358*CW357</f>
        <v>207.47858942065491</v>
      </c>
      <c r="CY358" s="86">
        <v>369</v>
      </c>
      <c r="CZ358" s="86">
        <f>CY358*CY357</f>
        <v>277.87959183673473</v>
      </c>
      <c r="DA358" s="86">
        <v>237</v>
      </c>
      <c r="DB358" s="86">
        <f>DA358*DA357</f>
        <v>174.98130841121494</v>
      </c>
      <c r="DC358" s="86">
        <v>206</v>
      </c>
      <c r="DD358" s="86">
        <f>DC358*DC357</f>
        <v>155.44322344322345</v>
      </c>
      <c r="DE358" s="86">
        <v>205</v>
      </c>
      <c r="DF358" s="86">
        <f>DE358*DE357</f>
        <v>153.93772893772893</v>
      </c>
      <c r="DG358" s="86">
        <v>288</v>
      </c>
      <c r="DH358" s="86">
        <f>DG358*DG357</f>
        <v>222.3699731903485</v>
      </c>
      <c r="DI358" s="86">
        <v>197</v>
      </c>
      <c r="DJ358" s="86">
        <f>DI358*DI357</f>
        <v>147.56273764258555</v>
      </c>
      <c r="DK358" s="86">
        <v>340</v>
      </c>
      <c r="DL358" s="86">
        <f>DK358*DK357</f>
        <v>273.93364928909955</v>
      </c>
      <c r="DM358" s="86">
        <v>337</v>
      </c>
      <c r="DN358" s="86">
        <f>DM358*DM357</f>
        <v>258.69931662870158</v>
      </c>
      <c r="DO358" s="86">
        <v>405</v>
      </c>
      <c r="DP358" s="86">
        <f>DO358*DO357</f>
        <v>300.9633027522936</v>
      </c>
      <c r="DQ358" s="86">
        <v>355</v>
      </c>
      <c r="DR358" s="86">
        <f>DQ358*DQ357</f>
        <v>272.19222462203021</v>
      </c>
      <c r="DS358" s="86">
        <v>312</v>
      </c>
      <c r="DT358" s="86">
        <f>DS358*DS357</f>
        <v>249.60000000000002</v>
      </c>
      <c r="DU358" s="301"/>
      <c r="DV358" s="301"/>
      <c r="DW358" s="301"/>
      <c r="DX358" s="301"/>
      <c r="DY358" s="301"/>
      <c r="DZ358" s="301"/>
      <c r="EA358" s="301"/>
      <c r="EB358" s="301"/>
      <c r="EC358" s="301"/>
      <c r="ED358" s="301"/>
      <c r="EE358" s="301"/>
      <c r="EF358" s="301"/>
      <c r="EG358" s="301"/>
      <c r="EH358" s="301"/>
      <c r="EI358" s="301"/>
      <c r="EJ358" s="301"/>
      <c r="EK358" s="301"/>
      <c r="EL358" s="301"/>
      <c r="EM358" s="301"/>
      <c r="EN358" s="86">
        <v>302</v>
      </c>
      <c r="EO358" s="86">
        <f>EN358*EN357</f>
        <v>236.89350649350649</v>
      </c>
      <c r="EP358" s="86">
        <v>235</v>
      </c>
      <c r="EQ358" s="86">
        <f>EP358*EP357</f>
        <v>187.84013605442178</v>
      </c>
      <c r="ER358" s="86">
        <v>172</v>
      </c>
      <c r="ES358" s="86">
        <f>ER358*ER357</f>
        <v>147.18407960199005</v>
      </c>
      <c r="ET358" s="86">
        <v>128</v>
      </c>
      <c r="EU358" s="86">
        <f>ET358*ET357</f>
        <v>54.613333333333337</v>
      </c>
      <c r="EV358" s="86">
        <v>5</v>
      </c>
      <c r="EW358" s="86">
        <f>EV358*EV357</f>
        <v>1.5625</v>
      </c>
      <c r="EX358" s="86">
        <v>15</v>
      </c>
      <c r="EY358" s="86">
        <f>EX358*EX357</f>
        <v>14.0625</v>
      </c>
      <c r="EZ358" s="284">
        <v>2</v>
      </c>
      <c r="FA358" s="281"/>
      <c r="FB358" s="284">
        <v>0</v>
      </c>
      <c r="FC358" s="281"/>
      <c r="FD358" s="284">
        <v>0</v>
      </c>
      <c r="FE358" s="281"/>
      <c r="FF358" s="284">
        <v>0</v>
      </c>
      <c r="FG358" s="281"/>
      <c r="FH358" s="284">
        <v>0</v>
      </c>
      <c r="FI358" s="281"/>
      <c r="FJ358" s="284">
        <v>65</v>
      </c>
      <c r="FK358" s="281"/>
      <c r="FL358" s="284">
        <v>69</v>
      </c>
      <c r="FM358" s="281"/>
      <c r="FN358" s="284">
        <v>14</v>
      </c>
      <c r="FO358" s="281"/>
      <c r="FP358" s="284">
        <v>51</v>
      </c>
      <c r="FQ358" s="281"/>
      <c r="FR358" s="301"/>
      <c r="FS358" s="301"/>
      <c r="FT358" s="301"/>
      <c r="FU358" s="301"/>
      <c r="FV358" s="301"/>
      <c r="FW358" s="301"/>
      <c r="FX358" s="301"/>
      <c r="FY358" s="301"/>
      <c r="FZ358" s="301"/>
      <c r="GA358" s="301"/>
      <c r="GB358" s="301"/>
      <c r="GC358" s="301"/>
      <c r="GD358" s="301"/>
      <c r="GE358" s="301"/>
      <c r="GF358" s="289"/>
      <c r="GG358" s="289"/>
    </row>
    <row r="359" spans="1:189" ht="15" customHeight="1" outlineLevel="3" x14ac:dyDescent="0.3">
      <c r="A359" s="1"/>
      <c r="B359" s="301"/>
      <c r="C359" s="301"/>
      <c r="D359" s="301"/>
      <c r="E359" s="301"/>
      <c r="F359" s="301"/>
      <c r="G359" s="5" t="s">
        <v>258</v>
      </c>
      <c r="H359" s="5"/>
      <c r="I359" s="284">
        <f t="shared" si="726"/>
        <v>9933</v>
      </c>
      <c r="J359" s="281"/>
      <c r="K359" s="428"/>
      <c r="L359" s="281"/>
      <c r="M359" s="428"/>
      <c r="N359" s="281"/>
      <c r="O359" s="428"/>
      <c r="P359" s="281"/>
      <c r="Q359" s="428"/>
      <c r="R359" s="281"/>
      <c r="S359" s="428"/>
      <c r="T359" s="281"/>
      <c r="U359" s="428"/>
      <c r="V359" s="281"/>
      <c r="W359" s="284">
        <v>2218</v>
      </c>
      <c r="X359" s="281"/>
      <c r="Y359" s="284">
        <v>2088</v>
      </c>
      <c r="Z359" s="281"/>
      <c r="AA359" s="284">
        <v>1644</v>
      </c>
      <c r="AB359" s="281"/>
      <c r="AC359" s="284">
        <v>2565</v>
      </c>
      <c r="AD359" s="281"/>
      <c r="AE359" s="284">
        <v>896</v>
      </c>
      <c r="AF359" s="281"/>
      <c r="AG359" s="284">
        <v>522</v>
      </c>
      <c r="AH359" s="281"/>
      <c r="AI359" s="284">
        <v>233</v>
      </c>
      <c r="AJ359" s="281"/>
      <c r="AK359" s="284">
        <v>247</v>
      </c>
      <c r="AL359" s="281"/>
      <c r="AM359" s="284">
        <v>324</v>
      </c>
      <c r="AN359" s="281"/>
      <c r="AO359" s="284">
        <v>180</v>
      </c>
      <c r="AP359" s="281"/>
      <c r="AQ359" s="284">
        <v>310</v>
      </c>
      <c r="AR359" s="281"/>
      <c r="AS359" s="284">
        <v>143</v>
      </c>
      <c r="AT359" s="281"/>
      <c r="AU359" s="284">
        <v>291</v>
      </c>
      <c r="AV359" s="281"/>
      <c r="AW359" s="284">
        <v>219</v>
      </c>
      <c r="AX359" s="281"/>
      <c r="AY359" s="284">
        <v>235</v>
      </c>
      <c r="AZ359" s="281"/>
      <c r="BA359" s="284">
        <v>204</v>
      </c>
      <c r="BB359" s="281"/>
      <c r="BC359" s="284">
        <v>228</v>
      </c>
      <c r="BD359" s="281"/>
      <c r="BE359" s="284">
        <v>421</v>
      </c>
      <c r="BF359" s="281"/>
      <c r="BG359" s="284">
        <v>394</v>
      </c>
      <c r="BH359" s="281"/>
      <c r="BI359" s="284">
        <v>181</v>
      </c>
      <c r="BJ359" s="281"/>
      <c r="BK359" s="284">
        <v>347</v>
      </c>
      <c r="BL359" s="281"/>
      <c r="BM359" s="284">
        <v>423</v>
      </c>
      <c r="BN359" s="281"/>
      <c r="BO359" s="284">
        <v>274</v>
      </c>
      <c r="BP359" s="281"/>
      <c r="BQ359" s="284">
        <v>330</v>
      </c>
      <c r="BR359" s="281"/>
      <c r="BS359" s="284">
        <v>125</v>
      </c>
      <c r="BT359" s="281"/>
      <c r="BU359" s="284">
        <v>90</v>
      </c>
      <c r="BV359" s="281"/>
      <c r="BW359" s="284">
        <v>40</v>
      </c>
      <c r="BX359" s="281"/>
      <c r="BY359" s="284">
        <v>27</v>
      </c>
      <c r="BZ359" s="281"/>
      <c r="CA359" s="284"/>
      <c r="CB359" s="281"/>
      <c r="CC359" s="284"/>
      <c r="CD359" s="281"/>
      <c r="CE359" s="284"/>
      <c r="CF359" s="281"/>
      <c r="CG359" s="284"/>
      <c r="CH359" s="281"/>
      <c r="CI359" s="284"/>
      <c r="CJ359" s="281"/>
      <c r="CK359" s="284">
        <v>255</v>
      </c>
      <c r="CL359" s="281"/>
      <c r="CM359" s="284">
        <v>434</v>
      </c>
      <c r="CN359" s="281"/>
      <c r="CO359" s="284">
        <v>437</v>
      </c>
      <c r="CP359" s="281"/>
      <c r="CQ359" s="284">
        <v>9</v>
      </c>
      <c r="CR359" s="281"/>
      <c r="CS359" s="284">
        <v>197</v>
      </c>
      <c r="CT359" s="281"/>
      <c r="CU359" s="284">
        <v>343</v>
      </c>
      <c r="CV359" s="281"/>
      <c r="CW359" s="284">
        <v>397</v>
      </c>
      <c r="CX359" s="281"/>
      <c r="CY359" s="284">
        <v>490</v>
      </c>
      <c r="CZ359" s="281"/>
      <c r="DA359" s="284">
        <v>321</v>
      </c>
      <c r="DB359" s="281"/>
      <c r="DC359" s="284">
        <v>273</v>
      </c>
      <c r="DD359" s="281"/>
      <c r="DE359" s="284">
        <v>273</v>
      </c>
      <c r="DF359" s="281"/>
      <c r="DG359" s="284">
        <v>373</v>
      </c>
      <c r="DH359" s="281"/>
      <c r="DI359" s="284">
        <v>263</v>
      </c>
      <c r="DJ359" s="281"/>
      <c r="DK359" s="284">
        <v>422</v>
      </c>
      <c r="DL359" s="281"/>
      <c r="DM359" s="284">
        <v>439</v>
      </c>
      <c r="DN359" s="281"/>
      <c r="DO359" s="284">
        <v>545</v>
      </c>
      <c r="DP359" s="281"/>
      <c r="DQ359" s="284">
        <v>463</v>
      </c>
      <c r="DR359" s="281"/>
      <c r="DS359" s="284">
        <v>390</v>
      </c>
      <c r="DT359" s="281"/>
      <c r="DU359" s="301"/>
      <c r="DV359" s="301"/>
      <c r="DW359" s="301"/>
      <c r="DX359" s="301"/>
      <c r="DY359" s="301"/>
      <c r="DZ359" s="301"/>
      <c r="EA359" s="301"/>
      <c r="EB359" s="301"/>
      <c r="EC359" s="301"/>
      <c r="ED359" s="301"/>
      <c r="EE359" s="301"/>
      <c r="EF359" s="301"/>
      <c r="EG359" s="301"/>
      <c r="EH359" s="301"/>
      <c r="EI359" s="301"/>
      <c r="EJ359" s="301"/>
      <c r="EK359" s="301"/>
      <c r="EL359" s="301"/>
      <c r="EM359" s="301"/>
      <c r="EN359" s="284">
        <v>385</v>
      </c>
      <c r="EO359" s="281"/>
      <c r="EP359" s="284">
        <v>294</v>
      </c>
      <c r="EQ359" s="281"/>
      <c r="ER359" s="284">
        <v>201</v>
      </c>
      <c r="ES359" s="281"/>
      <c r="ET359" s="284">
        <v>300</v>
      </c>
      <c r="EU359" s="281"/>
      <c r="EV359" s="284">
        <v>16</v>
      </c>
      <c r="EW359" s="281"/>
      <c r="EX359" s="284">
        <v>16</v>
      </c>
      <c r="EY359" s="281"/>
      <c r="EZ359" s="284">
        <v>2</v>
      </c>
      <c r="FA359" s="281"/>
      <c r="FB359" s="284">
        <v>0</v>
      </c>
      <c r="FC359" s="281"/>
      <c r="FD359" s="284">
        <v>0</v>
      </c>
      <c r="FE359" s="281"/>
      <c r="FF359" s="284">
        <v>0</v>
      </c>
      <c r="FG359" s="281"/>
      <c r="FH359" s="284">
        <v>0</v>
      </c>
      <c r="FI359" s="281"/>
      <c r="FJ359" s="284">
        <v>76</v>
      </c>
      <c r="FK359" s="281"/>
      <c r="FL359" s="284">
        <v>98</v>
      </c>
      <c r="FM359" s="281"/>
      <c r="FN359" s="284">
        <v>20</v>
      </c>
      <c r="FO359" s="281"/>
      <c r="FP359" s="284">
        <v>62</v>
      </c>
      <c r="FQ359" s="281"/>
      <c r="FR359" s="301"/>
      <c r="FS359" s="301"/>
      <c r="FT359" s="301"/>
      <c r="FU359" s="301"/>
      <c r="FV359" s="301"/>
      <c r="FW359" s="301"/>
      <c r="FX359" s="301"/>
      <c r="FY359" s="301"/>
      <c r="FZ359" s="301"/>
      <c r="GA359" s="301"/>
      <c r="GB359" s="301"/>
      <c r="GC359" s="301"/>
      <c r="GD359" s="301"/>
      <c r="GE359" s="301"/>
      <c r="GF359" s="289"/>
      <c r="GG359" s="289"/>
    </row>
    <row r="360" spans="1:189" ht="12.75" customHeight="1" outlineLevel="3" x14ac:dyDescent="0.3">
      <c r="A360" s="1"/>
      <c r="B360" s="302"/>
      <c r="C360" s="302"/>
      <c r="D360" s="302"/>
      <c r="E360" s="302"/>
      <c r="F360" s="302"/>
      <c r="G360" s="5" t="s">
        <v>264</v>
      </c>
      <c r="H360" s="5"/>
      <c r="I360" s="284">
        <f>I163</f>
        <v>59128</v>
      </c>
      <c r="J360" s="281"/>
      <c r="K360" s="428"/>
      <c r="L360" s="281"/>
      <c r="M360" s="428"/>
      <c r="N360" s="281"/>
      <c r="O360" s="428"/>
      <c r="P360" s="281"/>
      <c r="Q360" s="428"/>
      <c r="R360" s="281"/>
      <c r="S360" s="428"/>
      <c r="T360" s="281"/>
      <c r="U360" s="428"/>
      <c r="V360" s="281"/>
      <c r="W360" s="284">
        <f>W163</f>
        <v>4277</v>
      </c>
      <c r="X360" s="281"/>
      <c r="Y360" s="284">
        <f>Y163</f>
        <v>4374</v>
      </c>
      <c r="Z360" s="281"/>
      <c r="AA360" s="284">
        <f>AA163</f>
        <v>4615</v>
      </c>
      <c r="AB360" s="281"/>
      <c r="AC360" s="284">
        <f>AC163</f>
        <v>7093</v>
      </c>
      <c r="AD360" s="281"/>
      <c r="AE360" s="284">
        <f>AE163</f>
        <v>6326</v>
      </c>
      <c r="AF360" s="281"/>
      <c r="AG360" s="284">
        <f>AG163</f>
        <v>3859</v>
      </c>
      <c r="AH360" s="281"/>
      <c r="AI360" s="284">
        <f>AI163</f>
        <v>2460</v>
      </c>
      <c r="AJ360" s="281"/>
      <c r="AK360" s="284">
        <f>AK163</f>
        <v>2244</v>
      </c>
      <c r="AL360" s="281"/>
      <c r="AM360" s="284">
        <f>AM163</f>
        <v>3872</v>
      </c>
      <c r="AN360" s="281"/>
      <c r="AO360" s="284">
        <f>AO163</f>
        <v>2756</v>
      </c>
      <c r="AP360" s="281"/>
      <c r="AQ360" s="284">
        <f>AQ163</f>
        <v>1720</v>
      </c>
      <c r="AR360" s="281"/>
      <c r="AS360" s="284">
        <f>AS163</f>
        <v>3146</v>
      </c>
      <c r="AT360" s="281"/>
      <c r="AU360" s="284">
        <f>AU163</f>
        <v>4115</v>
      </c>
      <c r="AV360" s="281"/>
      <c r="AW360" s="284">
        <f>AW163</f>
        <v>3062</v>
      </c>
      <c r="AX360" s="281"/>
      <c r="AY360" s="284">
        <f>AY163</f>
        <v>2800</v>
      </c>
      <c r="AZ360" s="281"/>
      <c r="BA360" s="284">
        <f>BA163</f>
        <v>2711</v>
      </c>
      <c r="BB360" s="281"/>
      <c r="BC360" s="284">
        <f>BC163</f>
        <v>2093</v>
      </c>
      <c r="BD360" s="281"/>
      <c r="BE360" s="284">
        <f>BE163</f>
        <v>4869</v>
      </c>
      <c r="BF360" s="281"/>
      <c r="BG360" s="284">
        <f>BG163</f>
        <v>3807</v>
      </c>
      <c r="BH360" s="281"/>
      <c r="BI360" s="284">
        <f>BI163</f>
        <v>2299</v>
      </c>
      <c r="BJ360" s="281"/>
      <c r="BK360" s="284">
        <f>BK163</f>
        <v>3535</v>
      </c>
      <c r="BL360" s="281"/>
      <c r="BM360" s="284">
        <f>BM163</f>
        <v>3289</v>
      </c>
      <c r="BN360" s="281"/>
      <c r="BO360" s="284">
        <f>BO163</f>
        <v>2505</v>
      </c>
      <c r="BP360" s="281"/>
      <c r="BQ360" s="284">
        <f>BQ163</f>
        <v>2464</v>
      </c>
      <c r="BR360" s="281"/>
      <c r="BS360" s="284">
        <f>BS163</f>
        <v>1203</v>
      </c>
      <c r="BT360" s="281"/>
      <c r="BU360" s="284">
        <f>BU163</f>
        <v>784</v>
      </c>
      <c r="BV360" s="281"/>
      <c r="BW360" s="284">
        <f>BW163</f>
        <v>362</v>
      </c>
      <c r="BX360" s="281"/>
      <c r="BY360" s="284">
        <f>BY163</f>
        <v>175</v>
      </c>
      <c r="BZ360" s="281"/>
      <c r="CA360" s="284">
        <f>CA163</f>
        <v>0</v>
      </c>
      <c r="CB360" s="281"/>
      <c r="CC360" s="284">
        <f>CC163</f>
        <v>0</v>
      </c>
      <c r="CD360" s="281"/>
      <c r="CE360" s="284">
        <f>CE163</f>
        <v>0</v>
      </c>
      <c r="CF360" s="281"/>
      <c r="CG360" s="284">
        <f>CG163</f>
        <v>0</v>
      </c>
      <c r="CH360" s="281"/>
      <c r="CI360" s="284">
        <f>CI163</f>
        <v>0</v>
      </c>
      <c r="CJ360" s="281"/>
      <c r="CK360" s="284">
        <f>CK163</f>
        <v>1424</v>
      </c>
      <c r="CL360" s="281"/>
      <c r="CM360" s="284">
        <f>CM163</f>
        <v>1828</v>
      </c>
      <c r="CN360" s="281"/>
      <c r="CO360" s="284">
        <f>CO163</f>
        <v>1422</v>
      </c>
      <c r="CP360" s="281"/>
      <c r="CQ360" s="284">
        <f>CQ163</f>
        <v>1772</v>
      </c>
      <c r="CR360" s="281"/>
      <c r="CS360" s="284">
        <f>CS163</f>
        <v>1449</v>
      </c>
      <c r="CT360" s="281"/>
      <c r="CU360" s="284">
        <f>CU163</f>
        <v>1735</v>
      </c>
      <c r="CV360" s="281"/>
      <c r="CW360" s="284">
        <f>CW163</f>
        <v>785</v>
      </c>
      <c r="CX360" s="281"/>
      <c r="CY360" s="284">
        <f>CY163</f>
        <v>1556</v>
      </c>
      <c r="CZ360" s="281"/>
      <c r="DA360" s="284">
        <f>DA163</f>
        <v>1084</v>
      </c>
      <c r="DB360" s="281"/>
      <c r="DC360" s="284">
        <f>DC163</f>
        <v>781</v>
      </c>
      <c r="DD360" s="281"/>
      <c r="DE360" s="284">
        <f>DE163</f>
        <v>852</v>
      </c>
      <c r="DF360" s="281"/>
      <c r="DG360" s="284">
        <f>DG163</f>
        <v>1201</v>
      </c>
      <c r="DH360" s="281"/>
      <c r="DI360" s="284">
        <f>DI163</f>
        <v>783</v>
      </c>
      <c r="DJ360" s="281"/>
      <c r="DK360" s="284">
        <f>DK163</f>
        <v>733</v>
      </c>
      <c r="DL360" s="281"/>
      <c r="DM360" s="284">
        <f>DM163</f>
        <v>838</v>
      </c>
      <c r="DN360" s="281"/>
      <c r="DO360" s="284">
        <f>DO163</f>
        <v>931</v>
      </c>
      <c r="DP360" s="281"/>
      <c r="DQ360" s="284">
        <f>DQ163</f>
        <v>1144</v>
      </c>
      <c r="DR360" s="281"/>
      <c r="DS360" s="284">
        <f>DS163</f>
        <v>1009</v>
      </c>
      <c r="DT360" s="281"/>
      <c r="DU360" s="302"/>
      <c r="DV360" s="302"/>
      <c r="DW360" s="302"/>
      <c r="DX360" s="302"/>
      <c r="DY360" s="302"/>
      <c r="DZ360" s="302"/>
      <c r="EA360" s="302"/>
      <c r="EB360" s="302"/>
      <c r="EC360" s="302"/>
      <c r="ED360" s="302"/>
      <c r="EE360" s="302"/>
      <c r="EF360" s="302"/>
      <c r="EG360" s="302"/>
      <c r="EH360" s="302"/>
      <c r="EI360" s="302"/>
      <c r="EJ360" s="302"/>
      <c r="EK360" s="302"/>
      <c r="EL360" s="302"/>
      <c r="EM360" s="302"/>
      <c r="EN360" s="284">
        <f>EN163</f>
        <v>951</v>
      </c>
      <c r="EO360" s="281"/>
      <c r="EP360" s="284">
        <f>EP163</f>
        <v>728</v>
      </c>
      <c r="EQ360" s="281"/>
      <c r="ER360" s="284">
        <f>ER163</f>
        <v>529</v>
      </c>
      <c r="ES360" s="281"/>
      <c r="ET360" s="284">
        <f>ET163</f>
        <v>848</v>
      </c>
      <c r="EU360" s="281"/>
      <c r="EV360" s="284">
        <f>EV163</f>
        <v>56</v>
      </c>
      <c r="EW360" s="281"/>
      <c r="EX360" s="284">
        <f>EX163</f>
        <v>102</v>
      </c>
      <c r="EY360" s="281"/>
      <c r="EZ360" s="284">
        <f>EZ163</f>
        <v>77</v>
      </c>
      <c r="FA360" s="281"/>
      <c r="FB360" s="284">
        <f>FB163</f>
        <v>7</v>
      </c>
      <c r="FC360" s="281"/>
      <c r="FD360" s="284">
        <f>FD163</f>
        <v>87</v>
      </c>
      <c r="FE360" s="281"/>
      <c r="FF360" s="284">
        <f>FF163</f>
        <v>87</v>
      </c>
      <c r="FG360" s="281"/>
      <c r="FH360" s="284">
        <f>FH163</f>
        <v>0</v>
      </c>
      <c r="FI360" s="281"/>
      <c r="FJ360" s="284">
        <f>FJ163</f>
        <v>309</v>
      </c>
      <c r="FK360" s="281"/>
      <c r="FL360" s="284">
        <f>FL163</f>
        <v>503</v>
      </c>
      <c r="FM360" s="281"/>
      <c r="FN360" s="284">
        <v>405</v>
      </c>
      <c r="FO360" s="281"/>
      <c r="FP360" s="284">
        <v>432</v>
      </c>
      <c r="FQ360" s="281"/>
      <c r="FR360" s="302"/>
      <c r="FS360" s="302"/>
      <c r="FT360" s="302"/>
      <c r="FU360" s="302"/>
      <c r="FV360" s="302"/>
      <c r="FW360" s="302"/>
      <c r="FX360" s="302"/>
      <c r="FY360" s="302"/>
      <c r="FZ360" s="302"/>
      <c r="GA360" s="302"/>
      <c r="GB360" s="302"/>
      <c r="GC360" s="302"/>
      <c r="GD360" s="302"/>
      <c r="GE360" s="302"/>
      <c r="GF360" s="290"/>
      <c r="GG360" s="290"/>
    </row>
    <row r="361" spans="1:189" ht="8.25" customHeight="1" outlineLevel="2" x14ac:dyDescent="0.3">
      <c r="A361" s="1"/>
      <c r="B361" s="18"/>
      <c r="C361" s="18"/>
      <c r="D361" s="18"/>
      <c r="E361" s="18"/>
      <c r="F361" s="18"/>
      <c r="G361" s="3"/>
      <c r="H361" s="3"/>
      <c r="I361" s="19"/>
      <c r="J361" s="20"/>
      <c r="K361" s="19"/>
      <c r="L361" s="20"/>
      <c r="M361" s="19"/>
      <c r="N361" s="20"/>
      <c r="O361" s="19"/>
      <c r="P361" s="20"/>
      <c r="Q361" s="19"/>
      <c r="R361" s="20"/>
      <c r="S361" s="19"/>
      <c r="T361" s="20"/>
      <c r="U361" s="19"/>
      <c r="V361" s="20"/>
      <c r="W361" s="19"/>
      <c r="X361" s="20"/>
      <c r="Y361" s="19"/>
      <c r="Z361" s="20"/>
      <c r="AA361" s="19"/>
      <c r="AB361" s="20"/>
      <c r="AC361" s="19"/>
      <c r="AD361" s="20"/>
      <c r="AE361" s="19"/>
      <c r="AF361" s="20"/>
      <c r="AG361" s="19"/>
      <c r="AH361" s="20"/>
      <c r="AI361" s="19"/>
      <c r="AJ361" s="20"/>
      <c r="AK361" s="19"/>
      <c r="AL361" s="20"/>
      <c r="AM361" s="19"/>
      <c r="AN361" s="20"/>
      <c r="AO361" s="19"/>
      <c r="AP361" s="20"/>
      <c r="AQ361" s="19"/>
      <c r="AR361" s="20"/>
      <c r="AS361" s="19"/>
      <c r="AT361" s="20"/>
      <c r="AU361" s="19"/>
      <c r="AV361" s="20"/>
      <c r="AW361" s="19"/>
      <c r="AX361" s="20"/>
      <c r="AY361" s="19"/>
      <c r="AZ361" s="20"/>
      <c r="BA361" s="19"/>
      <c r="BB361" s="20"/>
      <c r="BC361" s="19"/>
      <c r="BD361" s="20"/>
      <c r="BE361" s="19"/>
      <c r="BF361" s="20"/>
      <c r="BG361" s="19"/>
      <c r="BH361" s="20"/>
      <c r="BI361" s="19"/>
      <c r="BJ361" s="20"/>
      <c r="BK361" s="19"/>
      <c r="BL361" s="20"/>
      <c r="BM361" s="19"/>
      <c r="BN361" s="20"/>
      <c r="BO361" s="19"/>
      <c r="BP361" s="20"/>
      <c r="BQ361" s="19"/>
      <c r="BR361" s="20"/>
      <c r="BS361" s="19"/>
      <c r="BT361" s="20"/>
      <c r="BU361" s="19"/>
      <c r="BV361" s="20"/>
      <c r="BW361" s="19"/>
      <c r="BX361" s="20"/>
      <c r="BY361" s="19"/>
      <c r="BZ361" s="20"/>
      <c r="CA361" s="19"/>
      <c r="CB361" s="20"/>
      <c r="CC361" s="19"/>
      <c r="CD361" s="20"/>
      <c r="CE361" s="19"/>
      <c r="CF361" s="20"/>
      <c r="CG361" s="19"/>
      <c r="CH361" s="20"/>
      <c r="CI361" s="19"/>
      <c r="CJ361" s="20"/>
      <c r="CK361" s="19"/>
      <c r="CL361" s="20"/>
      <c r="CM361" s="19"/>
      <c r="CN361" s="20"/>
      <c r="CO361" s="19"/>
      <c r="CP361" s="20"/>
      <c r="CQ361" s="19"/>
      <c r="CR361" s="20"/>
      <c r="CS361" s="19"/>
      <c r="CT361" s="20"/>
      <c r="CU361" s="19"/>
      <c r="CV361" s="20"/>
      <c r="CW361" s="19"/>
      <c r="CX361" s="20"/>
      <c r="CY361" s="19"/>
      <c r="CZ361" s="20"/>
      <c r="DA361" s="19"/>
      <c r="DB361" s="20"/>
      <c r="DC361" s="19"/>
      <c r="DD361" s="20"/>
      <c r="DE361" s="19"/>
      <c r="DF361" s="20"/>
      <c r="DG361" s="19"/>
      <c r="DH361" s="20"/>
      <c r="DI361" s="19"/>
      <c r="DJ361" s="20"/>
      <c r="DK361" s="19"/>
      <c r="DL361" s="20"/>
      <c r="DM361" s="19"/>
      <c r="DN361" s="20"/>
      <c r="DO361" s="19"/>
      <c r="DP361" s="20"/>
      <c r="DQ361" s="19"/>
      <c r="DR361" s="20"/>
      <c r="DS361" s="19"/>
      <c r="DT361" s="20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19"/>
      <c r="EO361" s="20"/>
      <c r="EP361" s="19"/>
      <c r="EQ361" s="20"/>
      <c r="ER361" s="19"/>
      <c r="ES361" s="20"/>
      <c r="ET361" s="19"/>
      <c r="EU361" s="20"/>
      <c r="EV361" s="19"/>
      <c r="EW361" s="20"/>
      <c r="EX361" s="19"/>
      <c r="EY361" s="20"/>
      <c r="EZ361" s="19"/>
      <c r="FA361" s="20"/>
      <c r="FB361" s="19"/>
      <c r="FC361" s="20"/>
      <c r="FD361" s="19"/>
      <c r="FE361" s="20"/>
      <c r="FF361" s="19"/>
      <c r="FG361" s="20"/>
      <c r="FH361" s="19"/>
      <c r="FI361" s="20"/>
      <c r="FJ361" s="19"/>
      <c r="FK361" s="20"/>
      <c r="FL361" s="19"/>
      <c r="FM361" s="20"/>
      <c r="FN361" s="19"/>
      <c r="FO361" s="20"/>
      <c r="FP361" s="19"/>
      <c r="FQ361" s="20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</row>
    <row r="362" spans="1:189" ht="15" customHeight="1" outlineLevel="1" x14ac:dyDescent="0.3">
      <c r="A362" s="63"/>
      <c r="B362" s="313" t="s">
        <v>265</v>
      </c>
      <c r="C362" s="313" t="s">
        <v>80</v>
      </c>
      <c r="D362" s="313" t="s">
        <v>96</v>
      </c>
      <c r="E362" s="313" t="s">
        <v>257</v>
      </c>
      <c r="F362" s="313" t="s">
        <v>27</v>
      </c>
      <c r="G362" s="5" t="s">
        <v>28</v>
      </c>
      <c r="H362" s="5"/>
      <c r="I362" s="327">
        <v>0.75</v>
      </c>
      <c r="J362" s="281"/>
      <c r="K362" s="463" t="s">
        <v>263</v>
      </c>
      <c r="L362" s="281"/>
      <c r="M362" s="427"/>
      <c r="N362" s="281"/>
      <c r="O362" s="427"/>
      <c r="P362" s="281"/>
      <c r="Q362" s="327">
        <v>0.75</v>
      </c>
      <c r="R362" s="281"/>
      <c r="S362" s="327">
        <v>0.75</v>
      </c>
      <c r="T362" s="281"/>
      <c r="U362" s="327">
        <v>0.75</v>
      </c>
      <c r="V362" s="281"/>
      <c r="W362" s="327">
        <v>0.75</v>
      </c>
      <c r="X362" s="281"/>
      <c r="Y362" s="327">
        <v>0.75</v>
      </c>
      <c r="Z362" s="281"/>
      <c r="AA362" s="327">
        <v>0.75</v>
      </c>
      <c r="AB362" s="281"/>
      <c r="AC362" s="327">
        <v>0.75</v>
      </c>
      <c r="AD362" s="281"/>
      <c r="AE362" s="327">
        <v>0.75</v>
      </c>
      <c r="AF362" s="281"/>
      <c r="AG362" s="327">
        <v>0.75</v>
      </c>
      <c r="AH362" s="281"/>
      <c r="AI362" s="327">
        <v>0.75</v>
      </c>
      <c r="AJ362" s="281"/>
      <c r="AK362" s="327">
        <v>0.75</v>
      </c>
      <c r="AL362" s="281"/>
      <c r="AM362" s="327">
        <v>0.75</v>
      </c>
      <c r="AN362" s="281"/>
      <c r="AO362" s="427">
        <v>0.75</v>
      </c>
      <c r="AP362" s="281"/>
      <c r="AQ362" s="427">
        <v>0.75</v>
      </c>
      <c r="AR362" s="281"/>
      <c r="AS362" s="427">
        <v>0.75</v>
      </c>
      <c r="AT362" s="281"/>
      <c r="AU362" s="327">
        <v>0.75</v>
      </c>
      <c r="AV362" s="281"/>
      <c r="AW362" s="327">
        <v>0.75</v>
      </c>
      <c r="AX362" s="281"/>
      <c r="AY362" s="327">
        <v>0.75</v>
      </c>
      <c r="AZ362" s="281"/>
      <c r="BA362" s="327">
        <v>0.75</v>
      </c>
      <c r="BB362" s="281"/>
      <c r="BC362" s="327">
        <v>0.75</v>
      </c>
      <c r="BD362" s="281"/>
      <c r="BE362" s="327">
        <v>0.75</v>
      </c>
      <c r="BF362" s="281"/>
      <c r="BG362" s="327">
        <v>0.75</v>
      </c>
      <c r="BH362" s="281"/>
      <c r="BI362" s="327">
        <v>0.75</v>
      </c>
      <c r="BJ362" s="281"/>
      <c r="BK362" s="327">
        <v>0.75</v>
      </c>
      <c r="BL362" s="281"/>
      <c r="BM362" s="327">
        <v>0.75</v>
      </c>
      <c r="BN362" s="281"/>
      <c r="BO362" s="327">
        <v>0.75</v>
      </c>
      <c r="BP362" s="281"/>
      <c r="BQ362" s="327">
        <v>0.75</v>
      </c>
      <c r="BR362" s="281"/>
      <c r="BS362" s="327">
        <v>0.75</v>
      </c>
      <c r="BT362" s="281"/>
      <c r="BU362" s="327">
        <v>0.75</v>
      </c>
      <c r="BV362" s="281"/>
      <c r="BW362" s="327">
        <v>0.75</v>
      </c>
      <c r="BX362" s="281"/>
      <c r="BY362" s="327">
        <v>0.75</v>
      </c>
      <c r="BZ362" s="281"/>
      <c r="CA362" s="327">
        <v>0.75</v>
      </c>
      <c r="CB362" s="281"/>
      <c r="CC362" s="327">
        <v>0.75</v>
      </c>
      <c r="CD362" s="281"/>
      <c r="CE362" s="327">
        <v>0.75</v>
      </c>
      <c r="CF362" s="281"/>
      <c r="CG362" s="327">
        <v>0.75</v>
      </c>
      <c r="CH362" s="281"/>
      <c r="CI362" s="327">
        <v>0.75</v>
      </c>
      <c r="CJ362" s="281"/>
      <c r="CK362" s="327">
        <v>0.75</v>
      </c>
      <c r="CL362" s="281"/>
      <c r="CM362" s="327">
        <v>0.75</v>
      </c>
      <c r="CN362" s="281"/>
      <c r="CO362" s="327">
        <v>0.75</v>
      </c>
      <c r="CP362" s="281"/>
      <c r="CQ362" s="327">
        <v>0.75</v>
      </c>
      <c r="CR362" s="281"/>
      <c r="CS362" s="327">
        <v>0.75</v>
      </c>
      <c r="CT362" s="281"/>
      <c r="CU362" s="327">
        <v>0.75</v>
      </c>
      <c r="CV362" s="281"/>
      <c r="CW362" s="327">
        <v>0.75</v>
      </c>
      <c r="CX362" s="281"/>
      <c r="CY362" s="327">
        <v>0.75</v>
      </c>
      <c r="CZ362" s="281"/>
      <c r="DA362" s="327">
        <v>0.75</v>
      </c>
      <c r="DB362" s="281"/>
      <c r="DC362" s="327">
        <v>0.75</v>
      </c>
      <c r="DD362" s="281"/>
      <c r="DE362" s="327">
        <v>0.75</v>
      </c>
      <c r="DF362" s="281"/>
      <c r="DG362" s="327">
        <v>0.75</v>
      </c>
      <c r="DH362" s="281"/>
      <c r="DI362" s="327">
        <v>0.75</v>
      </c>
      <c r="DJ362" s="281"/>
      <c r="DK362" s="327">
        <v>0.75</v>
      </c>
      <c r="DL362" s="281"/>
      <c r="DM362" s="327">
        <v>0.75</v>
      </c>
      <c r="DN362" s="281"/>
      <c r="DO362" s="327">
        <v>0.75</v>
      </c>
      <c r="DP362" s="281"/>
      <c r="DQ362" s="327">
        <v>0.75</v>
      </c>
      <c r="DR362" s="281"/>
      <c r="DS362" s="327">
        <v>0.75</v>
      </c>
      <c r="DT362" s="281"/>
      <c r="DU362" s="319" t="s">
        <v>29</v>
      </c>
      <c r="DV362" s="319" t="s">
        <v>29</v>
      </c>
      <c r="DW362" s="319" t="s">
        <v>29</v>
      </c>
      <c r="DX362" s="319" t="s">
        <v>29</v>
      </c>
      <c r="DY362" s="319" t="s">
        <v>29</v>
      </c>
      <c r="DZ362" s="319" t="s">
        <v>29</v>
      </c>
      <c r="EA362" s="319" t="s">
        <v>29</v>
      </c>
      <c r="EB362" s="319" t="s">
        <v>29</v>
      </c>
      <c r="EC362" s="319" t="s">
        <v>29</v>
      </c>
      <c r="ED362" s="319" t="s">
        <v>29</v>
      </c>
      <c r="EE362" s="319" t="s">
        <v>29</v>
      </c>
      <c r="EF362" s="319" t="s">
        <v>29</v>
      </c>
      <c r="EG362" s="319" t="s">
        <v>29</v>
      </c>
      <c r="EH362" s="319" t="s">
        <v>29</v>
      </c>
      <c r="EI362" s="319" t="s">
        <v>29</v>
      </c>
      <c r="EJ362" s="319" t="s">
        <v>29</v>
      </c>
      <c r="EK362" s="319"/>
      <c r="EL362" s="319"/>
      <c r="EM362" s="319"/>
      <c r="EN362" s="327">
        <v>0.75</v>
      </c>
      <c r="EO362" s="281"/>
      <c r="EP362" s="327">
        <v>0.75</v>
      </c>
      <c r="EQ362" s="281"/>
      <c r="ER362" s="327">
        <v>0.75</v>
      </c>
      <c r="ES362" s="281"/>
      <c r="ET362" s="327">
        <v>0.75</v>
      </c>
      <c r="EU362" s="281"/>
      <c r="EV362" s="327">
        <v>0.75</v>
      </c>
      <c r="EW362" s="281"/>
      <c r="EX362" s="327">
        <v>0.75</v>
      </c>
      <c r="EY362" s="281"/>
      <c r="EZ362" s="327">
        <v>0.75</v>
      </c>
      <c r="FA362" s="281"/>
      <c r="FB362" s="327">
        <v>0.75</v>
      </c>
      <c r="FC362" s="281"/>
      <c r="FD362" s="327">
        <v>0.75</v>
      </c>
      <c r="FE362" s="281"/>
      <c r="FF362" s="327">
        <v>0.75</v>
      </c>
      <c r="FG362" s="281"/>
      <c r="FH362" s="327">
        <v>0.75</v>
      </c>
      <c r="FI362" s="281"/>
      <c r="FJ362" s="327">
        <v>0.75</v>
      </c>
      <c r="FK362" s="281"/>
      <c r="FL362" s="327">
        <v>0.75</v>
      </c>
      <c r="FM362" s="281"/>
      <c r="FN362" s="327">
        <v>0.75</v>
      </c>
      <c r="FO362" s="281"/>
      <c r="FP362" s="327">
        <v>0.75</v>
      </c>
      <c r="FQ362" s="281"/>
      <c r="FR362" s="319" t="s">
        <v>29</v>
      </c>
      <c r="FS362" s="319" t="s">
        <v>29</v>
      </c>
      <c r="FT362" s="319" t="s">
        <v>29</v>
      </c>
      <c r="FU362" s="319" t="s">
        <v>29</v>
      </c>
      <c r="FV362" s="319" t="s">
        <v>29</v>
      </c>
      <c r="FW362" s="319" t="s">
        <v>29</v>
      </c>
      <c r="FX362" s="319" t="s">
        <v>29</v>
      </c>
      <c r="FY362" s="319" t="s">
        <v>29</v>
      </c>
      <c r="FZ362" s="319" t="s">
        <v>29</v>
      </c>
      <c r="GA362" s="319" t="s">
        <v>29</v>
      </c>
      <c r="GB362" s="319" t="s">
        <v>29</v>
      </c>
      <c r="GC362" s="319" t="s">
        <v>29</v>
      </c>
      <c r="GD362" s="319" t="s">
        <v>29</v>
      </c>
      <c r="GE362" s="319" t="s">
        <v>29</v>
      </c>
      <c r="GF362" s="319"/>
      <c r="GG362" s="319"/>
    </row>
    <row r="363" spans="1:189" ht="4.5" customHeight="1" outlineLevel="1" x14ac:dyDescent="0.3">
      <c r="A363" s="1"/>
      <c r="B363" s="301"/>
      <c r="C363" s="301"/>
      <c r="D363" s="301"/>
      <c r="E363" s="301"/>
      <c r="F363" s="301"/>
      <c r="G363" s="5"/>
      <c r="H363" s="5"/>
      <c r="I363" s="282"/>
      <c r="J363" s="281"/>
      <c r="K363" s="428"/>
      <c r="L363" s="281"/>
      <c r="M363" s="428"/>
      <c r="N363" s="281"/>
      <c r="O363" s="428"/>
      <c r="P363" s="281"/>
      <c r="Q363" s="282"/>
      <c r="R363" s="281"/>
      <c r="S363" s="282"/>
      <c r="T363" s="281"/>
      <c r="U363" s="282"/>
      <c r="V363" s="281"/>
      <c r="W363" s="282"/>
      <c r="X363" s="281"/>
      <c r="Y363" s="282"/>
      <c r="Z363" s="281"/>
      <c r="AA363" s="282"/>
      <c r="AB363" s="281"/>
      <c r="AC363" s="282"/>
      <c r="AD363" s="281"/>
      <c r="AE363" s="282"/>
      <c r="AF363" s="281"/>
      <c r="AG363" s="282"/>
      <c r="AH363" s="281"/>
      <c r="AI363" s="328"/>
      <c r="AJ363" s="281"/>
      <c r="AK363" s="328"/>
      <c r="AL363" s="281"/>
      <c r="AM363" s="282"/>
      <c r="AN363" s="281"/>
      <c r="AO363" s="462"/>
      <c r="AP363" s="281"/>
      <c r="AQ363" s="462"/>
      <c r="AR363" s="281"/>
      <c r="AS363" s="462"/>
      <c r="AT363" s="281"/>
      <c r="AU363" s="282"/>
      <c r="AV363" s="281"/>
      <c r="AW363" s="328"/>
      <c r="AX363" s="281"/>
      <c r="AY363" s="282"/>
      <c r="AZ363" s="281"/>
      <c r="BA363" s="328"/>
      <c r="BB363" s="281"/>
      <c r="BC363" s="282"/>
      <c r="BD363" s="281"/>
      <c r="BE363" s="282"/>
      <c r="BF363" s="281"/>
      <c r="BG363" s="282"/>
      <c r="BH363" s="281"/>
      <c r="BI363" s="282"/>
      <c r="BJ363" s="281"/>
      <c r="BK363" s="282"/>
      <c r="BL363" s="281"/>
      <c r="BM363" s="328"/>
      <c r="BN363" s="281"/>
      <c r="BO363" s="328"/>
      <c r="BP363" s="281"/>
      <c r="BQ363" s="328"/>
      <c r="BR363" s="281"/>
      <c r="BS363" s="328"/>
      <c r="BT363" s="281"/>
      <c r="BU363" s="328"/>
      <c r="BV363" s="281"/>
      <c r="BW363" s="328"/>
      <c r="BX363" s="281"/>
      <c r="BY363" s="328"/>
      <c r="BZ363" s="281"/>
      <c r="CA363" s="328"/>
      <c r="CB363" s="281"/>
      <c r="CC363" s="328"/>
      <c r="CD363" s="281"/>
      <c r="CE363" s="328"/>
      <c r="CF363" s="281"/>
      <c r="CG363" s="282"/>
      <c r="CH363" s="281"/>
      <c r="CI363" s="282"/>
      <c r="CJ363" s="281"/>
      <c r="CK363" s="328"/>
      <c r="CL363" s="281"/>
      <c r="CM363" s="282"/>
      <c r="CN363" s="281"/>
      <c r="CO363" s="282"/>
      <c r="CP363" s="281"/>
      <c r="CQ363" s="328"/>
      <c r="CR363" s="281"/>
      <c r="CS363" s="282"/>
      <c r="CT363" s="281"/>
      <c r="CU363" s="282"/>
      <c r="CV363" s="281"/>
      <c r="CW363" s="282"/>
      <c r="CX363" s="281"/>
      <c r="CY363" s="282"/>
      <c r="CZ363" s="281"/>
      <c r="DA363" s="282"/>
      <c r="DB363" s="281"/>
      <c r="DC363" s="282"/>
      <c r="DD363" s="281"/>
      <c r="DE363" s="282"/>
      <c r="DF363" s="281"/>
      <c r="DG363" s="282"/>
      <c r="DH363" s="281"/>
      <c r="DI363" s="282"/>
      <c r="DJ363" s="281"/>
      <c r="DK363" s="282"/>
      <c r="DL363" s="281"/>
      <c r="DM363" s="282"/>
      <c r="DN363" s="281"/>
      <c r="DO363" s="282"/>
      <c r="DP363" s="281"/>
      <c r="DQ363" s="282"/>
      <c r="DR363" s="281"/>
      <c r="DS363" s="387"/>
      <c r="DT363" s="281"/>
      <c r="DU363" s="301"/>
      <c r="DV363" s="301"/>
      <c r="DW363" s="301"/>
      <c r="DX363" s="301"/>
      <c r="DY363" s="301"/>
      <c r="DZ363" s="301"/>
      <c r="EA363" s="301"/>
      <c r="EB363" s="301"/>
      <c r="EC363" s="301"/>
      <c r="ED363" s="301"/>
      <c r="EE363" s="301"/>
      <c r="EF363" s="301"/>
      <c r="EG363" s="301"/>
      <c r="EH363" s="301"/>
      <c r="EI363" s="301"/>
      <c r="EJ363" s="301"/>
      <c r="EK363" s="301"/>
      <c r="EL363" s="301"/>
      <c r="EM363" s="301"/>
      <c r="EN363" s="387"/>
      <c r="EO363" s="281"/>
      <c r="EP363" s="387"/>
      <c r="EQ363" s="281"/>
      <c r="ER363" s="387"/>
      <c r="ES363" s="281"/>
      <c r="ET363" s="387"/>
      <c r="EU363" s="281"/>
      <c r="EV363" s="387"/>
      <c r="EW363" s="281"/>
      <c r="EX363" s="387"/>
      <c r="EY363" s="281"/>
      <c r="EZ363" s="387"/>
      <c r="FA363" s="281"/>
      <c r="FB363" s="387"/>
      <c r="FC363" s="281"/>
      <c r="FD363" s="387"/>
      <c r="FE363" s="281"/>
      <c r="FF363" s="282"/>
      <c r="FG363" s="281"/>
      <c r="FH363" s="387"/>
      <c r="FI363" s="281"/>
      <c r="FJ363" s="387"/>
      <c r="FK363" s="281"/>
      <c r="FL363" s="387"/>
      <c r="FM363" s="281"/>
      <c r="FN363" s="282"/>
      <c r="FO363" s="281"/>
      <c r="FP363" s="387"/>
      <c r="FQ363" s="281"/>
      <c r="FR363" s="301"/>
      <c r="FS363" s="301"/>
      <c r="FT363" s="301"/>
      <c r="FU363" s="301"/>
      <c r="FV363" s="301"/>
      <c r="FW363" s="301"/>
      <c r="FX363" s="301"/>
      <c r="FY363" s="320"/>
      <c r="FZ363" s="320"/>
      <c r="GA363" s="320"/>
      <c r="GB363" s="320"/>
      <c r="GC363" s="320"/>
      <c r="GD363" s="320"/>
      <c r="GE363" s="320"/>
      <c r="GF363" s="320"/>
      <c r="GG363" s="320"/>
    </row>
    <row r="364" spans="1:189" ht="15" customHeight="1" outlineLevel="1" x14ac:dyDescent="0.3">
      <c r="A364" s="1"/>
      <c r="B364" s="301"/>
      <c r="C364" s="301"/>
      <c r="D364" s="301"/>
      <c r="E364" s="301"/>
      <c r="F364" s="301"/>
      <c r="G364" s="5" t="s">
        <v>30</v>
      </c>
      <c r="H364" s="5"/>
      <c r="I364" s="327">
        <f>AVERAGE(K364:AH364)</f>
        <v>0.66661111111111127</v>
      </c>
      <c r="J364" s="281"/>
      <c r="K364" s="429"/>
      <c r="L364" s="281"/>
      <c r="M364" s="429"/>
      <c r="N364" s="281"/>
      <c r="O364" s="429"/>
      <c r="P364" s="281"/>
      <c r="Q364" s="283">
        <v>0.67</v>
      </c>
      <c r="R364" s="281"/>
      <c r="S364" s="283">
        <v>0.66</v>
      </c>
      <c r="T364" s="281"/>
      <c r="U364" s="283">
        <v>0.66</v>
      </c>
      <c r="V364" s="281"/>
      <c r="W364" s="283">
        <v>0.74</v>
      </c>
      <c r="X364" s="281"/>
      <c r="Y364" s="283">
        <v>0.71</v>
      </c>
      <c r="Z364" s="281"/>
      <c r="AA364" s="283">
        <v>0.62</v>
      </c>
      <c r="AB364" s="281"/>
      <c r="AC364" s="283">
        <v>0.65</v>
      </c>
      <c r="AD364" s="281"/>
      <c r="AE364" s="283">
        <v>0.61</v>
      </c>
      <c r="AF364" s="281"/>
      <c r="AG364" s="283">
        <v>0.67949999999999999</v>
      </c>
      <c r="AH364" s="281"/>
      <c r="AI364" s="283">
        <v>0.76</v>
      </c>
      <c r="AJ364" s="281"/>
      <c r="AK364" s="283">
        <v>0.748</v>
      </c>
      <c r="AL364" s="281"/>
      <c r="AM364" s="339">
        <f>AM365/AM367</f>
        <v>0.70909090909090911</v>
      </c>
      <c r="AN364" s="281"/>
      <c r="AO364" s="429"/>
      <c r="AP364" s="281"/>
      <c r="AQ364" s="429"/>
      <c r="AR364" s="281"/>
      <c r="AS364" s="429">
        <f>AS365/AS366</f>
        <v>1</v>
      </c>
      <c r="AT364" s="281"/>
      <c r="AU364" s="339">
        <f>AU365/AU366</f>
        <v>0.68292682926829273</v>
      </c>
      <c r="AV364" s="281"/>
      <c r="AW364" s="339">
        <f>AW365/AW366</f>
        <v>0.75</v>
      </c>
      <c r="AX364" s="281"/>
      <c r="AY364" s="283">
        <f>AY365/AY366</f>
        <v>0.73134328358208955</v>
      </c>
      <c r="AZ364" s="281"/>
      <c r="BA364" s="283">
        <f>BA365/BA366</f>
        <v>0.77358490566037741</v>
      </c>
      <c r="BB364" s="281"/>
      <c r="BC364" s="283">
        <f>BC365/BC366</f>
        <v>0.73134328358208955</v>
      </c>
      <c r="BD364" s="281"/>
      <c r="BE364" s="283">
        <f>BE365/BE366</f>
        <v>0.65789473684210531</v>
      </c>
      <c r="BF364" s="281"/>
      <c r="BG364" s="283">
        <f>BG365/BG366</f>
        <v>0.70833333333333337</v>
      </c>
      <c r="BH364" s="281"/>
      <c r="BI364" s="283">
        <f>BI365/BI366</f>
        <v>0.64102564102564108</v>
      </c>
      <c r="BJ364" s="281"/>
      <c r="BK364" s="283">
        <f>BK365/BK366</f>
        <v>0.73529411764705888</v>
      </c>
      <c r="BL364" s="281"/>
      <c r="BM364" s="283">
        <f>BM365/BM366</f>
        <v>0.8</v>
      </c>
      <c r="BN364" s="281"/>
      <c r="BO364" s="283">
        <f>BO365/BO366</f>
        <v>0.95833333333333337</v>
      </c>
      <c r="BP364" s="281"/>
      <c r="BQ364" s="283">
        <f>BQ365/BQ366</f>
        <v>0.7857142857142857</v>
      </c>
      <c r="BR364" s="281"/>
      <c r="BS364" s="283">
        <f>BS365/BS366</f>
        <v>0.8035714285714286</v>
      </c>
      <c r="BT364" s="281"/>
      <c r="BU364" s="283">
        <f>BU365/BU366</f>
        <v>0.89915966386554624</v>
      </c>
      <c r="BV364" s="281"/>
      <c r="BW364" s="283">
        <f>BW365/BW366</f>
        <v>0.92682926829268297</v>
      </c>
      <c r="BX364" s="281"/>
      <c r="BY364" s="283">
        <f>BY365/BY366</f>
        <v>0.90298507462686572</v>
      </c>
      <c r="BZ364" s="281"/>
      <c r="CA364" s="283">
        <f>CA365/CA366</f>
        <v>0.84444444444444444</v>
      </c>
      <c r="CB364" s="281"/>
      <c r="CC364" s="283">
        <f>CC365/CC366</f>
        <v>0.81034482758620685</v>
      </c>
      <c r="CD364" s="281"/>
      <c r="CE364" s="283">
        <f>CE365/CE366</f>
        <v>0.92307692307692313</v>
      </c>
      <c r="CF364" s="281"/>
      <c r="CG364" s="283">
        <f>CG365/CG366</f>
        <v>0.66285998013902681</v>
      </c>
      <c r="CH364" s="281"/>
      <c r="CI364" s="283">
        <f>CI365/CI366</f>
        <v>0.69666329625884738</v>
      </c>
      <c r="CJ364" s="281"/>
      <c r="CK364" s="283">
        <f>CK365/CK366</f>
        <v>0.78266494178525226</v>
      </c>
      <c r="CL364" s="281"/>
      <c r="CM364" s="283">
        <f>CM365/CM366</f>
        <v>0.72039942938659063</v>
      </c>
      <c r="CN364" s="281"/>
      <c r="CO364" s="283">
        <f>CO365/CO366</f>
        <v>0.72939560439560436</v>
      </c>
      <c r="CP364" s="281"/>
      <c r="CQ364" s="283">
        <f>CQ365/CQ366</f>
        <v>0.74978503869303526</v>
      </c>
      <c r="CR364" s="281"/>
      <c r="CS364" s="283">
        <f>CS365/CS366</f>
        <v>0.68200549450549453</v>
      </c>
      <c r="CT364" s="281"/>
      <c r="CU364" s="283">
        <f>CU365/CU366</f>
        <v>0.69652777777777775</v>
      </c>
      <c r="CV364" s="281"/>
      <c r="CW364" s="283">
        <f>CW365/CW366</f>
        <v>0.68905191873589167</v>
      </c>
      <c r="CX364" s="281"/>
      <c r="CY364" s="283">
        <f>CY365/CY366</f>
        <v>0.69626769626769625</v>
      </c>
      <c r="CZ364" s="281"/>
      <c r="DA364" s="283">
        <f>DA365/DA366</f>
        <v>0.72704507512520866</v>
      </c>
      <c r="DB364" s="281"/>
      <c r="DC364" s="283">
        <f>DC365/DC366</f>
        <v>0.70631290027447391</v>
      </c>
      <c r="DD364" s="281"/>
      <c r="DE364" s="283">
        <f>DE365/DE366</f>
        <v>0.68529411764705883</v>
      </c>
      <c r="DF364" s="281"/>
      <c r="DG364" s="283">
        <f>DG365/DG366</f>
        <v>0.67672131147540981</v>
      </c>
      <c r="DH364" s="281"/>
      <c r="DI364" s="283">
        <f>DI365/DI366</f>
        <v>0.75176589303733599</v>
      </c>
      <c r="DJ364" s="281"/>
      <c r="DK364" s="283">
        <f>DK365/DK366</f>
        <v>0.72820236813778261</v>
      </c>
      <c r="DL364" s="281"/>
      <c r="DM364" s="283">
        <f>DM365/DM366</f>
        <v>0.72721311475409833</v>
      </c>
      <c r="DN364" s="281"/>
      <c r="DO364" s="283">
        <f>DO365/DO366</f>
        <v>0.6943359375</v>
      </c>
      <c r="DP364" s="281"/>
      <c r="DQ364" s="283">
        <f>DQ365/DQ366</f>
        <v>0.72200158856235108</v>
      </c>
      <c r="DR364" s="281"/>
      <c r="DS364" s="283">
        <f>DS365/DS366</f>
        <v>0.79177377892030854</v>
      </c>
      <c r="DT364" s="281"/>
      <c r="DU364" s="301"/>
      <c r="DV364" s="301"/>
      <c r="DW364" s="301"/>
      <c r="DX364" s="301"/>
      <c r="DY364" s="301"/>
      <c r="DZ364" s="301"/>
      <c r="EA364" s="301"/>
      <c r="EB364" s="301"/>
      <c r="EC364" s="301"/>
      <c r="ED364" s="301"/>
      <c r="EE364" s="301"/>
      <c r="EF364" s="301"/>
      <c r="EG364" s="301"/>
      <c r="EH364" s="301"/>
      <c r="EI364" s="301"/>
      <c r="EJ364" s="301"/>
      <c r="EK364" s="301"/>
      <c r="EL364" s="301"/>
      <c r="EM364" s="301"/>
      <c r="EN364" s="283">
        <f>EN365/EN366</f>
        <v>0.79112271540469969</v>
      </c>
      <c r="EO364" s="281"/>
      <c r="EP364" s="283">
        <f>EP365/EP366</f>
        <v>0.79484902309058614</v>
      </c>
      <c r="EQ364" s="281"/>
      <c r="ER364" s="283">
        <f>ER365/ER366</f>
        <v>0.79900497512437807</v>
      </c>
      <c r="ES364" s="281"/>
      <c r="ET364" s="283">
        <f>ET365/ET366</f>
        <v>0.77065767284991571</v>
      </c>
      <c r="EU364" s="281"/>
      <c r="EV364" s="283">
        <f>EV365/EV366</f>
        <v>0.78800856531049246</v>
      </c>
      <c r="EW364" s="281"/>
      <c r="EX364" s="283">
        <f>EX365/EX366</f>
        <v>0.7894321766561514</v>
      </c>
      <c r="EY364" s="281"/>
      <c r="EZ364" s="283">
        <f>EZ365/EZ366</f>
        <v>0.79866765358993341</v>
      </c>
      <c r="FA364" s="281"/>
      <c r="FB364" s="283">
        <f>FB365/FB366</f>
        <v>0.7855655794587092</v>
      </c>
      <c r="FC364" s="281"/>
      <c r="FD364" s="283">
        <f>FD365/FD366</f>
        <v>0.7976653696498055</v>
      </c>
      <c r="FE364" s="281"/>
      <c r="FF364" s="283">
        <f>FF365/FF366</f>
        <v>0.64368600682593857</v>
      </c>
      <c r="FG364" s="281"/>
      <c r="FH364" s="283">
        <f>FH365/FH366</f>
        <v>0.77553675992192583</v>
      </c>
      <c r="FI364" s="281"/>
      <c r="FJ364" s="283">
        <f>FJ365/FJ366</f>
        <v>0.78422053231939159</v>
      </c>
      <c r="FK364" s="281"/>
      <c r="FL364" s="283">
        <f>FL365/FL366</f>
        <v>0.80084745762711862</v>
      </c>
      <c r="FM364" s="281"/>
      <c r="FN364" s="283">
        <f>FN365/FN366</f>
        <v>0.73464373464373467</v>
      </c>
      <c r="FO364" s="281"/>
      <c r="FP364" s="327">
        <f>FP365/FP366</f>
        <v>0.83870967741935487</v>
      </c>
      <c r="FQ364" s="329"/>
      <c r="FR364" s="301"/>
      <c r="FS364" s="301"/>
      <c r="FT364" s="301"/>
      <c r="FU364" s="301"/>
      <c r="FV364" s="301"/>
      <c r="FW364" s="301"/>
      <c r="FX364" s="301"/>
      <c r="FY364" s="320"/>
      <c r="FZ364" s="320"/>
      <c r="GA364" s="320"/>
      <c r="GB364" s="320"/>
      <c r="GC364" s="320"/>
      <c r="GD364" s="320"/>
      <c r="GE364" s="320"/>
      <c r="GF364" s="320"/>
      <c r="GG364" s="320"/>
    </row>
    <row r="365" spans="1:189" ht="15" customHeight="1" outlineLevel="1" x14ac:dyDescent="0.3">
      <c r="A365" s="1"/>
      <c r="B365" s="301"/>
      <c r="C365" s="301"/>
      <c r="D365" s="301"/>
      <c r="E365" s="301"/>
      <c r="F365" s="301"/>
      <c r="G365" s="5" t="s">
        <v>255</v>
      </c>
      <c r="H365" s="5"/>
      <c r="I365" s="284">
        <f>SUM(K365:AH365)</f>
        <v>3699</v>
      </c>
      <c r="J365" s="281"/>
      <c r="K365" s="428"/>
      <c r="L365" s="281"/>
      <c r="M365" s="428"/>
      <c r="N365" s="281"/>
      <c r="O365" s="428"/>
      <c r="P365" s="281"/>
      <c r="Q365" s="284">
        <v>409</v>
      </c>
      <c r="R365" s="281"/>
      <c r="S365" s="284">
        <v>635</v>
      </c>
      <c r="T365" s="281"/>
      <c r="U365" s="284">
        <v>609</v>
      </c>
      <c r="V365" s="281"/>
      <c r="W365" s="284">
        <v>624</v>
      </c>
      <c r="X365" s="281"/>
      <c r="Y365" s="284">
        <v>472</v>
      </c>
      <c r="Z365" s="281"/>
      <c r="AA365" s="284">
        <v>346</v>
      </c>
      <c r="AB365" s="281"/>
      <c r="AC365" s="284">
        <v>308</v>
      </c>
      <c r="AD365" s="281"/>
      <c r="AE365" s="284">
        <v>218</v>
      </c>
      <c r="AF365" s="281"/>
      <c r="AG365" s="284">
        <v>78</v>
      </c>
      <c r="AH365" s="281"/>
      <c r="AI365" s="284">
        <v>71</v>
      </c>
      <c r="AJ365" s="281"/>
      <c r="AK365" s="284">
        <v>86</v>
      </c>
      <c r="AL365" s="281"/>
      <c r="AM365" s="335">
        <v>39</v>
      </c>
      <c r="AN365" s="281"/>
      <c r="AO365" s="428"/>
      <c r="AP365" s="281"/>
      <c r="AQ365" s="428"/>
      <c r="AR365" s="281"/>
      <c r="AS365" s="428">
        <v>2</v>
      </c>
      <c r="AT365" s="281"/>
      <c r="AU365" s="284">
        <v>28</v>
      </c>
      <c r="AV365" s="281"/>
      <c r="AW365" s="284">
        <v>30</v>
      </c>
      <c r="AX365" s="281"/>
      <c r="AY365" s="284">
        <v>49</v>
      </c>
      <c r="AZ365" s="281"/>
      <c r="BA365" s="284">
        <v>41</v>
      </c>
      <c r="BB365" s="281"/>
      <c r="BC365" s="284">
        <v>49</v>
      </c>
      <c r="BD365" s="281"/>
      <c r="BE365" s="284">
        <v>25</v>
      </c>
      <c r="BF365" s="281"/>
      <c r="BG365" s="284">
        <v>17</v>
      </c>
      <c r="BH365" s="281"/>
      <c r="BI365" s="284">
        <v>25</v>
      </c>
      <c r="BJ365" s="281"/>
      <c r="BK365" s="284">
        <v>25</v>
      </c>
      <c r="BL365" s="281"/>
      <c r="BM365" s="284">
        <v>20</v>
      </c>
      <c r="BN365" s="281"/>
      <c r="BO365" s="284">
        <v>23</v>
      </c>
      <c r="BP365" s="281"/>
      <c r="BQ365" s="284">
        <v>22</v>
      </c>
      <c r="BR365" s="281"/>
      <c r="BS365" s="284">
        <v>45</v>
      </c>
      <c r="BT365" s="281"/>
      <c r="BU365" s="284">
        <v>107</v>
      </c>
      <c r="BV365" s="281"/>
      <c r="BW365" s="284">
        <v>114</v>
      </c>
      <c r="BX365" s="281"/>
      <c r="BY365" s="284">
        <v>121</v>
      </c>
      <c r="BZ365" s="281"/>
      <c r="CA365" s="284">
        <v>152</v>
      </c>
      <c r="CB365" s="281"/>
      <c r="CC365" s="284">
        <v>94</v>
      </c>
      <c r="CD365" s="281"/>
      <c r="CE365" s="284">
        <v>60</v>
      </c>
      <c r="CF365" s="281"/>
      <c r="CG365" s="284">
        <v>1335</v>
      </c>
      <c r="CH365" s="281"/>
      <c r="CI365" s="284">
        <v>689</v>
      </c>
      <c r="CJ365" s="281"/>
      <c r="CK365" s="284">
        <v>605</v>
      </c>
      <c r="CL365" s="281"/>
      <c r="CM365" s="284">
        <v>505</v>
      </c>
      <c r="CN365" s="281"/>
      <c r="CO365" s="284">
        <v>531</v>
      </c>
      <c r="CP365" s="281"/>
      <c r="CQ365" s="284">
        <v>872</v>
      </c>
      <c r="CR365" s="281"/>
      <c r="CS365" s="284">
        <v>993</v>
      </c>
      <c r="CT365" s="281"/>
      <c r="CU365" s="284">
        <v>1003</v>
      </c>
      <c r="CV365" s="281"/>
      <c r="CW365" s="284">
        <v>1221</v>
      </c>
      <c r="CX365" s="281"/>
      <c r="CY365" s="284">
        <v>1082</v>
      </c>
      <c r="CZ365" s="281"/>
      <c r="DA365" s="284">
        <v>871</v>
      </c>
      <c r="DB365" s="281"/>
      <c r="DC365" s="284">
        <v>772</v>
      </c>
      <c r="DD365" s="281"/>
      <c r="DE365" s="284">
        <v>932</v>
      </c>
      <c r="DF365" s="281"/>
      <c r="DG365" s="284">
        <v>1032</v>
      </c>
      <c r="DH365" s="281"/>
      <c r="DI365" s="284">
        <v>745</v>
      </c>
      <c r="DJ365" s="281"/>
      <c r="DK365" s="284">
        <v>1353</v>
      </c>
      <c r="DL365" s="281"/>
      <c r="DM365" s="284">
        <v>1109</v>
      </c>
      <c r="DN365" s="281"/>
      <c r="DO365" s="284">
        <v>1422</v>
      </c>
      <c r="DP365" s="281"/>
      <c r="DQ365" s="284">
        <v>909</v>
      </c>
      <c r="DR365" s="281"/>
      <c r="DS365" s="284">
        <v>308</v>
      </c>
      <c r="DT365" s="281"/>
      <c r="DU365" s="301"/>
      <c r="DV365" s="301"/>
      <c r="DW365" s="301"/>
      <c r="DX365" s="301"/>
      <c r="DY365" s="301"/>
      <c r="DZ365" s="301"/>
      <c r="EA365" s="301"/>
      <c r="EB365" s="301"/>
      <c r="EC365" s="301"/>
      <c r="ED365" s="301"/>
      <c r="EE365" s="301"/>
      <c r="EF365" s="301"/>
      <c r="EG365" s="301"/>
      <c r="EH365" s="301"/>
      <c r="EI365" s="301"/>
      <c r="EJ365" s="301"/>
      <c r="EK365" s="301"/>
      <c r="EL365" s="301"/>
      <c r="EM365" s="301"/>
      <c r="EN365" s="284">
        <v>606</v>
      </c>
      <c r="EO365" s="281"/>
      <c r="EP365" s="284">
        <v>895</v>
      </c>
      <c r="EQ365" s="281"/>
      <c r="ER365" s="284">
        <v>803</v>
      </c>
      <c r="ES365" s="281"/>
      <c r="ET365" s="284">
        <v>914</v>
      </c>
      <c r="EU365" s="281"/>
      <c r="EV365" s="284">
        <v>1472</v>
      </c>
      <c r="EW365" s="281"/>
      <c r="EX365" s="284">
        <v>1001</v>
      </c>
      <c r="EY365" s="281"/>
      <c r="EZ365" s="284">
        <v>1079</v>
      </c>
      <c r="FA365" s="281"/>
      <c r="FB365" s="284">
        <v>1132</v>
      </c>
      <c r="FC365" s="281"/>
      <c r="FD365" s="284">
        <v>1025</v>
      </c>
      <c r="FE365" s="281"/>
      <c r="FF365" s="284">
        <v>943</v>
      </c>
      <c r="FG365" s="281"/>
      <c r="FH365" s="284">
        <v>1192</v>
      </c>
      <c r="FI365" s="281"/>
      <c r="FJ365" s="284">
        <v>825</v>
      </c>
      <c r="FK365" s="281"/>
      <c r="FL365" s="284">
        <v>567</v>
      </c>
      <c r="FM365" s="281"/>
      <c r="FN365" s="332">
        <v>299</v>
      </c>
      <c r="FO365" s="333"/>
      <c r="FP365" s="332">
        <v>52</v>
      </c>
      <c r="FQ365" s="333"/>
      <c r="FR365" s="301"/>
      <c r="FS365" s="301"/>
      <c r="FT365" s="301"/>
      <c r="FU365" s="301"/>
      <c r="FV365" s="301"/>
      <c r="FW365" s="301"/>
      <c r="FX365" s="301"/>
      <c r="FY365" s="320"/>
      <c r="FZ365" s="320"/>
      <c r="GA365" s="320"/>
      <c r="GB365" s="320"/>
      <c r="GC365" s="320"/>
      <c r="GD365" s="320"/>
      <c r="GE365" s="320"/>
      <c r="GF365" s="320"/>
      <c r="GG365" s="320"/>
    </row>
    <row r="366" spans="1:189" ht="15" customHeight="1" outlineLevel="1" x14ac:dyDescent="0.3">
      <c r="A366" s="1"/>
      <c r="B366" s="301"/>
      <c r="C366" s="301"/>
      <c r="D366" s="301"/>
      <c r="E366" s="301"/>
      <c r="F366" s="301"/>
      <c r="G366" s="5" t="s">
        <v>258</v>
      </c>
      <c r="H366" s="5"/>
      <c r="I366" s="23"/>
      <c r="J366" s="23"/>
      <c r="K366" s="158"/>
      <c r="L366" s="158"/>
      <c r="M366" s="158"/>
      <c r="N366" s="158"/>
      <c r="O366" s="158"/>
      <c r="P366" s="158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8"/>
      <c r="AN366" s="28"/>
      <c r="AO366" s="158"/>
      <c r="AP366" s="158"/>
      <c r="AQ366" s="158"/>
      <c r="AR366" s="158"/>
      <c r="AS366" s="428">
        <v>2</v>
      </c>
      <c r="AT366" s="281"/>
      <c r="AU366" s="284">
        <v>41</v>
      </c>
      <c r="AV366" s="281"/>
      <c r="AW366" s="284">
        <v>40</v>
      </c>
      <c r="AX366" s="281"/>
      <c r="AY366" s="284">
        <v>67</v>
      </c>
      <c r="AZ366" s="281"/>
      <c r="BA366" s="284">
        <v>53</v>
      </c>
      <c r="BB366" s="281"/>
      <c r="BC366" s="284">
        <v>67</v>
      </c>
      <c r="BD366" s="281"/>
      <c r="BE366" s="284">
        <v>38</v>
      </c>
      <c r="BF366" s="281"/>
      <c r="BG366" s="284">
        <v>24</v>
      </c>
      <c r="BH366" s="281"/>
      <c r="BI366" s="284">
        <v>39</v>
      </c>
      <c r="BJ366" s="281"/>
      <c r="BK366" s="284">
        <v>34</v>
      </c>
      <c r="BL366" s="281"/>
      <c r="BM366" s="284">
        <v>25</v>
      </c>
      <c r="BN366" s="281"/>
      <c r="BO366" s="284">
        <v>24</v>
      </c>
      <c r="BP366" s="281"/>
      <c r="BQ366" s="284">
        <v>28</v>
      </c>
      <c r="BR366" s="281"/>
      <c r="BS366" s="284">
        <v>56</v>
      </c>
      <c r="BT366" s="281"/>
      <c r="BU366" s="284">
        <v>119</v>
      </c>
      <c r="BV366" s="281"/>
      <c r="BW366" s="284">
        <v>123</v>
      </c>
      <c r="BX366" s="281"/>
      <c r="BY366" s="284">
        <v>134</v>
      </c>
      <c r="BZ366" s="281"/>
      <c r="CA366" s="284">
        <v>180</v>
      </c>
      <c r="CB366" s="281"/>
      <c r="CC366" s="284">
        <v>116</v>
      </c>
      <c r="CD366" s="281"/>
      <c r="CE366" s="284">
        <v>65</v>
      </c>
      <c r="CF366" s="281"/>
      <c r="CG366" s="284">
        <v>2014</v>
      </c>
      <c r="CH366" s="281"/>
      <c r="CI366" s="284">
        <v>989</v>
      </c>
      <c r="CJ366" s="281"/>
      <c r="CK366" s="284">
        <v>773</v>
      </c>
      <c r="CL366" s="281"/>
      <c r="CM366" s="284">
        <v>701</v>
      </c>
      <c r="CN366" s="281"/>
      <c r="CO366" s="284">
        <v>728</v>
      </c>
      <c r="CP366" s="281"/>
      <c r="CQ366" s="284">
        <v>1163</v>
      </c>
      <c r="CR366" s="281"/>
      <c r="CS366" s="284">
        <v>1456</v>
      </c>
      <c r="CT366" s="281"/>
      <c r="CU366" s="284">
        <v>1440</v>
      </c>
      <c r="CV366" s="281"/>
      <c r="CW366" s="284">
        <v>1772</v>
      </c>
      <c r="CX366" s="281"/>
      <c r="CY366" s="284">
        <v>1554</v>
      </c>
      <c r="CZ366" s="281"/>
      <c r="DA366" s="284">
        <v>1198</v>
      </c>
      <c r="DB366" s="281"/>
      <c r="DC366" s="284">
        <v>1093</v>
      </c>
      <c r="DD366" s="281"/>
      <c r="DE366" s="284">
        <v>1360</v>
      </c>
      <c r="DF366" s="281"/>
      <c r="DG366" s="284">
        <v>1525</v>
      </c>
      <c r="DH366" s="281"/>
      <c r="DI366" s="284">
        <v>991</v>
      </c>
      <c r="DJ366" s="281"/>
      <c r="DK366" s="284">
        <v>1858</v>
      </c>
      <c r="DL366" s="281"/>
      <c r="DM366" s="284">
        <v>1525</v>
      </c>
      <c r="DN366" s="281"/>
      <c r="DO366" s="284">
        <v>2048</v>
      </c>
      <c r="DP366" s="281"/>
      <c r="DQ366" s="284">
        <v>1259</v>
      </c>
      <c r="DR366" s="281"/>
      <c r="DS366" s="284">
        <v>389</v>
      </c>
      <c r="DT366" s="281"/>
      <c r="DU366" s="301"/>
      <c r="DV366" s="301"/>
      <c r="DW366" s="301"/>
      <c r="DX366" s="301"/>
      <c r="DY366" s="301"/>
      <c r="DZ366" s="301"/>
      <c r="EA366" s="301"/>
      <c r="EB366" s="301"/>
      <c r="EC366" s="301"/>
      <c r="ED366" s="301"/>
      <c r="EE366" s="301"/>
      <c r="EF366" s="301"/>
      <c r="EG366" s="301"/>
      <c r="EH366" s="301"/>
      <c r="EI366" s="301"/>
      <c r="EJ366" s="301"/>
      <c r="EK366" s="301"/>
      <c r="EL366" s="301"/>
      <c r="EM366" s="301"/>
      <c r="EN366" s="284">
        <v>766</v>
      </c>
      <c r="EO366" s="281"/>
      <c r="EP366" s="284">
        <v>1126</v>
      </c>
      <c r="EQ366" s="281"/>
      <c r="ER366" s="284">
        <v>1005</v>
      </c>
      <c r="ES366" s="281"/>
      <c r="ET366" s="284">
        <v>1186</v>
      </c>
      <c r="EU366" s="281"/>
      <c r="EV366" s="284">
        <v>1868</v>
      </c>
      <c r="EW366" s="281"/>
      <c r="EX366" s="284">
        <v>1268</v>
      </c>
      <c r="EY366" s="281"/>
      <c r="EZ366" s="284">
        <v>1351</v>
      </c>
      <c r="FA366" s="281"/>
      <c r="FB366" s="284">
        <v>1441</v>
      </c>
      <c r="FC366" s="281"/>
      <c r="FD366" s="284">
        <v>1285</v>
      </c>
      <c r="FE366" s="281"/>
      <c r="FF366" s="284">
        <v>1465</v>
      </c>
      <c r="FG366" s="281"/>
      <c r="FH366" s="284">
        <v>1537</v>
      </c>
      <c r="FI366" s="281"/>
      <c r="FJ366" s="284">
        <v>1052</v>
      </c>
      <c r="FK366" s="281"/>
      <c r="FL366" s="284">
        <v>708</v>
      </c>
      <c r="FM366" s="281"/>
      <c r="FN366" s="284">
        <v>407</v>
      </c>
      <c r="FO366" s="281"/>
      <c r="FP366" s="284">
        <v>62</v>
      </c>
      <c r="FQ366" s="281"/>
      <c r="FR366" s="301"/>
      <c r="FS366" s="301"/>
      <c r="FT366" s="301"/>
      <c r="FU366" s="301"/>
      <c r="FV366" s="301"/>
      <c r="FW366" s="301"/>
      <c r="FX366" s="301"/>
      <c r="FY366" s="320"/>
      <c r="FZ366" s="320"/>
      <c r="GA366" s="320"/>
      <c r="GB366" s="320"/>
      <c r="GC366" s="320"/>
      <c r="GD366" s="320"/>
      <c r="GE366" s="320"/>
      <c r="GF366" s="320"/>
      <c r="GG366" s="320"/>
    </row>
    <row r="367" spans="1:189" ht="12.75" customHeight="1" outlineLevel="2" x14ac:dyDescent="0.3">
      <c r="A367" s="1"/>
      <c r="B367" s="302"/>
      <c r="C367" s="302"/>
      <c r="D367" s="302"/>
      <c r="E367" s="302"/>
      <c r="F367" s="302"/>
      <c r="G367" s="5" t="s">
        <v>264</v>
      </c>
      <c r="H367" s="5"/>
      <c r="I367" s="284">
        <f>SUM(K367:AH367)</f>
        <v>12307</v>
      </c>
      <c r="J367" s="281"/>
      <c r="K367" s="284">
        <f>K403</f>
        <v>271</v>
      </c>
      <c r="L367" s="281"/>
      <c r="M367" s="284">
        <f>M403</f>
        <v>430</v>
      </c>
      <c r="N367" s="281"/>
      <c r="O367" s="284">
        <f>O403</f>
        <v>898</v>
      </c>
      <c r="P367" s="281"/>
      <c r="Q367" s="284">
        <f>Q403</f>
        <v>1222</v>
      </c>
      <c r="R367" s="281"/>
      <c r="S367" s="284">
        <f>S403</f>
        <v>1911</v>
      </c>
      <c r="T367" s="281"/>
      <c r="U367" s="284">
        <f>U403</f>
        <v>1623</v>
      </c>
      <c r="V367" s="281"/>
      <c r="W367" s="284">
        <f>W403</f>
        <v>1657</v>
      </c>
      <c r="X367" s="281"/>
      <c r="Y367" s="284">
        <f>Y403</f>
        <v>1504</v>
      </c>
      <c r="Z367" s="281"/>
      <c r="AA367" s="284">
        <f>AA403</f>
        <v>1005</v>
      </c>
      <c r="AB367" s="281"/>
      <c r="AC367" s="284">
        <f>AC403</f>
        <v>966</v>
      </c>
      <c r="AD367" s="281"/>
      <c r="AE367" s="284">
        <f>AE403</f>
        <v>523</v>
      </c>
      <c r="AF367" s="281"/>
      <c r="AG367" s="284">
        <f>AG403</f>
        <v>297</v>
      </c>
      <c r="AH367" s="281"/>
      <c r="AI367" s="284">
        <f>AI403</f>
        <v>301</v>
      </c>
      <c r="AJ367" s="281"/>
      <c r="AK367" s="284">
        <v>115</v>
      </c>
      <c r="AL367" s="281"/>
      <c r="AM367" s="335">
        <v>55</v>
      </c>
      <c r="AN367" s="281"/>
      <c r="AO367" s="428"/>
      <c r="AP367" s="281"/>
      <c r="AQ367" s="428"/>
      <c r="AR367" s="281"/>
      <c r="AS367" s="428"/>
      <c r="AT367" s="281"/>
      <c r="AU367" s="284">
        <v>791</v>
      </c>
      <c r="AV367" s="281"/>
      <c r="AW367" s="284">
        <v>665</v>
      </c>
      <c r="AX367" s="281"/>
      <c r="AY367" s="284">
        <v>772</v>
      </c>
      <c r="AZ367" s="281"/>
      <c r="BA367" s="284">
        <v>628</v>
      </c>
      <c r="BB367" s="281"/>
      <c r="BC367" s="284">
        <v>797</v>
      </c>
      <c r="BD367" s="281"/>
      <c r="BE367" s="284">
        <f>BE169</f>
        <v>584</v>
      </c>
      <c r="BF367" s="281"/>
      <c r="BG367" s="284">
        <f>BG169</f>
        <v>385</v>
      </c>
      <c r="BH367" s="281"/>
      <c r="BI367" s="284">
        <f>BI169</f>
        <v>538</v>
      </c>
      <c r="BJ367" s="281"/>
      <c r="BK367" s="284">
        <f>BK169</f>
        <v>568</v>
      </c>
      <c r="BL367" s="281"/>
      <c r="BM367" s="284">
        <v>407</v>
      </c>
      <c r="BN367" s="281"/>
      <c r="BO367" s="284">
        <v>465</v>
      </c>
      <c r="BP367" s="281"/>
      <c r="BQ367" s="284">
        <v>551</v>
      </c>
      <c r="BR367" s="281"/>
      <c r="BS367" s="284">
        <v>660</v>
      </c>
      <c r="BT367" s="281"/>
      <c r="BU367" s="284">
        <v>904</v>
      </c>
      <c r="BV367" s="281"/>
      <c r="BW367" s="284">
        <v>1054</v>
      </c>
      <c r="BX367" s="281"/>
      <c r="BY367" s="284">
        <f>BY169</f>
        <v>1193</v>
      </c>
      <c r="BZ367" s="281"/>
      <c r="CA367" s="284">
        <f>CA169</f>
        <v>1899</v>
      </c>
      <c r="CB367" s="281"/>
      <c r="CC367" s="284">
        <f>CC169</f>
        <v>1653</v>
      </c>
      <c r="CD367" s="281"/>
      <c r="CE367" s="284">
        <f>CE169</f>
        <v>722</v>
      </c>
      <c r="CF367" s="281"/>
      <c r="CG367" s="284">
        <f>CG169</f>
        <v>2527</v>
      </c>
      <c r="CH367" s="281"/>
      <c r="CI367" s="284">
        <f>CI169</f>
        <v>1595</v>
      </c>
      <c r="CJ367" s="281"/>
      <c r="CK367" s="284">
        <f>CK169</f>
        <v>0</v>
      </c>
      <c r="CL367" s="281"/>
      <c r="CM367" s="284">
        <f>CM169</f>
        <v>836</v>
      </c>
      <c r="CN367" s="281"/>
      <c r="CO367" s="284">
        <f>CO169</f>
        <v>0</v>
      </c>
      <c r="CP367" s="281"/>
      <c r="CQ367" s="284">
        <f>CQ169</f>
        <v>0</v>
      </c>
      <c r="CR367" s="281"/>
      <c r="CS367" s="284">
        <f>CS169</f>
        <v>266</v>
      </c>
      <c r="CT367" s="281"/>
      <c r="CU367" s="284">
        <f>CU169</f>
        <v>1822</v>
      </c>
      <c r="CV367" s="281"/>
      <c r="CW367" s="284">
        <f>CW169</f>
        <v>2175</v>
      </c>
      <c r="CX367" s="281"/>
      <c r="CY367" s="284">
        <f>CY169</f>
        <v>1843</v>
      </c>
      <c r="CZ367" s="281"/>
      <c r="DA367" s="284">
        <f>DA169</f>
        <v>1445</v>
      </c>
      <c r="DB367" s="281"/>
      <c r="DC367" s="284">
        <f>DC169</f>
        <v>1355</v>
      </c>
      <c r="DD367" s="281"/>
      <c r="DE367" s="284">
        <f>DE169</f>
        <v>1664</v>
      </c>
      <c r="DF367" s="281"/>
      <c r="DG367" s="284">
        <f>DG169</f>
        <v>1962</v>
      </c>
      <c r="DH367" s="281"/>
      <c r="DI367" s="284">
        <f>DI169</f>
        <v>1437</v>
      </c>
      <c r="DJ367" s="281"/>
      <c r="DK367" s="284">
        <f>DK169</f>
        <v>1833</v>
      </c>
      <c r="DL367" s="281"/>
      <c r="DM367" s="284">
        <f>DM169</f>
        <v>1713</v>
      </c>
      <c r="DN367" s="281"/>
      <c r="DO367" s="284">
        <f>DO169</f>
        <v>2888</v>
      </c>
      <c r="DP367" s="281"/>
      <c r="DQ367" s="284">
        <f>DQ169</f>
        <v>2160</v>
      </c>
      <c r="DR367" s="281"/>
      <c r="DS367" s="284">
        <f>DS169</f>
        <v>1265</v>
      </c>
      <c r="DT367" s="281"/>
      <c r="DU367" s="302"/>
      <c r="DV367" s="302"/>
      <c r="DW367" s="302"/>
      <c r="DX367" s="302"/>
      <c r="DY367" s="302"/>
      <c r="DZ367" s="302"/>
      <c r="EA367" s="302"/>
      <c r="EB367" s="302"/>
      <c r="EC367" s="302"/>
      <c r="ED367" s="302"/>
      <c r="EE367" s="302"/>
      <c r="EF367" s="302"/>
      <c r="EG367" s="302"/>
      <c r="EH367" s="302"/>
      <c r="EI367" s="302"/>
      <c r="EJ367" s="302"/>
      <c r="EK367" s="302"/>
      <c r="EL367" s="302"/>
      <c r="EM367" s="302"/>
      <c r="EN367" s="284">
        <f>EN168</f>
        <v>666</v>
      </c>
      <c r="EO367" s="281"/>
      <c r="EP367" s="284">
        <f>EP168</f>
        <v>1124</v>
      </c>
      <c r="EQ367" s="281"/>
      <c r="ER367" s="284">
        <f>ER168</f>
        <v>993</v>
      </c>
      <c r="ES367" s="281"/>
      <c r="ET367" s="284">
        <f>ET168</f>
        <v>1181</v>
      </c>
      <c r="EU367" s="281"/>
      <c r="EV367" s="284">
        <f>EV168</f>
        <v>1853</v>
      </c>
      <c r="EW367" s="281"/>
      <c r="EX367" s="284">
        <f>EX168</f>
        <v>1274</v>
      </c>
      <c r="EY367" s="281"/>
      <c r="EZ367" s="284">
        <f>EZ168</f>
        <v>1343</v>
      </c>
      <c r="FA367" s="281"/>
      <c r="FB367" s="284">
        <f>FB168</f>
        <v>1427</v>
      </c>
      <c r="FC367" s="281"/>
      <c r="FD367" s="284">
        <f>FD168</f>
        <v>1280</v>
      </c>
      <c r="FE367" s="281"/>
      <c r="FF367" s="284">
        <f>FF168</f>
        <v>1205</v>
      </c>
      <c r="FG367" s="281"/>
      <c r="FH367" s="284">
        <f>FH168</f>
        <v>1528</v>
      </c>
      <c r="FI367" s="281"/>
      <c r="FJ367" s="284">
        <f>FJ168</f>
        <v>1057</v>
      </c>
      <c r="FK367" s="281"/>
      <c r="FL367" s="284">
        <f>FL168</f>
        <v>699</v>
      </c>
      <c r="FM367" s="281"/>
      <c r="FN367" s="284">
        <v>579</v>
      </c>
      <c r="FO367" s="281"/>
      <c r="FP367" s="284">
        <v>212</v>
      </c>
      <c r="FQ367" s="281"/>
      <c r="FR367" s="302"/>
      <c r="FS367" s="302"/>
      <c r="FT367" s="302"/>
      <c r="FU367" s="302"/>
      <c r="FV367" s="302"/>
      <c r="FW367" s="302"/>
      <c r="FX367" s="302"/>
      <c r="FY367" s="321"/>
      <c r="FZ367" s="321"/>
      <c r="GA367" s="321"/>
      <c r="GB367" s="321"/>
      <c r="GC367" s="321"/>
      <c r="GD367" s="321"/>
      <c r="GE367" s="321"/>
      <c r="GF367" s="321"/>
      <c r="GG367" s="321"/>
    </row>
    <row r="368" spans="1:189" ht="8.25" customHeight="1" outlineLevel="1" x14ac:dyDescent="0.3">
      <c r="A368" s="1"/>
      <c r="B368" s="18"/>
      <c r="C368" s="18"/>
      <c r="D368" s="18"/>
      <c r="E368" s="18"/>
      <c r="F368" s="18"/>
      <c r="G368" s="3"/>
      <c r="H368" s="3"/>
      <c r="I368" s="19"/>
      <c r="J368" s="20"/>
      <c r="K368" s="19"/>
      <c r="L368" s="20"/>
      <c r="M368" s="19"/>
      <c r="N368" s="20"/>
      <c r="O368" s="19"/>
      <c r="P368" s="20"/>
      <c r="Q368" s="19"/>
      <c r="R368" s="20"/>
      <c r="S368" s="19"/>
      <c r="T368" s="20"/>
      <c r="U368" s="19"/>
      <c r="V368" s="20"/>
      <c r="W368" s="19"/>
      <c r="X368" s="20"/>
      <c r="Y368" s="19"/>
      <c r="Z368" s="20"/>
      <c r="AA368" s="19"/>
      <c r="AB368" s="20"/>
      <c r="AC368" s="19"/>
      <c r="AD368" s="20"/>
      <c r="AE368" s="19"/>
      <c r="AF368" s="20"/>
      <c r="AG368" s="19"/>
      <c r="AH368" s="20"/>
      <c r="AI368" s="19"/>
      <c r="AJ368" s="20"/>
      <c r="AK368" s="19"/>
      <c r="AL368" s="20"/>
      <c r="AM368" s="19"/>
      <c r="AN368" s="20"/>
      <c r="AO368" s="19"/>
      <c r="AP368" s="20"/>
      <c r="AQ368" s="19"/>
      <c r="AR368" s="20"/>
      <c r="AS368" s="19"/>
      <c r="AT368" s="20"/>
      <c r="AU368" s="19"/>
      <c r="AV368" s="20"/>
      <c r="AW368" s="19"/>
      <c r="AX368" s="20"/>
      <c r="AY368" s="19"/>
      <c r="AZ368" s="20"/>
      <c r="BA368" s="19"/>
      <c r="BB368" s="20"/>
      <c r="BC368" s="19"/>
      <c r="BD368" s="20"/>
      <c r="BE368" s="19"/>
      <c r="BF368" s="20"/>
      <c r="BG368" s="19"/>
      <c r="BH368" s="20"/>
      <c r="BI368" s="19"/>
      <c r="BJ368" s="20"/>
      <c r="BK368" s="19"/>
      <c r="BL368" s="20"/>
      <c r="BM368" s="19"/>
      <c r="BN368" s="20"/>
      <c r="BO368" s="19"/>
      <c r="BP368" s="20"/>
      <c r="BQ368" s="19"/>
      <c r="BR368" s="20"/>
      <c r="BS368" s="19"/>
      <c r="BT368" s="20"/>
      <c r="BU368" s="19"/>
      <c r="BV368" s="20"/>
      <c r="BW368" s="19"/>
      <c r="BX368" s="20"/>
      <c r="BY368" s="19"/>
      <c r="BZ368" s="20"/>
      <c r="CA368" s="19"/>
      <c r="CB368" s="20"/>
      <c r="CC368" s="19"/>
      <c r="CD368" s="20"/>
      <c r="CE368" s="19"/>
      <c r="CF368" s="20"/>
      <c r="CG368" s="19"/>
      <c r="CH368" s="20"/>
      <c r="CI368" s="19"/>
      <c r="CJ368" s="20"/>
      <c r="CK368" s="19"/>
      <c r="CL368" s="20"/>
      <c r="CM368" s="19"/>
      <c r="CN368" s="20"/>
      <c r="CO368" s="19"/>
      <c r="CP368" s="20"/>
      <c r="CQ368" s="19"/>
      <c r="CR368" s="20"/>
      <c r="CS368" s="19"/>
      <c r="CT368" s="20"/>
      <c r="CU368" s="19"/>
      <c r="CV368" s="20"/>
      <c r="CW368" s="19"/>
      <c r="CX368" s="20"/>
      <c r="CY368" s="19"/>
      <c r="CZ368" s="20"/>
      <c r="DA368" s="19"/>
      <c r="DB368" s="20"/>
      <c r="DC368" s="19"/>
      <c r="DD368" s="20"/>
      <c r="DE368" s="19"/>
      <c r="DF368" s="20"/>
      <c r="DG368" s="19"/>
      <c r="DH368" s="20"/>
      <c r="DI368" s="19"/>
      <c r="DJ368" s="20"/>
      <c r="DK368" s="19"/>
      <c r="DL368" s="20"/>
      <c r="DM368" s="19"/>
      <c r="DN368" s="20"/>
      <c r="DO368" s="19"/>
      <c r="DP368" s="20"/>
      <c r="DQ368" s="19"/>
      <c r="DR368" s="20"/>
      <c r="DS368" s="19"/>
      <c r="DT368" s="20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19"/>
      <c r="EO368" s="20"/>
      <c r="EP368" s="19"/>
      <c r="EQ368" s="20"/>
      <c r="ER368" s="19"/>
      <c r="ES368" s="20"/>
      <c r="ET368" s="19"/>
      <c r="EU368" s="20"/>
      <c r="EV368" s="19"/>
      <c r="EW368" s="20"/>
      <c r="EX368" s="19"/>
      <c r="EY368" s="20"/>
      <c r="EZ368" s="19"/>
      <c r="FA368" s="20"/>
      <c r="FB368" s="19"/>
      <c r="FC368" s="20"/>
      <c r="FD368" s="19"/>
      <c r="FE368" s="20"/>
      <c r="FF368" s="19"/>
      <c r="FG368" s="20"/>
      <c r="FH368" s="19"/>
      <c r="FI368" s="20"/>
      <c r="FJ368" s="19"/>
      <c r="FK368" s="20"/>
      <c r="FL368" s="19"/>
      <c r="FM368" s="20"/>
      <c r="FN368" s="19"/>
      <c r="FO368" s="20"/>
      <c r="FP368" s="19"/>
      <c r="FQ368" s="20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</row>
    <row r="369" spans="1:189" ht="15" customHeight="1" outlineLevel="1" x14ac:dyDescent="0.3">
      <c r="A369" s="63"/>
      <c r="B369" s="313" t="s">
        <v>266</v>
      </c>
      <c r="C369" s="313" t="s">
        <v>267</v>
      </c>
      <c r="D369" s="313" t="s">
        <v>96</v>
      </c>
      <c r="E369" s="313" t="s">
        <v>268</v>
      </c>
      <c r="F369" s="313" t="s">
        <v>27</v>
      </c>
      <c r="G369" s="5" t="s">
        <v>28</v>
      </c>
      <c r="H369" s="5"/>
      <c r="I369" s="327">
        <v>0.9</v>
      </c>
      <c r="J369" s="281"/>
      <c r="K369" s="327">
        <v>0.8</v>
      </c>
      <c r="L369" s="281"/>
      <c r="M369" s="327">
        <v>0.8</v>
      </c>
      <c r="N369" s="281"/>
      <c r="O369" s="327">
        <v>0.8</v>
      </c>
      <c r="P369" s="281"/>
      <c r="Q369" s="327">
        <v>0.8</v>
      </c>
      <c r="R369" s="281"/>
      <c r="S369" s="327">
        <v>0.8</v>
      </c>
      <c r="T369" s="281"/>
      <c r="U369" s="327">
        <v>0.8</v>
      </c>
      <c r="V369" s="281"/>
      <c r="W369" s="327">
        <v>0.8</v>
      </c>
      <c r="X369" s="281"/>
      <c r="Y369" s="327">
        <v>0.9</v>
      </c>
      <c r="Z369" s="281"/>
      <c r="AA369" s="327">
        <v>0.9</v>
      </c>
      <c r="AB369" s="281"/>
      <c r="AC369" s="327">
        <v>0.9</v>
      </c>
      <c r="AD369" s="281"/>
      <c r="AE369" s="327">
        <v>0.9</v>
      </c>
      <c r="AF369" s="281"/>
      <c r="AG369" s="327">
        <v>0.9</v>
      </c>
      <c r="AH369" s="281"/>
      <c r="AI369" s="327">
        <v>0.95</v>
      </c>
      <c r="AJ369" s="281"/>
      <c r="AK369" s="327">
        <v>0.95</v>
      </c>
      <c r="AL369" s="281"/>
      <c r="AM369" s="327">
        <v>0.95</v>
      </c>
      <c r="AN369" s="281"/>
      <c r="AO369" s="327">
        <v>0.95</v>
      </c>
      <c r="AP369" s="281"/>
      <c r="AQ369" s="327">
        <v>0.95</v>
      </c>
      <c r="AR369" s="281"/>
      <c r="AS369" s="327">
        <v>0.95</v>
      </c>
      <c r="AT369" s="281"/>
      <c r="AU369" s="327">
        <v>0.95</v>
      </c>
      <c r="AV369" s="281"/>
      <c r="AW369" s="327">
        <v>0.95</v>
      </c>
      <c r="AX369" s="281"/>
      <c r="AY369" s="327">
        <v>0.95</v>
      </c>
      <c r="AZ369" s="281"/>
      <c r="BA369" s="327">
        <v>0.95</v>
      </c>
      <c r="BB369" s="281"/>
      <c r="BC369" s="327">
        <v>0.95</v>
      </c>
      <c r="BD369" s="281"/>
      <c r="BE369" s="327">
        <v>0.95</v>
      </c>
      <c r="BF369" s="281"/>
      <c r="BG369" s="327">
        <v>0.95</v>
      </c>
      <c r="BH369" s="281"/>
      <c r="BI369" s="327">
        <v>0.95</v>
      </c>
      <c r="BJ369" s="281"/>
      <c r="BK369" s="327">
        <v>0.95</v>
      </c>
      <c r="BL369" s="281"/>
      <c r="BM369" s="327">
        <v>0.95</v>
      </c>
      <c r="BN369" s="281"/>
      <c r="BO369" s="327">
        <v>0.95</v>
      </c>
      <c r="BP369" s="281"/>
      <c r="BQ369" s="327">
        <v>0.95</v>
      </c>
      <c r="BR369" s="281"/>
      <c r="BS369" s="327">
        <v>0.95</v>
      </c>
      <c r="BT369" s="281"/>
      <c r="BU369" s="327">
        <v>0.95</v>
      </c>
      <c r="BV369" s="281"/>
      <c r="BW369" s="327">
        <v>0.95</v>
      </c>
      <c r="BX369" s="281"/>
      <c r="BY369" s="327">
        <v>0.95</v>
      </c>
      <c r="BZ369" s="281"/>
      <c r="CA369" s="327">
        <v>0.95</v>
      </c>
      <c r="CB369" s="281"/>
      <c r="CC369" s="327">
        <v>0.95</v>
      </c>
      <c r="CD369" s="281"/>
      <c r="CE369" s="327">
        <v>0.95</v>
      </c>
      <c r="CF369" s="281"/>
      <c r="CG369" s="327">
        <v>0.95</v>
      </c>
      <c r="CH369" s="281"/>
      <c r="CI369" s="327">
        <v>0.95</v>
      </c>
      <c r="CJ369" s="281"/>
      <c r="CK369" s="327">
        <v>0.95</v>
      </c>
      <c r="CL369" s="281"/>
      <c r="CM369" s="327">
        <v>0.95</v>
      </c>
      <c r="CN369" s="281"/>
      <c r="CO369" s="327">
        <v>0.95</v>
      </c>
      <c r="CP369" s="281"/>
      <c r="CQ369" s="327">
        <v>0.95</v>
      </c>
      <c r="CR369" s="281"/>
      <c r="CS369" s="327">
        <v>0.95</v>
      </c>
      <c r="CT369" s="281"/>
      <c r="CU369" s="327">
        <v>0.95</v>
      </c>
      <c r="CV369" s="281"/>
      <c r="CW369" s="327">
        <v>0.95</v>
      </c>
      <c r="CX369" s="281"/>
      <c r="CY369" s="327">
        <v>0.95</v>
      </c>
      <c r="CZ369" s="281"/>
      <c r="DA369" s="327">
        <v>0.95</v>
      </c>
      <c r="DB369" s="281"/>
      <c r="DC369" s="327">
        <v>0.95</v>
      </c>
      <c r="DD369" s="281"/>
      <c r="DE369" s="327">
        <v>0.95</v>
      </c>
      <c r="DF369" s="281"/>
      <c r="DG369" s="327">
        <v>0.95</v>
      </c>
      <c r="DH369" s="281"/>
      <c r="DI369" s="327">
        <v>0.95</v>
      </c>
      <c r="DJ369" s="281"/>
      <c r="DK369" s="327">
        <v>0.95</v>
      </c>
      <c r="DL369" s="281"/>
      <c r="DM369" s="327">
        <v>0.95</v>
      </c>
      <c r="DN369" s="281"/>
      <c r="DO369" s="327">
        <v>0.95</v>
      </c>
      <c r="DP369" s="281"/>
      <c r="DQ369" s="327">
        <v>0.95</v>
      </c>
      <c r="DR369" s="281"/>
      <c r="DS369" s="327">
        <v>0.95</v>
      </c>
      <c r="DT369" s="281"/>
      <c r="DU369" s="319" t="s">
        <v>29</v>
      </c>
      <c r="DV369" s="319" t="s">
        <v>29</v>
      </c>
      <c r="DW369" s="319" t="s">
        <v>29</v>
      </c>
      <c r="DX369" s="319" t="s">
        <v>29</v>
      </c>
      <c r="DY369" s="319" t="s">
        <v>29</v>
      </c>
      <c r="DZ369" s="319" t="s">
        <v>29</v>
      </c>
      <c r="EA369" s="319" t="s">
        <v>29</v>
      </c>
      <c r="EB369" s="319" t="s">
        <v>29</v>
      </c>
      <c r="EC369" s="319" t="s">
        <v>29</v>
      </c>
      <c r="ED369" s="319" t="s">
        <v>29</v>
      </c>
      <c r="EE369" s="319" t="s">
        <v>29</v>
      </c>
      <c r="EF369" s="319" t="s">
        <v>29</v>
      </c>
      <c r="EG369" s="319" t="s">
        <v>29</v>
      </c>
      <c r="EH369" s="319" t="s">
        <v>29</v>
      </c>
      <c r="EI369" s="319" t="s">
        <v>29</v>
      </c>
      <c r="EJ369" s="319" t="s">
        <v>29</v>
      </c>
      <c r="EK369" s="319" t="s">
        <v>29</v>
      </c>
      <c r="EL369" s="319" t="s">
        <v>29</v>
      </c>
      <c r="EM369" s="319" t="s">
        <v>29</v>
      </c>
      <c r="EN369" s="327">
        <v>0.95</v>
      </c>
      <c r="EO369" s="281"/>
      <c r="EP369" s="327">
        <v>0.95</v>
      </c>
      <c r="EQ369" s="281"/>
      <c r="ER369" s="327">
        <v>0.95</v>
      </c>
      <c r="ES369" s="281"/>
      <c r="ET369" s="327">
        <v>0.95</v>
      </c>
      <c r="EU369" s="281"/>
      <c r="EV369" s="327">
        <v>0.95</v>
      </c>
      <c r="EW369" s="281"/>
      <c r="EX369" s="327">
        <v>0.95</v>
      </c>
      <c r="EY369" s="281"/>
      <c r="EZ369" s="327">
        <v>0.95</v>
      </c>
      <c r="FA369" s="281"/>
      <c r="FB369" s="327">
        <v>0.95</v>
      </c>
      <c r="FC369" s="281"/>
      <c r="FD369" s="327">
        <v>0.95</v>
      </c>
      <c r="FE369" s="281"/>
      <c r="FF369" s="327">
        <v>0.95</v>
      </c>
      <c r="FG369" s="281"/>
      <c r="FH369" s="327">
        <v>0.95</v>
      </c>
      <c r="FI369" s="281"/>
      <c r="FJ369" s="327">
        <v>0.95</v>
      </c>
      <c r="FK369" s="281"/>
      <c r="FL369" s="327">
        <v>0.95</v>
      </c>
      <c r="FM369" s="281"/>
      <c r="FN369" s="327">
        <v>0.95</v>
      </c>
      <c r="FO369" s="281"/>
      <c r="FP369" s="327">
        <v>0.95</v>
      </c>
      <c r="FQ369" s="281"/>
      <c r="FR369" s="319" t="s">
        <v>29</v>
      </c>
      <c r="FS369" s="319" t="s">
        <v>29</v>
      </c>
      <c r="FT369" s="319" t="s">
        <v>29</v>
      </c>
      <c r="FU369" s="319" t="s">
        <v>29</v>
      </c>
      <c r="FV369" s="319"/>
      <c r="FW369" s="319"/>
      <c r="FX369" s="319"/>
      <c r="FY369" s="319"/>
      <c r="FZ369" s="319"/>
      <c r="GA369" s="319"/>
      <c r="GB369" s="319" t="s">
        <v>29</v>
      </c>
      <c r="GC369" s="319" t="s">
        <v>29</v>
      </c>
      <c r="GD369" s="319" t="s">
        <v>29</v>
      </c>
      <c r="GE369" s="319" t="s">
        <v>29</v>
      </c>
      <c r="GF369" s="319" t="s">
        <v>29</v>
      </c>
      <c r="GG369" s="495"/>
    </row>
    <row r="370" spans="1:189" ht="4.5" customHeight="1" outlineLevel="1" x14ac:dyDescent="0.3">
      <c r="A370" s="1"/>
      <c r="B370" s="301"/>
      <c r="C370" s="301"/>
      <c r="D370" s="301"/>
      <c r="E370" s="301"/>
      <c r="F370" s="301"/>
      <c r="G370" s="5"/>
      <c r="H370" s="5"/>
      <c r="I370" s="422"/>
      <c r="J370" s="281"/>
      <c r="K370" s="387"/>
      <c r="L370" s="281"/>
      <c r="M370" s="387"/>
      <c r="N370" s="281"/>
      <c r="O370" s="387"/>
      <c r="P370" s="281"/>
      <c r="Q370" s="282"/>
      <c r="R370" s="281"/>
      <c r="S370" s="282"/>
      <c r="T370" s="281"/>
      <c r="U370" s="422"/>
      <c r="V370" s="281"/>
      <c r="W370" s="283"/>
      <c r="X370" s="281"/>
      <c r="Y370" s="422"/>
      <c r="Z370" s="281"/>
      <c r="AA370" s="422"/>
      <c r="AB370" s="281"/>
      <c r="AC370" s="422"/>
      <c r="AD370" s="281"/>
      <c r="AE370" s="422"/>
      <c r="AF370" s="281"/>
      <c r="AG370" s="422"/>
      <c r="AH370" s="281"/>
      <c r="AI370" s="422"/>
      <c r="AJ370" s="281"/>
      <c r="AK370" s="422"/>
      <c r="AL370" s="281"/>
      <c r="AM370" s="422"/>
      <c r="AN370" s="281"/>
      <c r="AO370" s="422"/>
      <c r="AP370" s="281"/>
      <c r="AQ370" s="422"/>
      <c r="AR370" s="281"/>
      <c r="AS370" s="422"/>
      <c r="AT370" s="281"/>
      <c r="AU370" s="422"/>
      <c r="AV370" s="281"/>
      <c r="AW370" s="282"/>
      <c r="AX370" s="281"/>
      <c r="AY370" s="282"/>
      <c r="AZ370" s="281"/>
      <c r="BA370" s="282"/>
      <c r="BB370" s="281"/>
      <c r="BC370" s="282"/>
      <c r="BD370" s="281"/>
      <c r="BE370" s="282"/>
      <c r="BF370" s="281"/>
      <c r="BG370" s="282"/>
      <c r="BH370" s="281"/>
      <c r="BI370" s="387"/>
      <c r="BJ370" s="281"/>
      <c r="BK370" s="282"/>
      <c r="BL370" s="281"/>
      <c r="BM370" s="387"/>
      <c r="BN370" s="281"/>
      <c r="BO370" s="282"/>
      <c r="BP370" s="281"/>
      <c r="BQ370" s="282"/>
      <c r="BR370" s="281"/>
      <c r="BS370" s="282"/>
      <c r="BT370" s="281"/>
      <c r="BU370" s="387"/>
      <c r="BV370" s="281"/>
      <c r="BW370" s="282"/>
      <c r="BX370" s="281"/>
      <c r="BY370" s="387"/>
      <c r="BZ370" s="281"/>
      <c r="CA370" s="282"/>
      <c r="CB370" s="281"/>
      <c r="CC370" s="387"/>
      <c r="CD370" s="281"/>
      <c r="CE370" s="282"/>
      <c r="CF370" s="281"/>
      <c r="CG370" s="387"/>
      <c r="CH370" s="281"/>
      <c r="CI370" s="387"/>
      <c r="CJ370" s="281"/>
      <c r="CK370" s="282"/>
      <c r="CL370" s="281"/>
      <c r="CM370" s="282"/>
      <c r="CN370" s="281"/>
      <c r="CO370" s="282"/>
      <c r="CP370" s="281"/>
      <c r="CQ370" s="282"/>
      <c r="CR370" s="281"/>
      <c r="CS370" s="282"/>
      <c r="CT370" s="281"/>
      <c r="CU370" s="282"/>
      <c r="CV370" s="281"/>
      <c r="CW370" s="282"/>
      <c r="CX370" s="281"/>
      <c r="CY370" s="282"/>
      <c r="CZ370" s="281"/>
      <c r="DA370" s="282"/>
      <c r="DB370" s="281"/>
      <c r="DC370" s="282"/>
      <c r="DD370" s="281"/>
      <c r="DE370" s="282"/>
      <c r="DF370" s="281"/>
      <c r="DG370" s="282"/>
      <c r="DH370" s="281"/>
      <c r="DI370" s="282"/>
      <c r="DJ370" s="281"/>
      <c r="DK370" s="282"/>
      <c r="DL370" s="281"/>
      <c r="DM370" s="282"/>
      <c r="DN370" s="281"/>
      <c r="DO370" s="282"/>
      <c r="DP370" s="281"/>
      <c r="DQ370" s="282"/>
      <c r="DR370" s="281"/>
      <c r="DS370" s="282"/>
      <c r="DT370" s="281"/>
      <c r="DU370" s="301"/>
      <c r="DV370" s="301"/>
      <c r="DW370" s="301"/>
      <c r="DX370" s="301"/>
      <c r="DY370" s="301"/>
      <c r="DZ370" s="301"/>
      <c r="EA370" s="301"/>
      <c r="EB370" s="301"/>
      <c r="EC370" s="301"/>
      <c r="ED370" s="301"/>
      <c r="EE370" s="301"/>
      <c r="EF370" s="301"/>
      <c r="EG370" s="301"/>
      <c r="EH370" s="301"/>
      <c r="EI370" s="301"/>
      <c r="EJ370" s="301"/>
      <c r="EK370" s="301"/>
      <c r="EL370" s="301"/>
      <c r="EM370" s="301"/>
      <c r="EN370" s="282"/>
      <c r="EO370" s="281"/>
      <c r="EP370" s="282"/>
      <c r="EQ370" s="281"/>
      <c r="ER370" s="282"/>
      <c r="ES370" s="281"/>
      <c r="ET370" s="282"/>
      <c r="EU370" s="281"/>
      <c r="EV370" s="282"/>
      <c r="EW370" s="281"/>
      <c r="EX370" s="282"/>
      <c r="EY370" s="281"/>
      <c r="EZ370" s="282"/>
      <c r="FA370" s="281"/>
      <c r="FB370" s="282"/>
      <c r="FC370" s="281"/>
      <c r="FD370" s="282"/>
      <c r="FE370" s="281"/>
      <c r="FF370" s="282"/>
      <c r="FG370" s="281"/>
      <c r="FH370" s="282"/>
      <c r="FI370" s="281"/>
      <c r="FJ370" s="282"/>
      <c r="FK370" s="281"/>
      <c r="FL370" s="282"/>
      <c r="FM370" s="281"/>
      <c r="FN370" s="282"/>
      <c r="FO370" s="281"/>
      <c r="FP370" s="282"/>
      <c r="FQ370" s="281"/>
      <c r="FR370" s="301"/>
      <c r="FS370" s="301"/>
      <c r="FT370" s="301"/>
      <c r="FU370" s="301"/>
      <c r="FV370" s="301"/>
      <c r="FW370" s="301"/>
      <c r="FX370" s="301"/>
      <c r="FY370" s="301"/>
      <c r="FZ370" s="301"/>
      <c r="GA370" s="301"/>
      <c r="GB370" s="301"/>
      <c r="GC370" s="301"/>
      <c r="GD370" s="301"/>
      <c r="GE370" s="301"/>
      <c r="GF370" s="301"/>
      <c r="GG370" s="286"/>
    </row>
    <row r="371" spans="1:189" ht="15" customHeight="1" outlineLevel="1" x14ac:dyDescent="0.3">
      <c r="A371" s="1"/>
      <c r="B371" s="301"/>
      <c r="C371" s="301"/>
      <c r="D371" s="301"/>
      <c r="E371" s="301"/>
      <c r="F371" s="301"/>
      <c r="G371" s="5" t="s">
        <v>30</v>
      </c>
      <c r="H371" s="5"/>
      <c r="I371" s="327">
        <f>AVERAGE(K371:AH371)</f>
        <v>0.86636363636363645</v>
      </c>
      <c r="J371" s="281"/>
      <c r="K371" s="327">
        <v>0.8</v>
      </c>
      <c r="L371" s="281"/>
      <c r="M371" s="327">
        <v>0.82</v>
      </c>
      <c r="N371" s="281"/>
      <c r="O371" s="327">
        <v>0.8</v>
      </c>
      <c r="P371" s="281"/>
      <c r="Q371" s="327">
        <v>0.79</v>
      </c>
      <c r="R371" s="281"/>
      <c r="S371" s="327">
        <v>0.79</v>
      </c>
      <c r="T371" s="281"/>
      <c r="U371" s="327">
        <v>0.81</v>
      </c>
      <c r="V371" s="281"/>
      <c r="W371" s="427"/>
      <c r="X371" s="281"/>
      <c r="Y371" s="327">
        <v>0.93</v>
      </c>
      <c r="Z371" s="281"/>
      <c r="AA371" s="327">
        <v>0.93</v>
      </c>
      <c r="AB371" s="281"/>
      <c r="AC371" s="327">
        <v>0.94</v>
      </c>
      <c r="AD371" s="281"/>
      <c r="AE371" s="327">
        <v>0.96</v>
      </c>
      <c r="AF371" s="281"/>
      <c r="AG371" s="327">
        <v>0.96</v>
      </c>
      <c r="AH371" s="281"/>
      <c r="AI371" s="327">
        <v>0.96</v>
      </c>
      <c r="AJ371" s="281"/>
      <c r="AK371" s="327">
        <v>0.96</v>
      </c>
      <c r="AL371" s="281"/>
      <c r="AM371" s="327">
        <v>0.97</v>
      </c>
      <c r="AN371" s="281"/>
      <c r="AO371" s="327">
        <v>0.96</v>
      </c>
      <c r="AP371" s="281"/>
      <c r="AQ371" s="327">
        <v>0.97</v>
      </c>
      <c r="AR371" s="281"/>
      <c r="AS371" s="327">
        <v>0.96</v>
      </c>
      <c r="AT371" s="281"/>
      <c r="AU371" s="327">
        <v>0.95</v>
      </c>
      <c r="AV371" s="281"/>
      <c r="AW371" s="327">
        <v>0.92</v>
      </c>
      <c r="AX371" s="281"/>
      <c r="AY371" s="327">
        <v>0.94</v>
      </c>
      <c r="AZ371" s="281"/>
      <c r="BA371" s="327">
        <v>0.94</v>
      </c>
      <c r="BB371" s="281"/>
      <c r="BC371" s="327">
        <v>0.94</v>
      </c>
      <c r="BD371" s="281"/>
      <c r="BE371" s="327">
        <v>0.93</v>
      </c>
      <c r="BF371" s="281"/>
      <c r="BG371" s="327">
        <v>0.93</v>
      </c>
      <c r="BH371" s="281"/>
      <c r="BI371" s="327">
        <v>0.97</v>
      </c>
      <c r="BJ371" s="281"/>
      <c r="BK371" s="327">
        <v>0.93</v>
      </c>
      <c r="BL371" s="281"/>
      <c r="BM371" s="327">
        <v>0.95</v>
      </c>
      <c r="BN371" s="281"/>
      <c r="BO371" s="334">
        <v>0.93</v>
      </c>
      <c r="BP371" s="281"/>
      <c r="BQ371" s="334">
        <v>0.91</v>
      </c>
      <c r="BR371" s="281"/>
      <c r="BS371" s="334">
        <v>0.93</v>
      </c>
      <c r="BT371" s="281"/>
      <c r="BU371" s="334">
        <v>0.96</v>
      </c>
      <c r="BV371" s="281"/>
      <c r="BW371" s="334">
        <v>0.94</v>
      </c>
      <c r="BX371" s="281"/>
      <c r="BY371" s="334">
        <v>0.95</v>
      </c>
      <c r="BZ371" s="281"/>
      <c r="CA371" s="334">
        <v>0.93</v>
      </c>
      <c r="CB371" s="281"/>
      <c r="CC371" s="334">
        <v>0.98</v>
      </c>
      <c r="CD371" s="281"/>
      <c r="CE371" s="334">
        <v>0.94</v>
      </c>
      <c r="CF371" s="281"/>
      <c r="CG371" s="334">
        <v>0.95</v>
      </c>
      <c r="CH371" s="281"/>
      <c r="CI371" s="334">
        <v>0.98</v>
      </c>
      <c r="CJ371" s="281"/>
      <c r="CK371" s="334">
        <v>0.92</v>
      </c>
      <c r="CL371" s="281"/>
      <c r="CM371" s="334">
        <v>0.92</v>
      </c>
      <c r="CN371" s="281"/>
      <c r="CO371" s="334">
        <v>0.93</v>
      </c>
      <c r="CP371" s="281"/>
      <c r="CQ371" s="334">
        <v>0.94</v>
      </c>
      <c r="CR371" s="281"/>
      <c r="CS371" s="334">
        <v>0.92</v>
      </c>
      <c r="CT371" s="281"/>
      <c r="CU371" s="334">
        <v>0.93</v>
      </c>
      <c r="CV371" s="281"/>
      <c r="CW371" s="334">
        <v>0.92</v>
      </c>
      <c r="CX371" s="281"/>
      <c r="CY371" s="334">
        <v>0.9</v>
      </c>
      <c r="CZ371" s="281"/>
      <c r="DA371" s="334">
        <v>0.91</v>
      </c>
      <c r="DB371" s="281"/>
      <c r="DC371" s="334">
        <v>0.91</v>
      </c>
      <c r="DD371" s="281"/>
      <c r="DE371" s="334">
        <v>0.93</v>
      </c>
      <c r="DF371" s="281"/>
      <c r="DG371" s="334">
        <v>0.94</v>
      </c>
      <c r="DH371" s="281"/>
      <c r="DI371" s="334">
        <v>0.9</v>
      </c>
      <c r="DJ371" s="281"/>
      <c r="DK371" s="334">
        <v>0.91</v>
      </c>
      <c r="DL371" s="281"/>
      <c r="DM371" s="334">
        <v>0.89</v>
      </c>
      <c r="DN371" s="281"/>
      <c r="DO371" s="334">
        <v>0.91</v>
      </c>
      <c r="DP371" s="281"/>
      <c r="DQ371" s="334">
        <v>0.91</v>
      </c>
      <c r="DR371" s="281"/>
      <c r="DS371" s="334">
        <v>0.92</v>
      </c>
      <c r="DT371" s="281"/>
      <c r="DU371" s="301"/>
      <c r="DV371" s="301"/>
      <c r="DW371" s="301"/>
      <c r="DX371" s="301"/>
      <c r="DY371" s="301"/>
      <c r="DZ371" s="301"/>
      <c r="EA371" s="301"/>
      <c r="EB371" s="301"/>
      <c r="EC371" s="301"/>
      <c r="ED371" s="301"/>
      <c r="EE371" s="301"/>
      <c r="EF371" s="301"/>
      <c r="EG371" s="301"/>
      <c r="EH371" s="301"/>
      <c r="EI371" s="301"/>
      <c r="EJ371" s="301"/>
      <c r="EK371" s="301"/>
      <c r="EL371" s="301"/>
      <c r="EM371" s="301"/>
      <c r="EN371" s="334">
        <v>0.88</v>
      </c>
      <c r="EO371" s="281"/>
      <c r="EP371" s="334">
        <v>0.9</v>
      </c>
      <c r="EQ371" s="281"/>
      <c r="ER371" s="334">
        <v>0.88</v>
      </c>
      <c r="ES371" s="281"/>
      <c r="ET371" s="334"/>
      <c r="EU371" s="281"/>
      <c r="EV371" s="334"/>
      <c r="EW371" s="281"/>
      <c r="EX371" s="334"/>
      <c r="EY371" s="281"/>
      <c r="EZ371" s="334"/>
      <c r="FA371" s="281"/>
      <c r="FB371" s="334"/>
      <c r="FC371" s="281"/>
      <c r="FD371" s="334"/>
      <c r="FE371" s="281"/>
      <c r="FF371" s="334">
        <v>0.89</v>
      </c>
      <c r="FG371" s="281"/>
      <c r="FH371" s="334">
        <v>0.86</v>
      </c>
      <c r="FI371" s="281"/>
      <c r="FJ371" s="334">
        <v>0.85</v>
      </c>
      <c r="FK371" s="281"/>
      <c r="FL371" s="334">
        <v>0.88</v>
      </c>
      <c r="FM371" s="281"/>
      <c r="FN371" s="334">
        <v>0.91</v>
      </c>
      <c r="FO371" s="281"/>
      <c r="FP371" s="334"/>
      <c r="FQ371" s="281"/>
      <c r="FR371" s="301"/>
      <c r="FS371" s="301"/>
      <c r="FT371" s="301"/>
      <c r="FU371" s="301"/>
      <c r="FV371" s="301"/>
      <c r="FW371" s="301"/>
      <c r="FX371" s="301"/>
      <c r="FY371" s="301"/>
      <c r="FZ371" s="301"/>
      <c r="GA371" s="301"/>
      <c r="GB371" s="301"/>
      <c r="GC371" s="301"/>
      <c r="GD371" s="301"/>
      <c r="GE371" s="301"/>
      <c r="GF371" s="301"/>
      <c r="GG371" s="286"/>
    </row>
    <row r="372" spans="1:189" ht="15" customHeight="1" outlineLevel="1" x14ac:dyDescent="0.3">
      <c r="A372" s="1"/>
      <c r="B372" s="302"/>
      <c r="C372" s="302"/>
      <c r="D372" s="302"/>
      <c r="E372" s="302"/>
      <c r="F372" s="302"/>
      <c r="G372" s="5" t="s">
        <v>269</v>
      </c>
      <c r="H372" s="5"/>
      <c r="I372" s="284">
        <f>SUM(K372:AH372)</f>
        <v>1191</v>
      </c>
      <c r="J372" s="281"/>
      <c r="K372" s="284">
        <v>93</v>
      </c>
      <c r="L372" s="281"/>
      <c r="M372" s="284">
        <v>94</v>
      </c>
      <c r="N372" s="281"/>
      <c r="O372" s="284">
        <v>98</v>
      </c>
      <c r="P372" s="281"/>
      <c r="Q372" s="284">
        <v>84</v>
      </c>
      <c r="R372" s="281"/>
      <c r="S372" s="284">
        <v>89</v>
      </c>
      <c r="T372" s="281"/>
      <c r="U372" s="284">
        <v>85</v>
      </c>
      <c r="V372" s="281"/>
      <c r="W372" s="428"/>
      <c r="X372" s="281"/>
      <c r="Y372" s="284">
        <v>133</v>
      </c>
      <c r="Z372" s="281"/>
      <c r="AA372" s="284">
        <v>127</v>
      </c>
      <c r="AB372" s="281"/>
      <c r="AC372" s="284">
        <v>128</v>
      </c>
      <c r="AD372" s="281"/>
      <c r="AE372" s="284">
        <v>132</v>
      </c>
      <c r="AF372" s="281"/>
      <c r="AG372" s="284">
        <v>128</v>
      </c>
      <c r="AH372" s="281"/>
      <c r="AI372" s="284">
        <v>54</v>
      </c>
      <c r="AJ372" s="281"/>
      <c r="AK372" s="284">
        <v>92</v>
      </c>
      <c r="AL372" s="281"/>
      <c r="AM372" s="284">
        <v>134</v>
      </c>
      <c r="AN372" s="281"/>
      <c r="AO372" s="284">
        <v>114</v>
      </c>
      <c r="AP372" s="281"/>
      <c r="AQ372" s="284">
        <v>87</v>
      </c>
      <c r="AR372" s="281"/>
      <c r="AS372" s="284">
        <v>92</v>
      </c>
      <c r="AT372" s="281"/>
      <c r="AU372" s="284">
        <v>84</v>
      </c>
      <c r="AV372" s="281"/>
      <c r="AW372" s="284">
        <v>96</v>
      </c>
      <c r="AX372" s="281"/>
      <c r="AY372" s="284">
        <v>104</v>
      </c>
      <c r="AZ372" s="281"/>
      <c r="BA372" s="284">
        <v>76</v>
      </c>
      <c r="BB372" s="281"/>
      <c r="BC372" s="284">
        <v>63</v>
      </c>
      <c r="BD372" s="281"/>
      <c r="BE372" s="284">
        <v>94</v>
      </c>
      <c r="BF372" s="281"/>
      <c r="BG372" s="284">
        <v>54</v>
      </c>
      <c r="BH372" s="281"/>
      <c r="BI372" s="284">
        <v>50</v>
      </c>
      <c r="BJ372" s="281"/>
      <c r="BK372" s="284">
        <v>99</v>
      </c>
      <c r="BL372" s="281"/>
      <c r="BM372" s="284">
        <v>105</v>
      </c>
      <c r="BN372" s="281"/>
      <c r="BO372" s="335">
        <v>102</v>
      </c>
      <c r="BP372" s="281"/>
      <c r="BQ372" s="335">
        <v>114</v>
      </c>
      <c r="BR372" s="281"/>
      <c r="BS372" s="335">
        <f>35+35+24</f>
        <v>94</v>
      </c>
      <c r="BT372" s="281"/>
      <c r="BU372" s="335">
        <v>98</v>
      </c>
      <c r="BV372" s="281"/>
      <c r="BW372" s="335">
        <v>105</v>
      </c>
      <c r="BX372" s="281"/>
      <c r="BY372" s="335">
        <v>88</v>
      </c>
      <c r="BZ372" s="281"/>
      <c r="CA372" s="335">
        <v>100</v>
      </c>
      <c r="CB372" s="281"/>
      <c r="CC372" s="335">
        <v>100</v>
      </c>
      <c r="CD372" s="281"/>
      <c r="CE372" s="335">
        <v>100</v>
      </c>
      <c r="CF372" s="281"/>
      <c r="CG372" s="335">
        <v>84</v>
      </c>
      <c r="CH372" s="281"/>
      <c r="CI372" s="335">
        <v>86</v>
      </c>
      <c r="CJ372" s="281"/>
      <c r="CK372" s="335">
        <v>54</v>
      </c>
      <c r="CL372" s="281"/>
      <c r="CM372" s="335">
        <v>108</v>
      </c>
      <c r="CN372" s="281"/>
      <c r="CO372" s="335">
        <v>104</v>
      </c>
      <c r="CP372" s="281"/>
      <c r="CQ372" s="335">
        <v>108</v>
      </c>
      <c r="CR372" s="281"/>
      <c r="CS372" s="335">
        <v>129</v>
      </c>
      <c r="CT372" s="281"/>
      <c r="CU372" s="335">
        <v>68</v>
      </c>
      <c r="CV372" s="281"/>
      <c r="CW372" s="335">
        <v>104</v>
      </c>
      <c r="CX372" s="281"/>
      <c r="CY372" s="335">
        <v>104</v>
      </c>
      <c r="CZ372" s="281"/>
      <c r="DA372" s="335">
        <v>98</v>
      </c>
      <c r="DB372" s="281"/>
      <c r="DC372" s="335">
        <v>104</v>
      </c>
      <c r="DD372" s="281"/>
      <c r="DE372" s="335">
        <v>99</v>
      </c>
      <c r="DF372" s="281"/>
      <c r="DG372" s="335">
        <v>48</v>
      </c>
      <c r="DH372" s="281"/>
      <c r="DI372" s="335">
        <v>46</v>
      </c>
      <c r="DJ372" s="281"/>
      <c r="DK372" s="335">
        <v>96</v>
      </c>
      <c r="DL372" s="281"/>
      <c r="DM372" s="335">
        <v>96</v>
      </c>
      <c r="DN372" s="281"/>
      <c r="DO372" s="335">
        <v>72</v>
      </c>
      <c r="DP372" s="281"/>
      <c r="DQ372" s="335">
        <v>89</v>
      </c>
      <c r="DR372" s="281"/>
      <c r="DS372" s="335">
        <v>67</v>
      </c>
      <c r="DT372" s="281"/>
      <c r="DU372" s="322"/>
      <c r="DV372" s="322"/>
      <c r="DW372" s="322"/>
      <c r="DX372" s="322"/>
      <c r="DY372" s="322"/>
      <c r="DZ372" s="322"/>
      <c r="EA372" s="322"/>
      <c r="EB372" s="322"/>
      <c r="EC372" s="322"/>
      <c r="ED372" s="322"/>
      <c r="EE372" s="322"/>
      <c r="EF372" s="322"/>
      <c r="EG372" s="322"/>
      <c r="EH372" s="322"/>
      <c r="EI372" s="322"/>
      <c r="EJ372" s="322"/>
      <c r="EK372" s="322"/>
      <c r="EL372" s="322"/>
      <c r="EM372" s="322"/>
      <c r="EN372" s="335">
        <v>94</v>
      </c>
      <c r="EO372" s="281"/>
      <c r="EP372" s="335">
        <v>95</v>
      </c>
      <c r="EQ372" s="281"/>
      <c r="ER372" s="335">
        <v>90</v>
      </c>
      <c r="ES372" s="281"/>
      <c r="ET372" s="335"/>
      <c r="EU372" s="281"/>
      <c r="EV372" s="335"/>
      <c r="EW372" s="281"/>
      <c r="EX372" s="335"/>
      <c r="EY372" s="281"/>
      <c r="EZ372" s="335"/>
      <c r="FA372" s="281"/>
      <c r="FB372" s="335"/>
      <c r="FC372" s="281"/>
      <c r="FD372" s="335"/>
      <c r="FE372" s="281"/>
      <c r="FF372" s="335">
        <v>72</v>
      </c>
      <c r="FG372" s="281"/>
      <c r="FH372" s="335">
        <v>75</v>
      </c>
      <c r="FI372" s="281"/>
      <c r="FJ372" s="335">
        <v>53</v>
      </c>
      <c r="FK372" s="281"/>
      <c r="FL372" s="335">
        <v>52</v>
      </c>
      <c r="FM372" s="281"/>
      <c r="FN372" s="335">
        <v>40</v>
      </c>
      <c r="FO372" s="281"/>
      <c r="FP372" s="335"/>
      <c r="FQ372" s="281"/>
      <c r="FR372" s="322"/>
      <c r="FS372" s="322"/>
      <c r="FT372" s="322"/>
      <c r="FU372" s="322"/>
      <c r="FV372" s="322"/>
      <c r="FW372" s="322"/>
      <c r="FX372" s="322"/>
      <c r="FY372" s="322"/>
      <c r="FZ372" s="322"/>
      <c r="GA372" s="322"/>
      <c r="GB372" s="322"/>
      <c r="GC372" s="322"/>
      <c r="GD372" s="322"/>
      <c r="GE372" s="322"/>
      <c r="GF372" s="322"/>
      <c r="GG372" s="293"/>
    </row>
    <row r="373" spans="1:189" ht="8.25" customHeight="1" outlineLevel="1" x14ac:dyDescent="0.3">
      <c r="A373" s="1"/>
      <c r="B373" s="18"/>
      <c r="C373" s="18"/>
      <c r="D373" s="18"/>
      <c r="E373" s="18"/>
      <c r="F373" s="18"/>
      <c r="G373" s="3"/>
      <c r="H373" s="3"/>
      <c r="I373" s="19"/>
      <c r="J373" s="20"/>
      <c r="K373" s="19"/>
      <c r="L373" s="20"/>
      <c r="M373" s="19"/>
      <c r="N373" s="20"/>
      <c r="O373" s="19"/>
      <c r="P373" s="20"/>
      <c r="Q373" s="19"/>
      <c r="R373" s="20"/>
      <c r="S373" s="19"/>
      <c r="T373" s="20"/>
      <c r="U373" s="19"/>
      <c r="V373" s="20"/>
      <c r="W373" s="19"/>
      <c r="X373" s="20"/>
      <c r="Y373" s="19"/>
      <c r="Z373" s="20"/>
      <c r="AA373" s="19"/>
      <c r="AB373" s="20"/>
      <c r="AC373" s="19"/>
      <c r="AD373" s="20"/>
      <c r="AE373" s="19"/>
      <c r="AF373" s="20"/>
      <c r="AG373" s="19"/>
      <c r="AH373" s="20"/>
      <c r="AI373" s="19"/>
      <c r="AJ373" s="20"/>
      <c r="AK373" s="19"/>
      <c r="AL373" s="20"/>
      <c r="AM373" s="19"/>
      <c r="AN373" s="20"/>
      <c r="AO373" s="19"/>
      <c r="AP373" s="20"/>
      <c r="AQ373" s="19"/>
      <c r="AR373" s="20"/>
      <c r="AS373" s="19"/>
      <c r="AT373" s="20"/>
      <c r="AU373" s="19"/>
      <c r="AV373" s="20"/>
      <c r="AW373" s="19"/>
      <c r="AX373" s="20"/>
      <c r="AY373" s="19"/>
      <c r="AZ373" s="20"/>
      <c r="BA373" s="19"/>
      <c r="BB373" s="20"/>
      <c r="BC373" s="19"/>
      <c r="BD373" s="20"/>
      <c r="BE373" s="19"/>
      <c r="BF373" s="20"/>
      <c r="BG373" s="19"/>
      <c r="BH373" s="20"/>
      <c r="BI373" s="19"/>
      <c r="BJ373" s="20"/>
      <c r="BK373" s="19"/>
      <c r="BL373" s="20"/>
      <c r="BM373" s="19"/>
      <c r="BN373" s="20"/>
      <c r="BO373" s="19"/>
      <c r="BP373" s="20"/>
      <c r="BQ373" s="19"/>
      <c r="BR373" s="20"/>
      <c r="BS373" s="19"/>
      <c r="BT373" s="20"/>
      <c r="BU373" s="19"/>
      <c r="BV373" s="20"/>
      <c r="BW373" s="19"/>
      <c r="BX373" s="20"/>
      <c r="BY373" s="19"/>
      <c r="BZ373" s="20"/>
      <c r="CA373" s="19"/>
      <c r="CB373" s="20"/>
      <c r="CC373" s="19"/>
      <c r="CD373" s="20"/>
      <c r="CE373" s="19"/>
      <c r="CF373" s="20"/>
      <c r="CG373" s="19"/>
      <c r="CH373" s="20"/>
      <c r="CI373" s="19"/>
      <c r="CJ373" s="20"/>
      <c r="CK373" s="19"/>
      <c r="CL373" s="20"/>
      <c r="CM373" s="19"/>
      <c r="CN373" s="20"/>
      <c r="CO373" s="19"/>
      <c r="CP373" s="20"/>
      <c r="CQ373" s="19"/>
      <c r="CR373" s="20"/>
      <c r="CS373" s="19"/>
      <c r="CT373" s="20"/>
      <c r="CU373" s="19"/>
      <c r="CV373" s="20"/>
      <c r="CW373" s="19"/>
      <c r="CX373" s="20"/>
      <c r="CY373" s="19"/>
      <c r="CZ373" s="20"/>
      <c r="DA373" s="19"/>
      <c r="DB373" s="20"/>
      <c r="DC373" s="19"/>
      <c r="DD373" s="20"/>
      <c r="DE373" s="19"/>
      <c r="DF373" s="20"/>
      <c r="DG373" s="19"/>
      <c r="DH373" s="20"/>
      <c r="DI373" s="19"/>
      <c r="DJ373" s="20"/>
      <c r="DK373" s="19"/>
      <c r="DL373" s="20"/>
      <c r="DM373" s="19"/>
      <c r="DN373" s="20"/>
      <c r="DO373" s="19"/>
      <c r="DP373" s="20"/>
      <c r="DQ373" s="19"/>
      <c r="DR373" s="20"/>
      <c r="DS373" s="19"/>
      <c r="DT373" s="20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19"/>
      <c r="EO373" s="20"/>
      <c r="EP373" s="19"/>
      <c r="EQ373" s="20"/>
      <c r="ER373" s="19"/>
      <c r="ES373" s="20"/>
      <c r="ET373" s="19"/>
      <c r="EU373" s="20"/>
      <c r="EV373" s="19"/>
      <c r="EW373" s="20"/>
      <c r="EX373" s="19"/>
      <c r="EY373" s="20"/>
      <c r="EZ373" s="19"/>
      <c r="FA373" s="20"/>
      <c r="FB373" s="19"/>
      <c r="FC373" s="20"/>
      <c r="FD373" s="19"/>
      <c r="FE373" s="20"/>
      <c r="FF373" s="19"/>
      <c r="FG373" s="20"/>
      <c r="FH373" s="19"/>
      <c r="FI373" s="20"/>
      <c r="FJ373" s="19"/>
      <c r="FK373" s="20"/>
      <c r="FL373" s="19"/>
      <c r="FM373" s="20"/>
      <c r="FN373" s="19"/>
      <c r="FO373" s="20"/>
      <c r="FP373" s="19"/>
      <c r="FQ373" s="20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</row>
    <row r="374" spans="1:189" ht="15" customHeight="1" outlineLevel="1" x14ac:dyDescent="0.3">
      <c r="A374" s="63"/>
      <c r="B374" s="313" t="s">
        <v>270</v>
      </c>
      <c r="C374" s="313" t="s">
        <v>24</v>
      </c>
      <c r="D374" s="313" t="s">
        <v>25</v>
      </c>
      <c r="E374" s="313" t="s">
        <v>271</v>
      </c>
      <c r="F374" s="313" t="s">
        <v>27</v>
      </c>
      <c r="G374" s="5" t="s">
        <v>28</v>
      </c>
      <c r="H374" s="5"/>
      <c r="I374" s="283">
        <v>1.4E-2</v>
      </c>
      <c r="J374" s="281"/>
      <c r="K374" s="283">
        <v>1.4E-2</v>
      </c>
      <c r="L374" s="281"/>
      <c r="M374" s="283">
        <v>1.4E-2</v>
      </c>
      <c r="N374" s="281"/>
      <c r="O374" s="283">
        <v>1.4E-2</v>
      </c>
      <c r="P374" s="281"/>
      <c r="Q374" s="283">
        <v>1.4E-2</v>
      </c>
      <c r="R374" s="281"/>
      <c r="S374" s="283">
        <v>1.4E-2</v>
      </c>
      <c r="T374" s="281"/>
      <c r="U374" s="283">
        <v>1.4E-2</v>
      </c>
      <c r="V374" s="281"/>
      <c r="W374" s="283">
        <v>1.4E-2</v>
      </c>
      <c r="X374" s="281"/>
      <c r="Y374" s="283">
        <v>1.4E-2</v>
      </c>
      <c r="Z374" s="281"/>
      <c r="AA374" s="283">
        <v>1.4E-2</v>
      </c>
      <c r="AB374" s="281"/>
      <c r="AC374" s="283">
        <v>1.4E-2</v>
      </c>
      <c r="AD374" s="281"/>
      <c r="AE374" s="283">
        <v>1.4E-2</v>
      </c>
      <c r="AF374" s="281"/>
      <c r="AG374" s="283">
        <v>1.4E-2</v>
      </c>
      <c r="AH374" s="281"/>
      <c r="AI374" s="283">
        <v>1.4E-2</v>
      </c>
      <c r="AJ374" s="281"/>
      <c r="AK374" s="283">
        <v>1.4E-2</v>
      </c>
      <c r="AL374" s="281"/>
      <c r="AM374" s="283">
        <v>1.4E-2</v>
      </c>
      <c r="AN374" s="281"/>
      <c r="AO374" s="283">
        <v>1.4E-2</v>
      </c>
      <c r="AP374" s="281"/>
      <c r="AQ374" s="283">
        <v>1.4E-2</v>
      </c>
      <c r="AR374" s="281"/>
      <c r="AS374" s="283">
        <v>1.4E-2</v>
      </c>
      <c r="AT374" s="281"/>
      <c r="AU374" s="283">
        <v>1.4E-2</v>
      </c>
      <c r="AV374" s="281"/>
      <c r="AW374" s="283">
        <v>1.4E-2</v>
      </c>
      <c r="AX374" s="281"/>
      <c r="AY374" s="283">
        <v>1.4E-2</v>
      </c>
      <c r="AZ374" s="281"/>
      <c r="BA374" s="283">
        <v>1.4E-2</v>
      </c>
      <c r="BB374" s="281"/>
      <c r="BC374" s="283">
        <v>1.4E-2</v>
      </c>
      <c r="BD374" s="281"/>
      <c r="BE374" s="283">
        <v>1.4E-2</v>
      </c>
      <c r="BF374" s="281"/>
      <c r="BG374" s="283">
        <v>1.4E-2</v>
      </c>
      <c r="BH374" s="281"/>
      <c r="BI374" s="283">
        <v>1.4E-2</v>
      </c>
      <c r="BJ374" s="281"/>
      <c r="BK374" s="283">
        <v>1.4E-2</v>
      </c>
      <c r="BL374" s="281"/>
      <c r="BM374" s="283">
        <v>1.4E-2</v>
      </c>
      <c r="BN374" s="281"/>
      <c r="BO374" s="283">
        <v>1.4E-2</v>
      </c>
      <c r="BP374" s="281"/>
      <c r="BQ374" s="283">
        <v>1.4E-2</v>
      </c>
      <c r="BR374" s="281"/>
      <c r="BS374" s="283">
        <v>1.4E-2</v>
      </c>
      <c r="BT374" s="281"/>
      <c r="BU374" s="283">
        <v>1.4E-2</v>
      </c>
      <c r="BV374" s="281"/>
      <c r="BW374" s="283">
        <v>1.4E-2</v>
      </c>
      <c r="BX374" s="281"/>
      <c r="BY374" s="283">
        <v>1.4E-2</v>
      </c>
      <c r="BZ374" s="281"/>
      <c r="CA374" s="283">
        <v>1.4E-2</v>
      </c>
      <c r="CB374" s="281"/>
      <c r="CC374" s="283">
        <v>1.4E-2</v>
      </c>
      <c r="CD374" s="281"/>
      <c r="CE374" s="283">
        <v>1.4E-2</v>
      </c>
      <c r="CF374" s="281"/>
      <c r="CG374" s="283">
        <v>1.4E-2</v>
      </c>
      <c r="CH374" s="281"/>
      <c r="CI374" s="283">
        <v>1.4E-2</v>
      </c>
      <c r="CJ374" s="281"/>
      <c r="CK374" s="283">
        <v>1.4E-2</v>
      </c>
      <c r="CL374" s="281"/>
      <c r="CM374" s="283">
        <v>1.4E-2</v>
      </c>
      <c r="CN374" s="281"/>
      <c r="CO374" s="283">
        <v>1.4E-2</v>
      </c>
      <c r="CP374" s="281"/>
      <c r="CQ374" s="283">
        <v>1.4E-2</v>
      </c>
      <c r="CR374" s="281"/>
      <c r="CS374" s="283">
        <v>1.4E-2</v>
      </c>
      <c r="CT374" s="281"/>
      <c r="CU374" s="283">
        <v>1.4E-2</v>
      </c>
      <c r="CV374" s="281"/>
      <c r="CW374" s="283">
        <v>1.4E-2</v>
      </c>
      <c r="CX374" s="281"/>
      <c r="CY374" s="283">
        <v>1.4E-2</v>
      </c>
      <c r="CZ374" s="281"/>
      <c r="DA374" s="283">
        <v>1.4E-2</v>
      </c>
      <c r="DB374" s="281"/>
      <c r="DC374" s="283">
        <v>1.4E-2</v>
      </c>
      <c r="DD374" s="281"/>
      <c r="DE374" s="283">
        <v>1.4E-2</v>
      </c>
      <c r="DF374" s="281"/>
      <c r="DG374" s="283">
        <v>1.4E-2</v>
      </c>
      <c r="DH374" s="281"/>
      <c r="DI374" s="283">
        <v>1.4E-2</v>
      </c>
      <c r="DJ374" s="281"/>
      <c r="DK374" s="283">
        <v>1.4E-2</v>
      </c>
      <c r="DL374" s="281"/>
      <c r="DM374" s="283">
        <v>1.4E-2</v>
      </c>
      <c r="DN374" s="281"/>
      <c r="DO374" s="283">
        <v>1.4E-2</v>
      </c>
      <c r="DP374" s="281"/>
      <c r="DQ374" s="283">
        <v>1.4E-2</v>
      </c>
      <c r="DR374" s="281"/>
      <c r="DS374" s="283">
        <v>1.4E-2</v>
      </c>
      <c r="DT374" s="281"/>
      <c r="DU374" s="319" t="s">
        <v>29</v>
      </c>
      <c r="DV374" s="319" t="s">
        <v>29</v>
      </c>
      <c r="DW374" s="319" t="s">
        <v>29</v>
      </c>
      <c r="DX374" s="319" t="s">
        <v>29</v>
      </c>
      <c r="DY374" s="319" t="s">
        <v>29</v>
      </c>
      <c r="DZ374" s="319" t="s">
        <v>29</v>
      </c>
      <c r="EA374" s="319" t="s">
        <v>29</v>
      </c>
      <c r="EB374" s="319" t="s">
        <v>29</v>
      </c>
      <c r="EC374" s="319" t="s">
        <v>29</v>
      </c>
      <c r="ED374" s="319" t="s">
        <v>29</v>
      </c>
      <c r="EE374" s="319" t="s">
        <v>29</v>
      </c>
      <c r="EF374" s="319"/>
      <c r="EG374" s="319"/>
      <c r="EH374" s="319" t="s">
        <v>29</v>
      </c>
      <c r="EI374" s="319" t="s">
        <v>29</v>
      </c>
      <c r="EJ374" s="319"/>
      <c r="EK374" s="319"/>
      <c r="EL374" s="319"/>
      <c r="EM374" s="319" t="s">
        <v>29</v>
      </c>
      <c r="EN374" s="283">
        <v>1.4E-2</v>
      </c>
      <c r="EO374" s="281"/>
      <c r="EP374" s="283">
        <v>1.4E-2</v>
      </c>
      <c r="EQ374" s="281"/>
      <c r="ER374" s="283">
        <v>1.4E-2</v>
      </c>
      <c r="ES374" s="281"/>
      <c r="ET374" s="283">
        <v>1.4E-2</v>
      </c>
      <c r="EU374" s="281"/>
      <c r="EV374" s="283">
        <v>1.4E-2</v>
      </c>
      <c r="EW374" s="281"/>
      <c r="EX374" s="283">
        <v>1.4E-2</v>
      </c>
      <c r="EY374" s="281"/>
      <c r="EZ374" s="283">
        <v>1.4E-2</v>
      </c>
      <c r="FA374" s="281"/>
      <c r="FB374" s="283">
        <v>1.4E-2</v>
      </c>
      <c r="FC374" s="281"/>
      <c r="FD374" s="283">
        <v>1.4E-2</v>
      </c>
      <c r="FE374" s="281"/>
      <c r="FF374" s="283">
        <v>1.4E-2</v>
      </c>
      <c r="FG374" s="281"/>
      <c r="FH374" s="283">
        <v>1.4E-2</v>
      </c>
      <c r="FI374" s="281"/>
      <c r="FJ374" s="283">
        <v>1.4E-2</v>
      </c>
      <c r="FK374" s="281"/>
      <c r="FL374" s="283">
        <v>1.4E-2</v>
      </c>
      <c r="FM374" s="281"/>
      <c r="FN374" s="283">
        <v>1.4E-2</v>
      </c>
      <c r="FO374" s="281"/>
      <c r="FP374" s="283">
        <v>1.4E-2</v>
      </c>
      <c r="FQ374" s="281"/>
      <c r="FR374" s="319" t="s">
        <v>29</v>
      </c>
      <c r="FS374" s="319" t="s">
        <v>29</v>
      </c>
      <c r="FT374" s="319" t="s">
        <v>29</v>
      </c>
      <c r="FU374" s="319" t="s">
        <v>29</v>
      </c>
      <c r="FV374" s="319"/>
      <c r="FW374" s="319"/>
      <c r="FX374" s="319"/>
      <c r="FY374" s="319"/>
      <c r="FZ374" s="319" t="s">
        <v>29</v>
      </c>
      <c r="GA374" s="319" t="s">
        <v>29</v>
      </c>
      <c r="GB374" s="319" t="s">
        <v>29</v>
      </c>
      <c r="GC374" s="319" t="s">
        <v>29</v>
      </c>
      <c r="GD374" s="319" t="s">
        <v>29</v>
      </c>
      <c r="GE374" s="319"/>
      <c r="GF374" s="319"/>
      <c r="GG374" s="319"/>
    </row>
    <row r="375" spans="1:189" ht="4.5" customHeight="1" outlineLevel="1" x14ac:dyDescent="0.3">
      <c r="A375" s="1"/>
      <c r="B375" s="301"/>
      <c r="C375" s="301"/>
      <c r="D375" s="301"/>
      <c r="E375" s="301"/>
      <c r="F375" s="301"/>
      <c r="G375" s="5"/>
      <c r="H375" s="5"/>
      <c r="I375" s="387"/>
      <c r="J375" s="281"/>
      <c r="K375" s="282"/>
      <c r="L375" s="281"/>
      <c r="M375" s="282"/>
      <c r="N375" s="281"/>
      <c r="O375" s="282"/>
      <c r="P375" s="281"/>
      <c r="Q375" s="282"/>
      <c r="R375" s="281"/>
      <c r="S375" s="387"/>
      <c r="T375" s="281"/>
      <c r="U375" s="387"/>
      <c r="V375" s="281"/>
      <c r="W375" s="387"/>
      <c r="X375" s="281"/>
      <c r="Y375" s="387"/>
      <c r="Z375" s="281"/>
      <c r="AA375" s="387"/>
      <c r="AB375" s="281"/>
      <c r="AC375" s="387"/>
      <c r="AD375" s="281"/>
      <c r="AE375" s="387"/>
      <c r="AF375" s="281"/>
      <c r="AG375" s="387"/>
      <c r="AH375" s="281"/>
      <c r="AI375" s="387"/>
      <c r="AJ375" s="281"/>
      <c r="AK375" s="387"/>
      <c r="AL375" s="281"/>
      <c r="AM375" s="387"/>
      <c r="AN375" s="281"/>
      <c r="AO375" s="282"/>
      <c r="AP375" s="281"/>
      <c r="AQ375" s="282"/>
      <c r="AR375" s="281"/>
      <c r="AS375" s="282"/>
      <c r="AT375" s="281"/>
      <c r="AU375" s="282"/>
      <c r="AV375" s="281"/>
      <c r="AW375" s="387"/>
      <c r="AX375" s="281"/>
      <c r="AY375" s="387"/>
      <c r="AZ375" s="281"/>
      <c r="BA375" s="282"/>
      <c r="BB375" s="281"/>
      <c r="BC375" s="387"/>
      <c r="BD375" s="281"/>
      <c r="BE375" s="282"/>
      <c r="BF375" s="281"/>
      <c r="BG375" s="387"/>
      <c r="BH375" s="281"/>
      <c r="BI375" s="387"/>
      <c r="BJ375" s="281"/>
      <c r="BK375" s="282"/>
      <c r="BL375" s="281"/>
      <c r="BM375" s="387"/>
      <c r="BN375" s="281"/>
      <c r="BO375" s="387"/>
      <c r="BP375" s="281"/>
      <c r="BQ375" s="387"/>
      <c r="BR375" s="281"/>
      <c r="BS375" s="387"/>
      <c r="BT375" s="281"/>
      <c r="BU375" s="387"/>
      <c r="BV375" s="281"/>
      <c r="BW375" s="387"/>
      <c r="BX375" s="281"/>
      <c r="BY375" s="387"/>
      <c r="BZ375" s="281"/>
      <c r="CA375" s="387"/>
      <c r="CB375" s="281"/>
      <c r="CC375" s="387"/>
      <c r="CD375" s="281"/>
      <c r="CE375" s="387"/>
      <c r="CF375" s="281"/>
      <c r="CG375" s="387"/>
      <c r="CH375" s="281"/>
      <c r="CI375" s="387"/>
      <c r="CJ375" s="281"/>
      <c r="CK375" s="387"/>
      <c r="CL375" s="281"/>
      <c r="CM375" s="387"/>
      <c r="CN375" s="281"/>
      <c r="CO375" s="387"/>
      <c r="CP375" s="281"/>
      <c r="CQ375" s="387"/>
      <c r="CR375" s="281"/>
      <c r="CS375" s="387"/>
      <c r="CT375" s="281"/>
      <c r="CU375" s="387"/>
      <c r="CV375" s="281"/>
      <c r="CW375" s="387"/>
      <c r="CX375" s="281"/>
      <c r="CY375" s="387"/>
      <c r="CZ375" s="281"/>
      <c r="DA375" s="387"/>
      <c r="DB375" s="281"/>
      <c r="DC375" s="387"/>
      <c r="DD375" s="281"/>
      <c r="DE375" s="387"/>
      <c r="DF375" s="281"/>
      <c r="DG375" s="387"/>
      <c r="DH375" s="281"/>
      <c r="DI375" s="387"/>
      <c r="DJ375" s="281"/>
      <c r="DK375" s="387"/>
      <c r="DL375" s="281"/>
      <c r="DM375" s="387"/>
      <c r="DN375" s="281"/>
      <c r="DO375" s="387"/>
      <c r="DP375" s="281"/>
      <c r="DQ375" s="387"/>
      <c r="DR375" s="281"/>
      <c r="DS375" s="387"/>
      <c r="DT375" s="281"/>
      <c r="DU375" s="301"/>
      <c r="DV375" s="301"/>
      <c r="DW375" s="301"/>
      <c r="DX375" s="301"/>
      <c r="DY375" s="301"/>
      <c r="DZ375" s="301"/>
      <c r="EA375" s="301"/>
      <c r="EB375" s="301"/>
      <c r="EC375" s="301"/>
      <c r="ED375" s="301"/>
      <c r="EE375" s="301"/>
      <c r="EF375" s="301"/>
      <c r="EG375" s="301"/>
      <c r="EH375" s="301"/>
      <c r="EI375" s="301"/>
      <c r="EJ375" s="301"/>
      <c r="EK375" s="301"/>
      <c r="EL375" s="301"/>
      <c r="EM375" s="301"/>
      <c r="EN375" s="387"/>
      <c r="EO375" s="281"/>
      <c r="EP375" s="387"/>
      <c r="EQ375" s="281"/>
      <c r="ER375" s="387"/>
      <c r="ES375" s="281"/>
      <c r="ET375" s="282"/>
      <c r="EU375" s="281"/>
      <c r="EV375" s="282"/>
      <c r="EW375" s="281"/>
      <c r="EX375" s="282"/>
      <c r="EY375" s="281"/>
      <c r="EZ375" s="282"/>
      <c r="FA375" s="281"/>
      <c r="FB375" s="282"/>
      <c r="FC375" s="281"/>
      <c r="FD375" s="387"/>
      <c r="FE375" s="281"/>
      <c r="FF375" s="282"/>
      <c r="FG375" s="281"/>
      <c r="FH375" s="282"/>
      <c r="FI375" s="281"/>
      <c r="FJ375" s="282"/>
      <c r="FK375" s="281"/>
      <c r="FL375" s="282"/>
      <c r="FM375" s="281"/>
      <c r="FN375" s="282"/>
      <c r="FO375" s="281"/>
      <c r="FP375" s="282"/>
      <c r="FQ375" s="281"/>
      <c r="FR375" s="301"/>
      <c r="FS375" s="301"/>
      <c r="FT375" s="301"/>
      <c r="FU375" s="301"/>
      <c r="FV375" s="301"/>
      <c r="FW375" s="301"/>
      <c r="FX375" s="301"/>
      <c r="FY375" s="301"/>
      <c r="FZ375" s="301"/>
      <c r="GA375" s="301"/>
      <c r="GB375" s="301"/>
      <c r="GC375" s="301"/>
      <c r="GD375" s="301"/>
      <c r="GE375" s="301"/>
      <c r="GF375" s="301"/>
      <c r="GG375" s="301"/>
    </row>
    <row r="376" spans="1:189" ht="15" customHeight="1" outlineLevel="1" x14ac:dyDescent="0.3">
      <c r="A376" s="1"/>
      <c r="B376" s="302"/>
      <c r="C376" s="302"/>
      <c r="D376" s="302"/>
      <c r="E376" s="302"/>
      <c r="F376" s="302"/>
      <c r="G376" s="5" t="s">
        <v>30</v>
      </c>
      <c r="H376" s="5"/>
      <c r="I376" s="283">
        <f>I381/I3</f>
        <v>1.3683953232574245E-2</v>
      </c>
      <c r="J376" s="281"/>
      <c r="K376" s="283">
        <f>K381/K3</f>
        <v>4.124274496415159E-2</v>
      </c>
      <c r="L376" s="281"/>
      <c r="M376" s="283">
        <f>M381/M3</f>
        <v>3.0266538214515092E-2</v>
      </c>
      <c r="N376" s="281"/>
      <c r="O376" s="283">
        <f>O381/O3</f>
        <v>2.5675403901588793E-2</v>
      </c>
      <c r="P376" s="281"/>
      <c r="Q376" s="283">
        <f>Q381/Q3</f>
        <v>1.9843101061375174E-2</v>
      </c>
      <c r="R376" s="281"/>
      <c r="S376" s="283">
        <f>S381/S3</f>
        <v>1.4222727919214905E-2</v>
      </c>
      <c r="T376" s="281"/>
      <c r="U376" s="283">
        <f>U381/U3</f>
        <v>1.2107161257083977E-2</v>
      </c>
      <c r="V376" s="281"/>
      <c r="W376" s="283">
        <f>W381/W3</f>
        <v>1.2915636163781259E-2</v>
      </c>
      <c r="X376" s="281"/>
      <c r="Y376" s="283">
        <f>Y381/Y3</f>
        <v>1.151714896237007E-2</v>
      </c>
      <c r="Z376" s="281"/>
      <c r="AA376" s="283">
        <f>AA381/AA3</f>
        <v>8.6209811014571151E-3</v>
      </c>
      <c r="AB376" s="281"/>
      <c r="AC376" s="283">
        <f>AC381/AC3</f>
        <v>1.0693925692942795E-2</v>
      </c>
      <c r="AD376" s="281"/>
      <c r="AE376" s="283">
        <f>AE381/AE3</f>
        <v>7.1412192485340847E-3</v>
      </c>
      <c r="AF376" s="281"/>
      <c r="AG376" s="283">
        <f>AG381/AG3</f>
        <v>1.0844892812105928E-2</v>
      </c>
      <c r="AH376" s="281"/>
      <c r="AI376" s="283">
        <f>AI381/AI3</f>
        <v>1.0030145245272678E-2</v>
      </c>
      <c r="AJ376" s="281"/>
      <c r="AK376" s="283">
        <f>AK381/AK3</f>
        <v>8.0293069704421138E-3</v>
      </c>
      <c r="AL376" s="281"/>
      <c r="AM376" s="283">
        <f>AM381/AM3</f>
        <v>9.7932535364526653E-3</v>
      </c>
      <c r="AN376" s="281"/>
      <c r="AO376" s="283">
        <f>AO381/AO3</f>
        <v>2.0377194884023411E-2</v>
      </c>
      <c r="AP376" s="281"/>
      <c r="AQ376" s="283">
        <f>AQ381/AQ3</f>
        <v>2.1261599906026076E-2</v>
      </c>
      <c r="AR376" s="281"/>
      <c r="AS376" s="283">
        <f>AS381/AS3</f>
        <v>2.8364730320177639E-2</v>
      </c>
      <c r="AT376" s="281"/>
      <c r="AU376" s="283">
        <f>AU381/AU3</f>
        <v>2.189195855944746E-2</v>
      </c>
      <c r="AV376" s="281"/>
      <c r="AW376" s="283">
        <f>AW381/AW3</f>
        <v>1.2306373599461214E-2</v>
      </c>
      <c r="AX376" s="281"/>
      <c r="AY376" s="283">
        <f>AY381/AY3</f>
        <v>1.4431239388794566E-2</v>
      </c>
      <c r="AZ376" s="281"/>
      <c r="BA376" s="283">
        <f>BA381/BA3</f>
        <v>2.4428399518652225E-2</v>
      </c>
      <c r="BB376" s="281"/>
      <c r="BC376" s="283">
        <f>BC381/BC3</f>
        <v>1.2740919199406968E-2</v>
      </c>
      <c r="BD376" s="281"/>
      <c r="BE376" s="283">
        <f>BE381/BE3</f>
        <v>1.5916171056357974E-2</v>
      </c>
      <c r="BF376" s="281"/>
      <c r="BG376" s="283">
        <f>BG381/BG3</f>
        <v>1.3099396633852017E-2</v>
      </c>
      <c r="BH376" s="281"/>
      <c r="BI376" s="283">
        <f>BI381/BI3</f>
        <v>1.1427700746609782E-2</v>
      </c>
      <c r="BJ376" s="281"/>
      <c r="BK376" s="283">
        <f>BK381/BK3</f>
        <v>1.5022050716648291E-2</v>
      </c>
      <c r="BL376" s="281"/>
      <c r="BM376" s="283">
        <f>BM381/BM3</f>
        <v>1.4015522568005425E-2</v>
      </c>
      <c r="BN376" s="281"/>
      <c r="BO376" s="283">
        <f>BO381/BO3</f>
        <v>1.0313647923142131E-2</v>
      </c>
      <c r="BP376" s="281"/>
      <c r="BQ376" s="283">
        <f>BQ381/BQ3</f>
        <v>1.0816944024205749E-2</v>
      </c>
      <c r="BR376" s="281"/>
      <c r="BS376" s="283">
        <f>BS381/BS3</f>
        <v>8.6283640347873721E-3</v>
      </c>
      <c r="BT376" s="281"/>
      <c r="BU376" s="283">
        <f>BU381/BU3</f>
        <v>8.0995082441423193E-3</v>
      </c>
      <c r="BV376" s="281"/>
      <c r="BW376" s="283">
        <f>BW381/BW3</f>
        <v>7.8870139398385906E-3</v>
      </c>
      <c r="BX376" s="281"/>
      <c r="BY376" s="283">
        <f>BY381/BY3</f>
        <v>1.2806506433600389E-2</v>
      </c>
      <c r="BZ376" s="281"/>
      <c r="CA376" s="283">
        <f>CA381/CA3</f>
        <v>1.2093434203986968E-2</v>
      </c>
      <c r="CB376" s="281"/>
      <c r="CC376" s="283">
        <f>CC381/CC3</f>
        <v>1.4517819706498953E-2</v>
      </c>
      <c r="CD376" s="281"/>
      <c r="CE376" s="283">
        <f>CE381/CE3</f>
        <v>2.2444706190289231E-2</v>
      </c>
      <c r="CF376" s="281"/>
      <c r="CG376" s="283">
        <f>CG381/CG3</f>
        <v>1.6742338251986379E-2</v>
      </c>
      <c r="CH376" s="281"/>
      <c r="CI376" s="283">
        <f>CI381/CI3</f>
        <v>1.8276869880212408E-2</v>
      </c>
      <c r="CJ376" s="281"/>
      <c r="CK376" s="283">
        <f>CK381/CK3</f>
        <v>1.6240920590875705E-2</v>
      </c>
      <c r="CL376" s="281"/>
      <c r="CM376" s="283">
        <f>CM381/CM3</f>
        <v>1.5252700140159947E-2</v>
      </c>
      <c r="CN376" s="281"/>
      <c r="CO376" s="283">
        <f>CO381/CO3</f>
        <v>1.2876536736001865E-2</v>
      </c>
      <c r="CP376" s="281"/>
      <c r="CQ376" s="283">
        <f>CQ381/CQ3</f>
        <v>2.3654749006861684E-2</v>
      </c>
      <c r="CR376" s="281"/>
      <c r="CS376" s="283">
        <f>CS381/CS3</f>
        <v>2.3371613134756865E-2</v>
      </c>
      <c r="CT376" s="281"/>
      <c r="CU376" s="283">
        <f>CU381/CU3</f>
        <v>2.00764398365769E-2</v>
      </c>
      <c r="CV376" s="281"/>
      <c r="CW376" s="283">
        <f>CW381/CW3</f>
        <v>1.8440508940852821E-2</v>
      </c>
      <c r="CX376" s="281"/>
      <c r="CY376" s="283">
        <f>CY381/CY3</f>
        <v>1.2557118698952974E-2</v>
      </c>
      <c r="CZ376" s="281"/>
      <c r="DA376" s="283">
        <f>DA381/DA3</f>
        <v>1.7628452399321093E-2</v>
      </c>
      <c r="DB376" s="281"/>
      <c r="DC376" s="283">
        <f>DC381/DC3</f>
        <v>1.1009007369666091E-2</v>
      </c>
      <c r="DD376" s="281"/>
      <c r="DE376" s="283">
        <f>DE381/DE3</f>
        <v>1.5267175572519083E-2</v>
      </c>
      <c r="DF376" s="281"/>
      <c r="DG376" s="283">
        <f>DG381/DG3</f>
        <v>1.6039197621340928E-2</v>
      </c>
      <c r="DH376" s="281"/>
      <c r="DI376" s="283">
        <f>DI381/DI3</f>
        <v>1.3021959540627553E-2</v>
      </c>
      <c r="DJ376" s="281"/>
      <c r="DK376" s="283">
        <f>DK381/DK3</f>
        <v>1.1940298507462687E-2</v>
      </c>
      <c r="DL376" s="281"/>
      <c r="DM376" s="283">
        <f>DM381/DM3</f>
        <v>1.0914324551233359E-2</v>
      </c>
      <c r="DN376" s="281"/>
      <c r="DO376" s="283">
        <f>DO381/DO3</f>
        <v>1.3484053290270489E-2</v>
      </c>
      <c r="DP376" s="281"/>
      <c r="DQ376" s="283">
        <f>DQ381/DQ3</f>
        <v>1.4196841601531346E-2</v>
      </c>
      <c r="DR376" s="281"/>
      <c r="DS376" s="283">
        <f>DS381/DS3</f>
        <v>1.3571225206415488E-2</v>
      </c>
      <c r="DT376" s="281"/>
      <c r="DU376" s="302"/>
      <c r="DV376" s="302"/>
      <c r="DW376" s="302"/>
      <c r="DX376" s="302"/>
      <c r="DY376" s="302"/>
      <c r="DZ376" s="302"/>
      <c r="EA376" s="302"/>
      <c r="EB376" s="302"/>
      <c r="EC376" s="302"/>
      <c r="ED376" s="302"/>
      <c r="EE376" s="302"/>
      <c r="EF376" s="302"/>
      <c r="EG376" s="302"/>
      <c r="EH376" s="302"/>
      <c r="EI376" s="302"/>
      <c r="EJ376" s="302"/>
      <c r="EK376" s="302"/>
      <c r="EL376" s="302"/>
      <c r="EM376" s="302"/>
      <c r="EN376" s="283">
        <f>EN381/EN3</f>
        <v>1.3776565732555953E-2</v>
      </c>
      <c r="EO376" s="281"/>
      <c r="EP376" s="283">
        <f>EP381/EP3</f>
        <v>9.7398030942334735E-3</v>
      </c>
      <c r="EQ376" s="281"/>
      <c r="ER376" s="283">
        <f>ER381/ER3</f>
        <v>1.2071005917159764E-2</v>
      </c>
      <c r="ES376" s="281"/>
      <c r="ET376" s="283">
        <f>ET381/ET3</f>
        <v>4.4428571428571428E-2</v>
      </c>
      <c r="EU376" s="281"/>
      <c r="EV376" s="283">
        <f>EV381/EV3</f>
        <v>4.0875000000000002E-2</v>
      </c>
      <c r="EW376" s="281"/>
      <c r="EX376" s="283">
        <f>EX381/EX3</f>
        <v>2.9391304347826087E-2</v>
      </c>
      <c r="EY376" s="281"/>
      <c r="EZ376" s="283">
        <f>EZ381/EZ3</f>
        <v>2.7584010192705843E-2</v>
      </c>
      <c r="FA376" s="281"/>
      <c r="FB376" s="283">
        <f>FB381/FB3</f>
        <v>1.6976998904709748E-2</v>
      </c>
      <c r="FC376" s="281"/>
      <c r="FD376" s="283">
        <f>FD381/FD3</f>
        <v>1.2915936952714535E-2</v>
      </c>
      <c r="FE376" s="281"/>
      <c r="FF376" s="283">
        <f>FF381/FF3</f>
        <v>1.9284122435984902E-2</v>
      </c>
      <c r="FG376" s="281"/>
      <c r="FH376" s="283">
        <f>FH381/FH3</f>
        <v>2.1516238193848174E-2</v>
      </c>
      <c r="FI376" s="281"/>
      <c r="FJ376" s="283">
        <f>FJ381/FJ3</f>
        <v>1.4846971999131755E-2</v>
      </c>
      <c r="FK376" s="281"/>
      <c r="FL376" s="283">
        <f>FL381/FL3</f>
        <v>1.5645717316361708E-2</v>
      </c>
      <c r="FM376" s="281"/>
      <c r="FN376" s="283">
        <f>FN381/FN3</f>
        <v>3.1891053266678161E-2</v>
      </c>
      <c r="FO376" s="281"/>
      <c r="FP376" s="283">
        <f>FP381/FP3</f>
        <v>2.1072151045178691E-2</v>
      </c>
      <c r="FQ376" s="281"/>
      <c r="FR376" s="302"/>
      <c r="FS376" s="302"/>
      <c r="FT376" s="302"/>
      <c r="FU376" s="302"/>
      <c r="FV376" s="302"/>
      <c r="FW376" s="302"/>
      <c r="FX376" s="302"/>
      <c r="FY376" s="302"/>
      <c r="FZ376" s="302"/>
      <c r="GA376" s="302"/>
      <c r="GB376" s="302"/>
      <c r="GC376" s="302"/>
      <c r="GD376" s="302"/>
      <c r="GE376" s="302"/>
      <c r="GF376" s="302"/>
      <c r="GG376" s="302"/>
    </row>
    <row r="377" spans="1:189" ht="8.25" customHeight="1" outlineLevel="1" x14ac:dyDescent="0.3">
      <c r="A377" s="1"/>
      <c r="B377" s="18"/>
      <c r="C377" s="18"/>
      <c r="D377" s="18"/>
      <c r="E377" s="18"/>
      <c r="F377" s="18"/>
      <c r="G377" s="3"/>
      <c r="H377" s="3"/>
      <c r="I377" s="19"/>
      <c r="J377" s="20"/>
      <c r="K377" s="19"/>
      <c r="L377" s="20"/>
      <c r="M377" s="19"/>
      <c r="N377" s="20"/>
      <c r="O377" s="19"/>
      <c r="P377" s="20"/>
      <c r="Q377" s="19"/>
      <c r="R377" s="20"/>
      <c r="S377" s="19"/>
      <c r="T377" s="20"/>
      <c r="U377" s="19"/>
      <c r="V377" s="20"/>
      <c r="W377" s="19"/>
      <c r="X377" s="20"/>
      <c r="Y377" s="19"/>
      <c r="Z377" s="20"/>
      <c r="AA377" s="19"/>
      <c r="AB377" s="20"/>
      <c r="AC377" s="19"/>
      <c r="AD377" s="20"/>
      <c r="AE377" s="19"/>
      <c r="AF377" s="20"/>
      <c r="AG377" s="19"/>
      <c r="AH377" s="20"/>
      <c r="AI377" s="19"/>
      <c r="AJ377" s="20"/>
      <c r="AK377" s="19"/>
      <c r="AL377" s="20"/>
      <c r="AM377" s="19"/>
      <c r="AN377" s="20"/>
      <c r="AO377" s="19"/>
      <c r="AP377" s="20"/>
      <c r="AQ377" s="19"/>
      <c r="AR377" s="20"/>
      <c r="AS377" s="19"/>
      <c r="AT377" s="20"/>
      <c r="AU377" s="19"/>
      <c r="AV377" s="20"/>
      <c r="AW377" s="19"/>
      <c r="AX377" s="20"/>
      <c r="AY377" s="19"/>
      <c r="AZ377" s="20"/>
      <c r="BA377" s="19"/>
      <c r="BB377" s="20"/>
      <c r="BC377" s="19"/>
      <c r="BD377" s="20"/>
      <c r="BE377" s="19"/>
      <c r="BF377" s="20"/>
      <c r="BG377" s="19"/>
      <c r="BH377" s="20"/>
      <c r="BI377" s="19"/>
      <c r="BJ377" s="20"/>
      <c r="BK377" s="19"/>
      <c r="BL377" s="20"/>
      <c r="BM377" s="19"/>
      <c r="BN377" s="20"/>
      <c r="BO377" s="19"/>
      <c r="BP377" s="20"/>
      <c r="BQ377" s="19"/>
      <c r="BR377" s="20"/>
      <c r="BS377" s="19"/>
      <c r="BT377" s="20"/>
      <c r="BU377" s="19"/>
      <c r="BV377" s="20"/>
      <c r="BW377" s="19"/>
      <c r="BX377" s="20"/>
      <c r="BY377" s="19"/>
      <c r="BZ377" s="20"/>
      <c r="CA377" s="19"/>
      <c r="CB377" s="20"/>
      <c r="CC377" s="19"/>
      <c r="CD377" s="20"/>
      <c r="CE377" s="19"/>
      <c r="CF377" s="20"/>
      <c r="CG377" s="19"/>
      <c r="CH377" s="20"/>
      <c r="CI377" s="19"/>
      <c r="CJ377" s="20"/>
      <c r="CK377" s="19"/>
      <c r="CL377" s="20"/>
      <c r="CM377" s="19"/>
      <c r="CN377" s="20"/>
      <c r="CO377" s="19"/>
      <c r="CP377" s="20"/>
      <c r="CQ377" s="19"/>
      <c r="CR377" s="20"/>
      <c r="CS377" s="19"/>
      <c r="CT377" s="20"/>
      <c r="CU377" s="19"/>
      <c r="CV377" s="20"/>
      <c r="CW377" s="19"/>
      <c r="CX377" s="20"/>
      <c r="CY377" s="19"/>
      <c r="CZ377" s="20"/>
      <c r="DA377" s="19"/>
      <c r="DB377" s="20"/>
      <c r="DC377" s="19"/>
      <c r="DD377" s="20"/>
      <c r="DE377" s="19"/>
      <c r="DF377" s="20"/>
      <c r="DG377" s="19"/>
      <c r="DH377" s="20"/>
      <c r="DI377" s="19"/>
      <c r="DJ377" s="20"/>
      <c r="DK377" s="19"/>
      <c r="DL377" s="20"/>
      <c r="DM377" s="19"/>
      <c r="DN377" s="20"/>
      <c r="DO377" s="19"/>
      <c r="DP377" s="20"/>
      <c r="DQ377" s="19"/>
      <c r="DR377" s="20"/>
      <c r="DS377" s="19"/>
      <c r="DT377" s="20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19"/>
      <c r="EO377" s="20"/>
      <c r="EP377" s="19"/>
      <c r="EQ377" s="20"/>
      <c r="ER377" s="19"/>
      <c r="ES377" s="20"/>
      <c r="ET377" s="19"/>
      <c r="EU377" s="20"/>
      <c r="EV377" s="19"/>
      <c r="EW377" s="20"/>
      <c r="EX377" s="19"/>
      <c r="EY377" s="20"/>
      <c r="EZ377" s="19"/>
      <c r="FA377" s="20"/>
      <c r="FB377" s="19"/>
      <c r="FC377" s="20"/>
      <c r="FD377" s="19"/>
      <c r="FE377" s="20"/>
      <c r="FF377" s="19"/>
      <c r="FG377" s="20"/>
      <c r="FH377" s="19"/>
      <c r="FI377" s="20"/>
      <c r="FJ377" s="19"/>
      <c r="FK377" s="20"/>
      <c r="FL377" s="19"/>
      <c r="FM377" s="20"/>
      <c r="FN377" s="19"/>
      <c r="FO377" s="20"/>
      <c r="FP377" s="19"/>
      <c r="FQ377" s="20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</row>
    <row r="378" spans="1:189" ht="15" customHeight="1" outlineLevel="1" x14ac:dyDescent="0.3">
      <c r="A378" s="63"/>
      <c r="B378" s="313" t="s">
        <v>384</v>
      </c>
      <c r="C378" s="313" t="s">
        <v>47</v>
      </c>
      <c r="D378" s="313" t="s">
        <v>25</v>
      </c>
      <c r="E378" s="313" t="s">
        <v>272</v>
      </c>
      <c r="F378" s="313" t="s">
        <v>114</v>
      </c>
      <c r="G378" s="5" t="s">
        <v>28</v>
      </c>
      <c r="H378" s="5"/>
      <c r="I378" s="280" t="s">
        <v>273</v>
      </c>
      <c r="J378" s="281"/>
      <c r="K378" s="280" t="s">
        <v>273</v>
      </c>
      <c r="L378" s="281"/>
      <c r="M378" s="280" t="s">
        <v>273</v>
      </c>
      <c r="N378" s="281"/>
      <c r="O378" s="280" t="s">
        <v>273</v>
      </c>
      <c r="P378" s="281"/>
      <c r="Q378" s="280" t="s">
        <v>273</v>
      </c>
      <c r="R378" s="281"/>
      <c r="S378" s="280" t="s">
        <v>273</v>
      </c>
      <c r="T378" s="281"/>
      <c r="U378" s="280" t="s">
        <v>273</v>
      </c>
      <c r="V378" s="281"/>
      <c r="W378" s="280" t="s">
        <v>273</v>
      </c>
      <c r="X378" s="281"/>
      <c r="Y378" s="280" t="s">
        <v>273</v>
      </c>
      <c r="Z378" s="281"/>
      <c r="AA378" s="280" t="s">
        <v>273</v>
      </c>
      <c r="AB378" s="281"/>
      <c r="AC378" s="280" t="s">
        <v>273</v>
      </c>
      <c r="AD378" s="281"/>
      <c r="AE378" s="280" t="s">
        <v>273</v>
      </c>
      <c r="AF378" s="281"/>
      <c r="AG378" s="280" t="s">
        <v>273</v>
      </c>
      <c r="AH378" s="281"/>
      <c r="AI378" s="280" t="s">
        <v>273</v>
      </c>
      <c r="AJ378" s="281"/>
      <c r="AK378" s="280" t="s">
        <v>273</v>
      </c>
      <c r="AL378" s="281"/>
      <c r="AM378" s="280" t="s">
        <v>273</v>
      </c>
      <c r="AN378" s="281"/>
      <c r="AO378" s="280" t="s">
        <v>273</v>
      </c>
      <c r="AP378" s="281"/>
      <c r="AQ378" s="280" t="s">
        <v>273</v>
      </c>
      <c r="AR378" s="281"/>
      <c r="AS378" s="280" t="s">
        <v>273</v>
      </c>
      <c r="AT378" s="281"/>
      <c r="AU378" s="280" t="s">
        <v>273</v>
      </c>
      <c r="AV378" s="281"/>
      <c r="AW378" s="280" t="s">
        <v>273</v>
      </c>
      <c r="AX378" s="281"/>
      <c r="AY378" s="280" t="s">
        <v>273</v>
      </c>
      <c r="AZ378" s="281"/>
      <c r="BA378" s="280" t="s">
        <v>273</v>
      </c>
      <c r="BB378" s="281"/>
      <c r="BC378" s="280" t="s">
        <v>273</v>
      </c>
      <c r="BD378" s="281"/>
      <c r="BE378" s="280" t="s">
        <v>273</v>
      </c>
      <c r="BF378" s="281"/>
      <c r="BG378" s="280" t="s">
        <v>273</v>
      </c>
      <c r="BH378" s="281"/>
      <c r="BI378" s="280" t="s">
        <v>273</v>
      </c>
      <c r="BJ378" s="281"/>
      <c r="BK378" s="280" t="s">
        <v>273</v>
      </c>
      <c r="BL378" s="281"/>
      <c r="BM378" s="280" t="s">
        <v>273</v>
      </c>
      <c r="BN378" s="281"/>
      <c r="BO378" s="280" t="s">
        <v>273</v>
      </c>
      <c r="BP378" s="281"/>
      <c r="BQ378" s="280" t="s">
        <v>273</v>
      </c>
      <c r="BR378" s="281"/>
      <c r="BS378" s="280" t="s">
        <v>273</v>
      </c>
      <c r="BT378" s="281"/>
      <c r="BU378" s="280" t="s">
        <v>273</v>
      </c>
      <c r="BV378" s="281"/>
      <c r="BW378" s="280" t="s">
        <v>273</v>
      </c>
      <c r="BX378" s="281"/>
      <c r="BY378" s="280" t="s">
        <v>273</v>
      </c>
      <c r="BZ378" s="281"/>
      <c r="CA378" s="280" t="s">
        <v>273</v>
      </c>
      <c r="CB378" s="281"/>
      <c r="CC378" s="280" t="s">
        <v>273</v>
      </c>
      <c r="CD378" s="281"/>
      <c r="CE378" s="280" t="s">
        <v>273</v>
      </c>
      <c r="CF378" s="281"/>
      <c r="CG378" s="280" t="s">
        <v>273</v>
      </c>
      <c r="CH378" s="281"/>
      <c r="CI378" s="280" t="s">
        <v>273</v>
      </c>
      <c r="CJ378" s="281"/>
      <c r="CK378" s="280" t="s">
        <v>273</v>
      </c>
      <c r="CL378" s="281"/>
      <c r="CM378" s="280" t="s">
        <v>273</v>
      </c>
      <c r="CN378" s="281"/>
      <c r="CO378" s="280" t="s">
        <v>273</v>
      </c>
      <c r="CP378" s="281"/>
      <c r="CQ378" s="280" t="s">
        <v>273</v>
      </c>
      <c r="CR378" s="281"/>
      <c r="CS378" s="280" t="s">
        <v>273</v>
      </c>
      <c r="CT378" s="281"/>
      <c r="CU378" s="280" t="s">
        <v>273</v>
      </c>
      <c r="CV378" s="281"/>
      <c r="CW378" s="280" t="s">
        <v>273</v>
      </c>
      <c r="CX378" s="281"/>
      <c r="CY378" s="280" t="s">
        <v>273</v>
      </c>
      <c r="CZ378" s="281"/>
      <c r="DA378" s="280" t="s">
        <v>273</v>
      </c>
      <c r="DB378" s="281"/>
      <c r="DC378" s="280" t="s">
        <v>273</v>
      </c>
      <c r="DD378" s="281"/>
      <c r="DE378" s="280" t="s">
        <v>273</v>
      </c>
      <c r="DF378" s="281"/>
      <c r="DG378" s="280" t="s">
        <v>273</v>
      </c>
      <c r="DH378" s="281"/>
      <c r="DI378" s="280" t="s">
        <v>273</v>
      </c>
      <c r="DJ378" s="281"/>
      <c r="DK378" s="280" t="s">
        <v>273</v>
      </c>
      <c r="DL378" s="281"/>
      <c r="DM378" s="280" t="s">
        <v>273</v>
      </c>
      <c r="DN378" s="281"/>
      <c r="DO378" s="280" t="s">
        <v>273</v>
      </c>
      <c r="DP378" s="281"/>
      <c r="DQ378" s="280" t="s">
        <v>273</v>
      </c>
      <c r="DR378" s="281"/>
      <c r="DS378" s="280" t="s">
        <v>273</v>
      </c>
      <c r="DT378" s="281"/>
      <c r="DU378" s="319" t="s">
        <v>29</v>
      </c>
      <c r="DV378" s="319" t="s">
        <v>29</v>
      </c>
      <c r="DW378" s="319" t="s">
        <v>29</v>
      </c>
      <c r="DX378" s="319" t="s">
        <v>29</v>
      </c>
      <c r="DY378" s="319" t="s">
        <v>29</v>
      </c>
      <c r="DZ378" s="319" t="s">
        <v>29</v>
      </c>
      <c r="EA378" s="319" t="s">
        <v>29</v>
      </c>
      <c r="EB378" s="319" t="s">
        <v>29</v>
      </c>
      <c r="EC378" s="319" t="s">
        <v>29</v>
      </c>
      <c r="ED378" s="319" t="s">
        <v>29</v>
      </c>
      <c r="EE378" s="319" t="s">
        <v>29</v>
      </c>
      <c r="EF378" s="319" t="s">
        <v>29</v>
      </c>
      <c r="EG378" s="319" t="s">
        <v>29</v>
      </c>
      <c r="EH378" s="319" t="s">
        <v>29</v>
      </c>
      <c r="EI378" s="319" t="s">
        <v>29</v>
      </c>
      <c r="EJ378" s="319" t="s">
        <v>29</v>
      </c>
      <c r="EK378" s="319"/>
      <c r="EL378" s="319"/>
      <c r="EM378" s="319" t="s">
        <v>29</v>
      </c>
      <c r="EN378" s="280" t="s">
        <v>273</v>
      </c>
      <c r="EO378" s="281"/>
      <c r="EP378" s="280" t="s">
        <v>273</v>
      </c>
      <c r="EQ378" s="281"/>
      <c r="ER378" s="280" t="s">
        <v>273</v>
      </c>
      <c r="ES378" s="281"/>
      <c r="ET378" s="280" t="s">
        <v>273</v>
      </c>
      <c r="EU378" s="281"/>
      <c r="EV378" s="280" t="s">
        <v>273</v>
      </c>
      <c r="EW378" s="281"/>
      <c r="EX378" s="280" t="s">
        <v>273</v>
      </c>
      <c r="EY378" s="281"/>
      <c r="EZ378" s="280" t="s">
        <v>273</v>
      </c>
      <c r="FA378" s="281"/>
      <c r="FB378" s="280" t="s">
        <v>273</v>
      </c>
      <c r="FC378" s="281"/>
      <c r="FD378" s="280" t="s">
        <v>273</v>
      </c>
      <c r="FE378" s="281"/>
      <c r="FF378" s="280" t="s">
        <v>273</v>
      </c>
      <c r="FG378" s="281"/>
      <c r="FH378" s="280" t="s">
        <v>273</v>
      </c>
      <c r="FI378" s="281"/>
      <c r="FJ378" s="280" t="s">
        <v>273</v>
      </c>
      <c r="FK378" s="281"/>
      <c r="FL378" s="280" t="s">
        <v>273</v>
      </c>
      <c r="FM378" s="281"/>
      <c r="FN378" s="280" t="s">
        <v>273</v>
      </c>
      <c r="FO378" s="281"/>
      <c r="FP378" s="280" t="s">
        <v>273</v>
      </c>
      <c r="FQ378" s="281"/>
      <c r="FR378" s="319" t="s">
        <v>29</v>
      </c>
      <c r="FS378" s="319" t="s">
        <v>29</v>
      </c>
      <c r="FT378" s="319" t="s">
        <v>29</v>
      </c>
      <c r="FU378" s="319" t="s">
        <v>29</v>
      </c>
      <c r="FV378" s="319" t="s">
        <v>29</v>
      </c>
      <c r="FW378" s="319" t="s">
        <v>29</v>
      </c>
      <c r="FX378" s="319" t="s">
        <v>29</v>
      </c>
      <c r="FY378" s="319" t="s">
        <v>29</v>
      </c>
      <c r="FZ378" s="319" t="s">
        <v>29</v>
      </c>
      <c r="GA378" s="319" t="s">
        <v>29</v>
      </c>
      <c r="GB378" s="319" t="s">
        <v>29</v>
      </c>
      <c r="GC378" s="319" t="s">
        <v>29</v>
      </c>
      <c r="GD378" s="319" t="s">
        <v>29</v>
      </c>
      <c r="GE378" s="319" t="s">
        <v>29</v>
      </c>
      <c r="GF378" s="319"/>
      <c r="GG378" s="319"/>
    </row>
    <row r="379" spans="1:189" ht="4.5" customHeight="1" outlineLevel="1" x14ac:dyDescent="0.3">
      <c r="A379" s="1"/>
      <c r="B379" s="301"/>
      <c r="C379" s="301"/>
      <c r="D379" s="301"/>
      <c r="E379" s="301"/>
      <c r="F379" s="301"/>
      <c r="G379" s="5"/>
      <c r="H379" s="5"/>
      <c r="I379" s="282"/>
      <c r="J379" s="281"/>
      <c r="K379" s="282"/>
      <c r="L379" s="281"/>
      <c r="M379" s="282"/>
      <c r="N379" s="281"/>
      <c r="O379" s="282"/>
      <c r="P379" s="281"/>
      <c r="Q379" s="282"/>
      <c r="R379" s="281"/>
      <c r="S379" s="282"/>
      <c r="T379" s="281"/>
      <c r="U379" s="282"/>
      <c r="V379" s="281"/>
      <c r="W379" s="282"/>
      <c r="X379" s="281"/>
      <c r="Y379" s="282"/>
      <c r="Z379" s="281"/>
      <c r="AA379" s="282"/>
      <c r="AB379" s="281"/>
      <c r="AC379" s="282"/>
      <c r="AD379" s="281"/>
      <c r="AE379" s="282"/>
      <c r="AF379" s="281"/>
      <c r="AG379" s="282"/>
      <c r="AH379" s="281"/>
      <c r="AI379" s="282"/>
      <c r="AJ379" s="281"/>
      <c r="AK379" s="282"/>
      <c r="AL379" s="281"/>
      <c r="AM379" s="282"/>
      <c r="AN379" s="281"/>
      <c r="AO379" s="282"/>
      <c r="AP379" s="281"/>
      <c r="AQ379" s="282"/>
      <c r="AR379" s="281"/>
      <c r="AS379" s="282"/>
      <c r="AT379" s="281"/>
      <c r="AU379" s="282"/>
      <c r="AV379" s="281"/>
      <c r="AW379" s="282"/>
      <c r="AX379" s="281"/>
      <c r="AY379" s="282"/>
      <c r="AZ379" s="281"/>
      <c r="BA379" s="282"/>
      <c r="BB379" s="281"/>
      <c r="BC379" s="282"/>
      <c r="BD379" s="281"/>
      <c r="BE379" s="282"/>
      <c r="BF379" s="281"/>
      <c r="BG379" s="282"/>
      <c r="BH379" s="281"/>
      <c r="BI379" s="282"/>
      <c r="BJ379" s="281"/>
      <c r="BK379" s="282"/>
      <c r="BL379" s="281"/>
      <c r="BM379" s="282"/>
      <c r="BN379" s="281"/>
      <c r="BO379" s="282"/>
      <c r="BP379" s="281"/>
      <c r="BQ379" s="282"/>
      <c r="BR379" s="281"/>
      <c r="BS379" s="282"/>
      <c r="BT379" s="281"/>
      <c r="BU379" s="282"/>
      <c r="BV379" s="281"/>
      <c r="BW379" s="282"/>
      <c r="BX379" s="281"/>
      <c r="BY379" s="282"/>
      <c r="BZ379" s="281"/>
      <c r="CA379" s="282"/>
      <c r="CB379" s="281"/>
      <c r="CC379" s="282"/>
      <c r="CD379" s="281"/>
      <c r="CE379" s="282"/>
      <c r="CF379" s="281"/>
      <c r="CG379" s="282"/>
      <c r="CH379" s="281"/>
      <c r="CI379" s="282"/>
      <c r="CJ379" s="281"/>
      <c r="CK379" s="282"/>
      <c r="CL379" s="281"/>
      <c r="CM379" s="282"/>
      <c r="CN379" s="281"/>
      <c r="CO379" s="282"/>
      <c r="CP379" s="281"/>
      <c r="CQ379" s="282"/>
      <c r="CR379" s="281"/>
      <c r="CS379" s="282"/>
      <c r="CT379" s="281"/>
      <c r="CU379" s="282"/>
      <c r="CV379" s="281"/>
      <c r="CW379" s="282"/>
      <c r="CX379" s="281"/>
      <c r="CY379" s="282"/>
      <c r="CZ379" s="281"/>
      <c r="DA379" s="282"/>
      <c r="DB379" s="281"/>
      <c r="DC379" s="282"/>
      <c r="DD379" s="281"/>
      <c r="DE379" s="282"/>
      <c r="DF379" s="281"/>
      <c r="DG379" s="282"/>
      <c r="DH379" s="281"/>
      <c r="DI379" s="282"/>
      <c r="DJ379" s="281"/>
      <c r="DK379" s="282"/>
      <c r="DL379" s="281"/>
      <c r="DM379" s="282"/>
      <c r="DN379" s="281"/>
      <c r="DO379" s="282"/>
      <c r="DP379" s="281"/>
      <c r="DQ379" s="282"/>
      <c r="DR379" s="281"/>
      <c r="DS379" s="282"/>
      <c r="DT379" s="281"/>
      <c r="DU379" s="301"/>
      <c r="DV379" s="301"/>
      <c r="DW379" s="301"/>
      <c r="DX379" s="301"/>
      <c r="DY379" s="301"/>
      <c r="DZ379" s="301"/>
      <c r="EA379" s="301"/>
      <c r="EB379" s="301"/>
      <c r="EC379" s="301"/>
      <c r="ED379" s="301"/>
      <c r="EE379" s="301"/>
      <c r="EF379" s="301"/>
      <c r="EG379" s="301"/>
      <c r="EH379" s="301"/>
      <c r="EI379" s="301"/>
      <c r="EJ379" s="301"/>
      <c r="EK379" s="301"/>
      <c r="EL379" s="301"/>
      <c r="EM379" s="301"/>
      <c r="EN379" s="282"/>
      <c r="EO379" s="281"/>
      <c r="EP379" s="282"/>
      <c r="EQ379" s="281"/>
      <c r="ER379" s="282"/>
      <c r="ES379" s="281"/>
      <c r="ET379" s="282"/>
      <c r="EU379" s="281"/>
      <c r="EV379" s="282"/>
      <c r="EW379" s="281"/>
      <c r="EX379" s="282"/>
      <c r="EY379" s="281"/>
      <c r="EZ379" s="282"/>
      <c r="FA379" s="281"/>
      <c r="FB379" s="282"/>
      <c r="FC379" s="281"/>
      <c r="FD379" s="282"/>
      <c r="FE379" s="281"/>
      <c r="FF379" s="282"/>
      <c r="FG379" s="281"/>
      <c r="FH379" s="282"/>
      <c r="FI379" s="281"/>
      <c r="FJ379" s="282"/>
      <c r="FK379" s="281"/>
      <c r="FL379" s="282"/>
      <c r="FM379" s="281"/>
      <c r="FN379" s="282"/>
      <c r="FO379" s="281"/>
      <c r="FP379" s="282"/>
      <c r="FQ379" s="281"/>
      <c r="FR379" s="301"/>
      <c r="FS379" s="301"/>
      <c r="FT379" s="301"/>
      <c r="FU379" s="301"/>
      <c r="FV379" s="301"/>
      <c r="FW379" s="301"/>
      <c r="FX379" s="301"/>
      <c r="FY379" s="301"/>
      <c r="FZ379" s="301"/>
      <c r="GA379" s="301"/>
      <c r="GB379" s="301"/>
      <c r="GC379" s="301"/>
      <c r="GD379" s="301"/>
      <c r="GE379" s="301"/>
      <c r="GF379" s="289"/>
      <c r="GG379" s="289"/>
    </row>
    <row r="380" spans="1:189" ht="15" customHeight="1" outlineLevel="1" x14ac:dyDescent="0.3">
      <c r="A380" s="1"/>
      <c r="B380" s="301"/>
      <c r="C380" s="301"/>
      <c r="D380" s="301"/>
      <c r="E380" s="301"/>
      <c r="F380" s="301"/>
      <c r="G380" s="5" t="s">
        <v>274</v>
      </c>
      <c r="H380" s="5"/>
      <c r="I380" s="280" t="s">
        <v>275</v>
      </c>
      <c r="J380" s="281"/>
      <c r="K380" s="280" t="s">
        <v>276</v>
      </c>
      <c r="L380" s="281"/>
      <c r="M380" s="280" t="s">
        <v>277</v>
      </c>
      <c r="N380" s="281"/>
      <c r="O380" s="280" t="s">
        <v>278</v>
      </c>
      <c r="P380" s="281"/>
      <c r="Q380" s="280" t="s">
        <v>279</v>
      </c>
      <c r="R380" s="281"/>
      <c r="S380" s="280" t="s">
        <v>280</v>
      </c>
      <c r="T380" s="281"/>
      <c r="U380" s="280" t="s">
        <v>281</v>
      </c>
      <c r="V380" s="281"/>
      <c r="W380" s="280" t="s">
        <v>282</v>
      </c>
      <c r="X380" s="281"/>
      <c r="Y380" s="280" t="s">
        <v>283</v>
      </c>
      <c r="Z380" s="281"/>
      <c r="AA380" s="280" t="s">
        <v>284</v>
      </c>
      <c r="AB380" s="281"/>
      <c r="AC380" s="280" t="s">
        <v>285</v>
      </c>
      <c r="AD380" s="281"/>
      <c r="AE380" s="280" t="s">
        <v>286</v>
      </c>
      <c r="AF380" s="281"/>
      <c r="AG380" s="280" t="s">
        <v>287</v>
      </c>
      <c r="AH380" s="281"/>
      <c r="AI380" s="280" t="s">
        <v>288</v>
      </c>
      <c r="AJ380" s="281"/>
      <c r="AK380" s="280" t="s">
        <v>289</v>
      </c>
      <c r="AL380" s="281"/>
      <c r="AM380" s="280" t="s">
        <v>290</v>
      </c>
      <c r="AN380" s="281"/>
      <c r="AO380" s="280" t="s">
        <v>291</v>
      </c>
      <c r="AP380" s="281"/>
      <c r="AQ380" s="280" t="s">
        <v>292</v>
      </c>
      <c r="AR380" s="281"/>
      <c r="AS380" s="280" t="s">
        <v>293</v>
      </c>
      <c r="AT380" s="281"/>
      <c r="AU380" s="280" t="s">
        <v>293</v>
      </c>
      <c r="AV380" s="281"/>
      <c r="AW380" s="280" t="s">
        <v>278</v>
      </c>
      <c r="AX380" s="281"/>
      <c r="AY380" s="280" t="s">
        <v>292</v>
      </c>
      <c r="AZ380" s="281"/>
      <c r="BA380" s="280" t="s">
        <v>278</v>
      </c>
      <c r="BB380" s="281"/>
      <c r="BC380" s="280" t="s">
        <v>294</v>
      </c>
      <c r="BD380" s="281"/>
      <c r="BE380" s="280" t="s">
        <v>293</v>
      </c>
      <c r="BF380" s="281"/>
      <c r="BG380" s="280" t="s">
        <v>294</v>
      </c>
      <c r="BH380" s="281"/>
      <c r="BI380" s="448">
        <v>4</v>
      </c>
      <c r="BJ380" s="281"/>
      <c r="BK380" s="280">
        <v>5</v>
      </c>
      <c r="BL380" s="281"/>
      <c r="BM380" s="280">
        <v>6</v>
      </c>
      <c r="BN380" s="281"/>
      <c r="BO380" s="280">
        <v>5</v>
      </c>
      <c r="BP380" s="281"/>
      <c r="BQ380" s="280">
        <v>4</v>
      </c>
      <c r="BR380" s="281"/>
      <c r="BS380" s="280">
        <v>5</v>
      </c>
      <c r="BT380" s="281"/>
      <c r="BU380" s="280">
        <v>5</v>
      </c>
      <c r="BV380" s="281"/>
      <c r="BW380" s="280">
        <v>5</v>
      </c>
      <c r="BX380" s="281"/>
      <c r="BY380" s="280">
        <v>5</v>
      </c>
      <c r="BZ380" s="281"/>
      <c r="CA380" s="280">
        <v>6</v>
      </c>
      <c r="CB380" s="281"/>
      <c r="CC380" s="280">
        <v>7</v>
      </c>
      <c r="CD380" s="281"/>
      <c r="CE380" s="280">
        <v>8</v>
      </c>
      <c r="CF380" s="281"/>
      <c r="CG380" s="280">
        <v>6</v>
      </c>
      <c r="CH380" s="281"/>
      <c r="CI380" s="280">
        <v>7</v>
      </c>
      <c r="CJ380" s="281"/>
      <c r="CK380" s="280">
        <v>8</v>
      </c>
      <c r="CL380" s="281"/>
      <c r="CM380" s="280">
        <v>6</v>
      </c>
      <c r="CN380" s="281"/>
      <c r="CO380" s="280">
        <v>6</v>
      </c>
      <c r="CP380" s="281"/>
      <c r="CQ380" s="280">
        <v>7</v>
      </c>
      <c r="CR380" s="281"/>
      <c r="CS380" s="280">
        <v>8</v>
      </c>
      <c r="CT380" s="281"/>
      <c r="CU380" s="280">
        <v>9</v>
      </c>
      <c r="CV380" s="281"/>
      <c r="CW380" s="280">
        <v>9</v>
      </c>
      <c r="CX380" s="281"/>
      <c r="CY380" s="280">
        <v>7</v>
      </c>
      <c r="CZ380" s="281"/>
      <c r="DA380" s="280">
        <v>9</v>
      </c>
      <c r="DB380" s="281"/>
      <c r="DC380" s="280">
        <v>6</v>
      </c>
      <c r="DD380" s="281"/>
      <c r="DE380" s="280">
        <v>10</v>
      </c>
      <c r="DF380" s="281"/>
      <c r="DG380" s="280">
        <v>11</v>
      </c>
      <c r="DH380" s="281"/>
      <c r="DI380" s="280">
        <v>7</v>
      </c>
      <c r="DJ380" s="281"/>
      <c r="DK380" s="280">
        <v>10</v>
      </c>
      <c r="DL380" s="281"/>
      <c r="DM380" s="280">
        <v>7</v>
      </c>
      <c r="DN380" s="281"/>
      <c r="DO380" s="280">
        <v>8</v>
      </c>
      <c r="DP380" s="281"/>
      <c r="DQ380" s="280">
        <v>9</v>
      </c>
      <c r="DR380" s="281"/>
      <c r="DS380" s="280">
        <v>12</v>
      </c>
      <c r="DT380" s="281"/>
      <c r="DU380" s="301"/>
      <c r="DV380" s="301"/>
      <c r="DW380" s="301"/>
      <c r="DX380" s="301"/>
      <c r="DY380" s="301"/>
      <c r="DZ380" s="301"/>
      <c r="EA380" s="301"/>
      <c r="EB380" s="301"/>
      <c r="EC380" s="301"/>
      <c r="ED380" s="301"/>
      <c r="EE380" s="301"/>
      <c r="EF380" s="301"/>
      <c r="EG380" s="301"/>
      <c r="EH380" s="301"/>
      <c r="EI380" s="301"/>
      <c r="EJ380" s="301"/>
      <c r="EK380" s="301"/>
      <c r="EL380" s="301"/>
      <c r="EM380" s="301"/>
      <c r="EN380" s="280">
        <v>11</v>
      </c>
      <c r="EO380" s="281"/>
      <c r="EP380" s="280">
        <v>7</v>
      </c>
      <c r="EQ380" s="281"/>
      <c r="ER380" s="280">
        <v>9</v>
      </c>
      <c r="ES380" s="281"/>
      <c r="ET380" s="280">
        <v>10</v>
      </c>
      <c r="EU380" s="281"/>
      <c r="EV380" s="280">
        <v>15</v>
      </c>
      <c r="EW380" s="281"/>
      <c r="EX380" s="280">
        <v>14</v>
      </c>
      <c r="EY380" s="281"/>
      <c r="EZ380" s="280">
        <v>21</v>
      </c>
      <c r="FA380" s="281"/>
      <c r="FB380" s="280">
        <v>12</v>
      </c>
      <c r="FC380" s="281"/>
      <c r="FD380" s="280">
        <v>6</v>
      </c>
      <c r="FE380" s="281"/>
      <c r="FF380" s="280">
        <v>10</v>
      </c>
      <c r="FG380" s="281"/>
      <c r="FH380" s="280">
        <v>9</v>
      </c>
      <c r="FI380" s="281"/>
      <c r="FJ380" s="280">
        <v>9</v>
      </c>
      <c r="FK380" s="281"/>
      <c r="FL380" s="280">
        <v>7</v>
      </c>
      <c r="FM380" s="281"/>
      <c r="FN380" s="280">
        <v>10</v>
      </c>
      <c r="FO380" s="281"/>
      <c r="FP380" s="280">
        <v>8</v>
      </c>
      <c r="FQ380" s="281"/>
      <c r="FR380" s="301"/>
      <c r="FS380" s="301"/>
      <c r="FT380" s="301"/>
      <c r="FU380" s="301"/>
      <c r="FV380" s="301"/>
      <c r="FW380" s="301"/>
      <c r="FX380" s="301"/>
      <c r="FY380" s="301"/>
      <c r="FZ380" s="301"/>
      <c r="GA380" s="301"/>
      <c r="GB380" s="301"/>
      <c r="GC380" s="301"/>
      <c r="GD380" s="301"/>
      <c r="GE380" s="301"/>
      <c r="GF380" s="289"/>
      <c r="GG380" s="289"/>
    </row>
    <row r="381" spans="1:189" ht="15" customHeight="1" outlineLevel="1" x14ac:dyDescent="0.3">
      <c r="A381" s="1"/>
      <c r="B381" s="301"/>
      <c r="C381" s="301"/>
      <c r="D381" s="301"/>
      <c r="E381" s="302"/>
      <c r="F381" s="302"/>
      <c r="G381" s="5" t="s">
        <v>295</v>
      </c>
      <c r="H381" s="5"/>
      <c r="I381" s="23">
        <f t="shared" ref="I381:I385" si="727">AG381+AE381+AC381+AA381+Y381+W381+U381+S381+O381+M381+K381</f>
        <v>3359</v>
      </c>
      <c r="J381" s="30">
        <f>SUM(J382:J385)</f>
        <v>1</v>
      </c>
      <c r="K381" s="23">
        <v>604</v>
      </c>
      <c r="L381" s="30">
        <f>SUM(L382:L385)</f>
        <v>1</v>
      </c>
      <c r="M381" s="23">
        <v>377</v>
      </c>
      <c r="N381" s="30">
        <f>SUM(N382:N385)</f>
        <v>1</v>
      </c>
      <c r="O381" s="23">
        <v>383</v>
      </c>
      <c r="P381" s="30">
        <f>SUM(P382:P385)</f>
        <v>1</v>
      </c>
      <c r="Q381" s="23">
        <v>301</v>
      </c>
      <c r="R381" s="30">
        <f>SUM(R382:R385)</f>
        <v>1</v>
      </c>
      <c r="S381" s="23">
        <v>200</v>
      </c>
      <c r="T381" s="30">
        <f>SUM(T382:T385)</f>
        <v>1</v>
      </c>
      <c r="U381" s="23">
        <v>235</v>
      </c>
      <c r="V381" s="30">
        <f>SUM(V382:V385)</f>
        <v>1.125</v>
      </c>
      <c r="W381" s="23">
        <v>282</v>
      </c>
      <c r="X381" s="30">
        <f>SUM(X382:X385)</f>
        <v>1</v>
      </c>
      <c r="Y381" s="23">
        <v>318</v>
      </c>
      <c r="Z381" s="30">
        <f>SUM(Z382:Z385)</f>
        <v>1</v>
      </c>
      <c r="AA381" s="23">
        <v>255</v>
      </c>
      <c r="AB381" s="30">
        <f>SUM(AB382:AB385)</f>
        <v>1</v>
      </c>
      <c r="AC381" s="23">
        <v>272</v>
      </c>
      <c r="AD381" s="30">
        <f>SUM(AD382:AD385)</f>
        <v>1</v>
      </c>
      <c r="AE381" s="23">
        <v>218</v>
      </c>
      <c r="AF381" s="30">
        <f>SUM(AF382:AF385)</f>
        <v>1</v>
      </c>
      <c r="AG381" s="23">
        <v>215</v>
      </c>
      <c r="AH381" s="30">
        <f>SUM(AH382:AH385)</f>
        <v>1</v>
      </c>
      <c r="AI381" s="23">
        <v>183</v>
      </c>
      <c r="AJ381" s="30">
        <f>SUM(AJ382:AJ385)</f>
        <v>1</v>
      </c>
      <c r="AK381" s="23">
        <v>160</v>
      </c>
      <c r="AL381" s="30">
        <f>SUM(AL382:AL385)</f>
        <v>1</v>
      </c>
      <c r="AM381" s="23">
        <v>162</v>
      </c>
      <c r="AN381" s="30">
        <f t="shared" ref="AN381:BL381" si="728">SUM(AN382:AN385)</f>
        <v>1</v>
      </c>
      <c r="AO381" s="23">
        <f t="shared" si="728"/>
        <v>376</v>
      </c>
      <c r="AP381" s="30">
        <f t="shared" si="728"/>
        <v>1</v>
      </c>
      <c r="AQ381" s="23">
        <f t="shared" si="728"/>
        <v>362</v>
      </c>
      <c r="AR381" s="30">
        <f t="shared" si="728"/>
        <v>1</v>
      </c>
      <c r="AS381" s="23">
        <f t="shared" si="728"/>
        <v>396</v>
      </c>
      <c r="AT381" s="30">
        <f t="shared" si="728"/>
        <v>1</v>
      </c>
      <c r="AU381" s="23">
        <f t="shared" si="728"/>
        <v>355</v>
      </c>
      <c r="AV381" s="30">
        <f t="shared" si="728"/>
        <v>1</v>
      </c>
      <c r="AW381" s="23">
        <f t="shared" si="728"/>
        <v>201</v>
      </c>
      <c r="AX381" s="30">
        <f t="shared" si="728"/>
        <v>1</v>
      </c>
      <c r="AY381" s="23">
        <f t="shared" si="728"/>
        <v>238</v>
      </c>
      <c r="AZ381" s="30">
        <f t="shared" si="728"/>
        <v>1.1840796019900497</v>
      </c>
      <c r="BA381" s="23">
        <f t="shared" si="728"/>
        <v>406</v>
      </c>
      <c r="BB381" s="30">
        <f t="shared" si="728"/>
        <v>1</v>
      </c>
      <c r="BC381" s="23">
        <f t="shared" si="728"/>
        <v>275</v>
      </c>
      <c r="BD381" s="30">
        <f t="shared" si="728"/>
        <v>1</v>
      </c>
      <c r="BE381" s="23">
        <f t="shared" si="728"/>
        <v>281</v>
      </c>
      <c r="BF381" s="30">
        <f t="shared" si="728"/>
        <v>1</v>
      </c>
      <c r="BG381" s="23">
        <f t="shared" si="728"/>
        <v>165</v>
      </c>
      <c r="BH381" s="30">
        <f t="shared" si="728"/>
        <v>1</v>
      </c>
      <c r="BI381" s="23">
        <f t="shared" si="728"/>
        <v>150</v>
      </c>
      <c r="BJ381" s="30">
        <f t="shared" si="728"/>
        <v>1</v>
      </c>
      <c r="BK381" s="23">
        <f t="shared" si="728"/>
        <v>218</v>
      </c>
      <c r="BL381" s="30">
        <f t="shared" si="728"/>
        <v>1</v>
      </c>
      <c r="BM381" s="23">
        <v>186</v>
      </c>
      <c r="BN381" s="30">
        <f>SUM(BN382:BN385)</f>
        <v>1</v>
      </c>
      <c r="BO381" s="23">
        <v>146</v>
      </c>
      <c r="BP381" s="30">
        <f>SUM(BP382:BP385)</f>
        <v>1</v>
      </c>
      <c r="BQ381" s="23">
        <v>143</v>
      </c>
      <c r="BR381" s="30">
        <f>SUM(BR382:BR385)</f>
        <v>1</v>
      </c>
      <c r="BS381" s="23">
        <v>126</v>
      </c>
      <c r="BT381" s="30">
        <f>SUM(BT382:BT385)</f>
        <v>1</v>
      </c>
      <c r="BU381" s="23">
        <v>140</v>
      </c>
      <c r="BV381" s="30">
        <f>SUM(BV382:BV385)</f>
        <v>1</v>
      </c>
      <c r="BW381" s="23">
        <v>172</v>
      </c>
      <c r="BX381" s="30">
        <f>SUM(BX382:BX385)</f>
        <v>1</v>
      </c>
      <c r="BY381" s="23">
        <v>211</v>
      </c>
      <c r="BZ381" s="30">
        <f>SUM(BZ382:BZ385)</f>
        <v>1</v>
      </c>
      <c r="CA381" s="23">
        <v>219</v>
      </c>
      <c r="CB381" s="30">
        <f>SUM(CB382:CB385)</f>
        <v>1</v>
      </c>
      <c r="CC381" s="23">
        <v>277</v>
      </c>
      <c r="CD381" s="30">
        <f>SUM(CD382:CD385)</f>
        <v>1</v>
      </c>
      <c r="CE381" s="23">
        <v>343</v>
      </c>
      <c r="CF381" s="30">
        <f>SUM(CF382:CF385)</f>
        <v>1</v>
      </c>
      <c r="CG381" s="23">
        <v>295</v>
      </c>
      <c r="CH381" s="30">
        <f>SUM(CH382:CH385)</f>
        <v>1</v>
      </c>
      <c r="CI381" s="23">
        <v>444</v>
      </c>
      <c r="CJ381" s="30">
        <f>SUM(CJ382:CJ385)</f>
        <v>1</v>
      </c>
      <c r="CK381" s="23">
        <v>398</v>
      </c>
      <c r="CL381" s="30">
        <f>SUM(CL382:CL385)</f>
        <v>1</v>
      </c>
      <c r="CM381" s="23">
        <v>370</v>
      </c>
      <c r="CN381" s="30">
        <f>SUM(CN382:CN385)</f>
        <v>1</v>
      </c>
      <c r="CO381" s="23">
        <v>221</v>
      </c>
      <c r="CP381" s="30">
        <f>SUM(CP382:CP385)</f>
        <v>1</v>
      </c>
      <c r="CQ381" s="23">
        <v>393</v>
      </c>
      <c r="CR381" s="30">
        <f>SUM(CR382:CR385)</f>
        <v>1</v>
      </c>
      <c r="CS381" s="23">
        <v>521</v>
      </c>
      <c r="CT381" s="30">
        <f>SUM(CT382:CT385)</f>
        <v>1</v>
      </c>
      <c r="CU381" s="23">
        <v>457</v>
      </c>
      <c r="CV381" s="30">
        <f>SUM(CV382:CV385)</f>
        <v>1</v>
      </c>
      <c r="CW381" s="23">
        <v>429</v>
      </c>
      <c r="CX381" s="30">
        <f>SUM(CX382:CX385)</f>
        <v>1</v>
      </c>
      <c r="CY381" s="23">
        <v>349</v>
      </c>
      <c r="CZ381" s="30">
        <f>SUM(CZ382:CZ385)</f>
        <v>1</v>
      </c>
      <c r="DA381" s="23">
        <v>457</v>
      </c>
      <c r="DB381" s="30">
        <f>SUM(DB382:DB385)</f>
        <v>1.3094555873925502</v>
      </c>
      <c r="DC381" s="23">
        <v>242</v>
      </c>
      <c r="DD381" s="30">
        <f>SUM(DD382:DD385)</f>
        <v>1</v>
      </c>
      <c r="DE381" s="23">
        <v>302</v>
      </c>
      <c r="DF381" s="30">
        <f>SUM(DF382:DF385)</f>
        <v>1</v>
      </c>
      <c r="DG381" s="23">
        <v>383</v>
      </c>
      <c r="DH381" s="30">
        <f>SUM(DH382:DH385)</f>
        <v>1</v>
      </c>
      <c r="DI381" s="23">
        <v>271</v>
      </c>
      <c r="DJ381" s="30">
        <f>SUM(DJ382:DJ385)</f>
        <v>1</v>
      </c>
      <c r="DK381" s="23">
        <v>292</v>
      </c>
      <c r="DL381" s="30">
        <f>SUM(DL382:DL385)</f>
        <v>1</v>
      </c>
      <c r="DM381" s="23">
        <v>273</v>
      </c>
      <c r="DN381" s="30">
        <f>SUM(DN382:DN385)</f>
        <v>1</v>
      </c>
      <c r="DO381" s="23">
        <v>334</v>
      </c>
      <c r="DP381" s="30">
        <f>SUM(DP382:DP385)</f>
        <v>1</v>
      </c>
      <c r="DQ381" s="23">
        <v>356</v>
      </c>
      <c r="DR381" s="30">
        <f>SUM(DR382:DR385)</f>
        <v>1</v>
      </c>
      <c r="DS381" s="23">
        <v>286</v>
      </c>
      <c r="DT381" s="30">
        <f>SUM(DT382:DT385)</f>
        <v>1</v>
      </c>
      <c r="DU381" s="301"/>
      <c r="DV381" s="301"/>
      <c r="DW381" s="301"/>
      <c r="DX381" s="301"/>
      <c r="DY381" s="301"/>
      <c r="DZ381" s="301"/>
      <c r="EA381" s="301"/>
      <c r="EB381" s="301"/>
      <c r="EC381" s="301"/>
      <c r="ED381" s="301"/>
      <c r="EE381" s="301"/>
      <c r="EF381" s="301"/>
      <c r="EG381" s="301"/>
      <c r="EH381" s="301"/>
      <c r="EI381" s="301"/>
      <c r="EJ381" s="301"/>
      <c r="EK381" s="301"/>
      <c r="EL381" s="301"/>
      <c r="EM381" s="301"/>
      <c r="EN381" s="23">
        <v>293</v>
      </c>
      <c r="EO381" s="30">
        <f>SUM(EO382:EO385)</f>
        <v>0.99999999999999989</v>
      </c>
      <c r="EP381" s="23">
        <v>277</v>
      </c>
      <c r="EQ381" s="30">
        <f>SUM(EQ382:EQ385)</f>
        <v>1</v>
      </c>
      <c r="ER381" s="23">
        <v>306</v>
      </c>
      <c r="ES381" s="30">
        <f>SUM(ES382:ES385)</f>
        <v>1</v>
      </c>
      <c r="ET381" s="23">
        <v>622</v>
      </c>
      <c r="EU381" s="30">
        <f>SUM(EU382:EU385)</f>
        <v>1</v>
      </c>
      <c r="EV381" s="23">
        <v>654</v>
      </c>
      <c r="EW381" s="30">
        <f>SUM(EW382:EW385)</f>
        <v>1</v>
      </c>
      <c r="EX381" s="23">
        <v>676</v>
      </c>
      <c r="EY381" s="30">
        <f>SUM(EY382:EY385)</f>
        <v>1</v>
      </c>
      <c r="EZ381" s="23">
        <v>866</v>
      </c>
      <c r="FA381" s="30">
        <f>SUM(FA382:FA385)</f>
        <v>1</v>
      </c>
      <c r="FB381" s="23">
        <v>434</v>
      </c>
      <c r="FC381" s="30">
        <f>SUM(FC382:FC385)</f>
        <v>1</v>
      </c>
      <c r="FD381" s="23">
        <v>295</v>
      </c>
      <c r="FE381" s="30">
        <f>SUM(FE382:FE385)</f>
        <v>1</v>
      </c>
      <c r="FF381" s="23">
        <v>424</v>
      </c>
      <c r="FG381" s="30">
        <f>SUM(FG382:FG385)</f>
        <v>1</v>
      </c>
      <c r="FH381" s="23">
        <v>426</v>
      </c>
      <c r="FI381" s="30">
        <f>SUM(FI382:FI385)</f>
        <v>1</v>
      </c>
      <c r="FJ381" s="23">
        <v>342</v>
      </c>
      <c r="FK381" s="30">
        <f>SUM(FK382:FK385)</f>
        <v>1</v>
      </c>
      <c r="FL381" s="23">
        <v>354</v>
      </c>
      <c r="FM381" s="30">
        <f>SUM(FM382:FM385)</f>
        <v>1</v>
      </c>
      <c r="FN381" s="23">
        <v>370</v>
      </c>
      <c r="FO381" s="30">
        <f>SUM(FO382:FO385)</f>
        <v>1</v>
      </c>
      <c r="FP381" s="23">
        <f>SUM(FP382:FP385)</f>
        <v>250</v>
      </c>
      <c r="FQ381" s="30">
        <f>SUM(FQ382:FQ385)</f>
        <v>1</v>
      </c>
      <c r="FR381" s="301"/>
      <c r="FS381" s="301"/>
      <c r="FT381" s="301"/>
      <c r="FU381" s="301"/>
      <c r="FV381" s="301"/>
      <c r="FW381" s="301"/>
      <c r="FX381" s="301"/>
      <c r="FY381" s="301"/>
      <c r="FZ381" s="301"/>
      <c r="GA381" s="301"/>
      <c r="GB381" s="301"/>
      <c r="GC381" s="301"/>
      <c r="GD381" s="301"/>
      <c r="GE381" s="301"/>
      <c r="GF381" s="289"/>
      <c r="GG381" s="289"/>
    </row>
    <row r="382" spans="1:189" ht="15" customHeight="1" outlineLevel="2" x14ac:dyDescent="0.3">
      <c r="A382" s="1"/>
      <c r="B382" s="301"/>
      <c r="C382" s="301"/>
      <c r="D382" s="301"/>
      <c r="E382" s="313" t="s">
        <v>296</v>
      </c>
      <c r="F382" s="313" t="s">
        <v>216</v>
      </c>
      <c r="G382" s="159" t="s">
        <v>297</v>
      </c>
      <c r="H382" s="159"/>
      <c r="I382" s="23">
        <f t="shared" si="727"/>
        <v>598</v>
      </c>
      <c r="J382" s="30">
        <f t="shared" ref="J382:J385" si="729">I382/SUM($I$382:$I$385)</f>
        <v>0.18259541984732824</v>
      </c>
      <c r="K382" s="23">
        <v>175</v>
      </c>
      <c r="L382" s="30">
        <f t="shared" ref="L382:L385" si="730">K382/SUM($K$382:$K$385)</f>
        <v>0.31083481349911191</v>
      </c>
      <c r="M382" s="23">
        <v>94</v>
      </c>
      <c r="N382" s="30">
        <f t="shared" ref="N382:N385" si="731">M382/SUM($M$382:$M$385)</f>
        <v>0.26256983240223464</v>
      </c>
      <c r="O382" s="23">
        <v>67</v>
      </c>
      <c r="P382" s="30">
        <f t="shared" ref="P382:P385" si="732">O382/SUM($O$382:$O$385)</f>
        <v>0.18108108108108109</v>
      </c>
      <c r="Q382" s="23">
        <v>26</v>
      </c>
      <c r="R382" s="30">
        <f t="shared" ref="R382:R385" si="733">Q382/SUM($Q$382:$Q$385)</f>
        <v>8.6378737541528236E-2</v>
      </c>
      <c r="S382" s="23">
        <v>46</v>
      </c>
      <c r="T382" s="30">
        <f t="shared" ref="T382:T385" si="734">S382/SUM($S$382:$S$385)</f>
        <v>0.23</v>
      </c>
      <c r="U382" s="23">
        <v>44</v>
      </c>
      <c r="V382" s="30">
        <f t="shared" ref="V382:V385" si="735">U382/SUM($S$382:$S$385)</f>
        <v>0.22</v>
      </c>
      <c r="W382" s="23">
        <v>52</v>
      </c>
      <c r="X382" s="30">
        <f t="shared" ref="X382:X385" si="736">W382/SUM($W$382:$W$385)</f>
        <v>0.18439716312056736</v>
      </c>
      <c r="Y382" s="23">
        <v>45</v>
      </c>
      <c r="Z382" s="30">
        <f t="shared" ref="Z382:Z385" si="737">Y382/SUM($Y$382:$Y$385)</f>
        <v>0.14150943396226415</v>
      </c>
      <c r="AA382" s="23">
        <v>34</v>
      </c>
      <c r="AB382" s="30">
        <f t="shared" ref="AB382:AB385" si="738">AA382/SUM($AA$382:$AA$385)</f>
        <v>0.1328125</v>
      </c>
      <c r="AC382" s="23">
        <v>21</v>
      </c>
      <c r="AD382" s="30">
        <f t="shared" ref="AD382:AD385" si="739">AC382/SUM($AC$382:$AC$385)</f>
        <v>7.7777777777777779E-2</v>
      </c>
      <c r="AE382" s="23">
        <v>9</v>
      </c>
      <c r="AF382" s="30">
        <f t="shared" ref="AF382:AF385" si="740">AE382/SUM($AE$382:$AE$385)</f>
        <v>4.1284403669724773E-2</v>
      </c>
      <c r="AG382" s="23">
        <v>11</v>
      </c>
      <c r="AH382" s="30">
        <f t="shared" ref="AH382:AH385" si="741">AG382/SUM($AG$382:$AG$385)</f>
        <v>5.1162790697674418E-2</v>
      </c>
      <c r="AI382" s="23">
        <v>6</v>
      </c>
      <c r="AJ382" s="30">
        <f t="shared" ref="AJ382:AJ385" si="742">AI382/SUM($AI$382:$AI$385)</f>
        <v>3.2786885245901641E-2</v>
      </c>
      <c r="AK382" s="23">
        <v>6</v>
      </c>
      <c r="AL382" s="30">
        <f t="shared" ref="AL382:AL385" si="743">AK382/SUM($AK$382:$AK$385)</f>
        <v>3.7499999999999999E-2</v>
      </c>
      <c r="AM382" s="23">
        <v>0</v>
      </c>
      <c r="AN382" s="30">
        <f t="shared" ref="AN382:AN385" si="744">AM382/SUM($AM$382:$AM$385)</f>
        <v>0</v>
      </c>
      <c r="AO382" s="23">
        <v>35</v>
      </c>
      <c r="AP382" s="30">
        <f t="shared" ref="AP382:AP385" si="745">AO382/SUM($AO$382:$AO$385)</f>
        <v>9.3085106382978719E-2</v>
      </c>
      <c r="AQ382" s="23">
        <v>28</v>
      </c>
      <c r="AR382" s="30">
        <f t="shared" ref="AR382:AR385" si="746">AQ382/SUM($AQ$382:$AQ$385)</f>
        <v>7.7348066298342538E-2</v>
      </c>
      <c r="AS382" s="23">
        <v>30</v>
      </c>
      <c r="AT382" s="30">
        <f t="shared" ref="AT382:AT385" si="747">AS382/SUM($AS$382:$AS$385)</f>
        <v>7.575757575757576E-2</v>
      </c>
      <c r="AU382" s="23">
        <v>26</v>
      </c>
      <c r="AV382" s="30">
        <f t="shared" ref="AV382:AV385" si="748">AU382/SUM($AU$382:$AU$385)</f>
        <v>7.3239436619718309E-2</v>
      </c>
      <c r="AW382" s="23">
        <v>23</v>
      </c>
      <c r="AX382" s="30">
        <f t="shared" ref="AX382:AX385" si="749">AW382/SUM($AW$382:$AW$385)</f>
        <v>0.11442786069651742</v>
      </c>
      <c r="AY382" s="23">
        <v>23</v>
      </c>
      <c r="AZ382" s="30">
        <f t="shared" ref="AZ382:AZ385" si="750">AY382/SUM($AW$382:$AW$385)</f>
        <v>0.11442786069651742</v>
      </c>
      <c r="BA382" s="23">
        <v>33</v>
      </c>
      <c r="BB382" s="30">
        <f t="shared" ref="BB382:BB385" si="751">BA382/SUM($BA$382:$BA$385)</f>
        <v>8.1280788177339899E-2</v>
      </c>
      <c r="BC382" s="23">
        <v>13</v>
      </c>
      <c r="BD382" s="30">
        <f t="shared" ref="BD382:BD385" si="752">BC382/SUM($BC$382:$BC$385)</f>
        <v>4.7272727272727272E-2</v>
      </c>
      <c r="BE382" s="23">
        <v>19</v>
      </c>
      <c r="BF382" s="30">
        <f t="shared" ref="BF382:BF385" si="753">BE382/SUM($BE$382:$BE$385)</f>
        <v>6.7615658362989328E-2</v>
      </c>
      <c r="BG382" s="23">
        <v>10</v>
      </c>
      <c r="BH382" s="30">
        <f t="shared" ref="BH382:BH385" si="754">BG382/SUM($BG$382:$BG$385)</f>
        <v>6.0606060606060608E-2</v>
      </c>
      <c r="BI382" s="23">
        <v>12</v>
      </c>
      <c r="BJ382" s="30">
        <f t="shared" ref="BJ382:BJ385" si="755">BI382/SUM($BI$382:$BI$385)</f>
        <v>0.08</v>
      </c>
      <c r="BK382" s="23">
        <v>21</v>
      </c>
      <c r="BL382" s="30">
        <f t="shared" ref="BL382:BL385" si="756">BK382/SUM($BK$382:$BK$385)</f>
        <v>9.6330275229357804E-2</v>
      </c>
      <c r="BM382" s="23">
        <v>14</v>
      </c>
      <c r="BN382" s="30">
        <f t="shared" ref="BN382:BN385" si="757">BM382/SUM($BM$382:$BM$385)</f>
        <v>7.5268817204301078E-2</v>
      </c>
      <c r="BO382" s="23">
        <v>14</v>
      </c>
      <c r="BP382" s="30">
        <f t="shared" ref="BP382:BP385" si="758">BO382/SUM($BO$382:$BO$385)</f>
        <v>9.5890410958904104E-2</v>
      </c>
      <c r="BQ382" s="23">
        <v>13</v>
      </c>
      <c r="BR382" s="30">
        <f t="shared" ref="BR382:BR385" si="759">BQ382/SUM($BQ$382:$BQ$385)</f>
        <v>9.0909090909090912E-2</v>
      </c>
      <c r="BS382" s="23">
        <v>9</v>
      </c>
      <c r="BT382" s="30">
        <f t="shared" ref="BT382:BT385" si="760">BS382/SUM($BS$382:$BS$385)</f>
        <v>7.1428571428571425E-2</v>
      </c>
      <c r="BU382" s="23">
        <v>8</v>
      </c>
      <c r="BV382" s="30">
        <f t="shared" ref="BV382:BV385" si="761">BU382/SUM($BU$382:$BU$385)</f>
        <v>5.7142857142857141E-2</v>
      </c>
      <c r="BW382" s="23">
        <v>11</v>
      </c>
      <c r="BX382" s="30">
        <f t="shared" ref="BX382:BX385" si="762">BW382/SUM($BW$382:$BW$385)</f>
        <v>6.3953488372093026E-2</v>
      </c>
      <c r="BY382" s="23">
        <v>20</v>
      </c>
      <c r="BZ382" s="30">
        <f t="shared" ref="BZ382:BZ385" si="763">BY382/SUM($BY$382:$BY$385)</f>
        <v>9.4786729857819899E-2</v>
      </c>
      <c r="CA382" s="23">
        <v>12</v>
      </c>
      <c r="CB382" s="30">
        <f t="shared" ref="CB382:CB385" si="764">CA382/SUM($CA$382:$CA$385)</f>
        <v>5.4794520547945202E-2</v>
      </c>
      <c r="CC382" s="23">
        <v>6</v>
      </c>
      <c r="CD382" s="30">
        <f t="shared" ref="CD382:CD385" si="765">CC382/SUM($CC$382:$CC$385)</f>
        <v>2.1660649819494584E-2</v>
      </c>
      <c r="CE382" s="23">
        <v>2</v>
      </c>
      <c r="CF382" s="30">
        <f t="shared" ref="CF382:CF385" si="766">CE382/SUM($CE$382:$CE$385)</f>
        <v>5.8309037900874635E-3</v>
      </c>
      <c r="CG382" s="23">
        <v>8</v>
      </c>
      <c r="CH382" s="30">
        <f t="shared" ref="CH382:CH385" si="767">CG382/SUM($CG$382:$CG$385)</f>
        <v>2.7118644067796609E-2</v>
      </c>
      <c r="CI382" s="23">
        <v>3</v>
      </c>
      <c r="CJ382" s="30">
        <f t="shared" ref="CJ382:CJ385" si="768">CI382/SUM($CI$382:$CI$385)</f>
        <v>6.5075921908893707E-3</v>
      </c>
      <c r="CK382" s="23">
        <v>1</v>
      </c>
      <c r="CL382" s="30">
        <f t="shared" ref="CL382:CL385" si="769">CK382/SUM($CK$382:$CK$385)</f>
        <v>2.5125628140703518E-3</v>
      </c>
      <c r="CM382" s="23">
        <v>4</v>
      </c>
      <c r="CN382" s="30">
        <f t="shared" ref="CN382:CN385" si="770">CM382/SUM($CM$382:$CM$385)</f>
        <v>1.0810810810810811E-2</v>
      </c>
      <c r="CO382" s="23">
        <v>9</v>
      </c>
      <c r="CP382" s="30">
        <f t="shared" ref="CP382:CP385" si="771">CO382/SUM($CO$382:$CO$385)</f>
        <v>4.072398190045249E-2</v>
      </c>
      <c r="CQ382" s="23">
        <v>2</v>
      </c>
      <c r="CR382" s="30">
        <f t="shared" ref="CR382:CR385" si="772">CQ382/SUM($CQ$382:$CQ$385)</f>
        <v>5.0890585241730284E-3</v>
      </c>
      <c r="CS382" s="23">
        <v>1</v>
      </c>
      <c r="CT382" s="30">
        <f t="shared" ref="CT382:CT385" si="773">CS382/SUM($CS$382:$CS$385)</f>
        <v>1.9193857965451055E-3</v>
      </c>
      <c r="CU382" s="23">
        <v>4</v>
      </c>
      <c r="CV382" s="30">
        <f t="shared" ref="CV382:CV385" si="774">CU382/SUM($CU$382:$CU$385)</f>
        <v>8.7527352297592995E-3</v>
      </c>
      <c r="CW382" s="23">
        <v>1</v>
      </c>
      <c r="CX382" s="30">
        <f t="shared" ref="CX382:CX385" si="775">CW382/SUM($CW$382:$CW$385)</f>
        <v>2.331002331002331E-3</v>
      </c>
      <c r="CY382" s="23">
        <v>4</v>
      </c>
      <c r="CZ382" s="30">
        <f t="shared" ref="CZ382:CZ385" si="776">CY382/SUM($CY$382:$CY$385)</f>
        <v>1.1461318051575931E-2</v>
      </c>
      <c r="DA382" s="23">
        <v>11</v>
      </c>
      <c r="DB382" s="30">
        <f t="shared" ref="DB382:DB385" si="777">DA382/SUM($CY$382:$CY$385)</f>
        <v>3.151862464183381E-2</v>
      </c>
      <c r="DC382" s="23">
        <v>6</v>
      </c>
      <c r="DD382" s="30">
        <f>DC382/SUM(DC$382:DC$385)</f>
        <v>2.5862068965517241E-2</v>
      </c>
      <c r="DE382" s="23">
        <v>8</v>
      </c>
      <c r="DF382" s="30">
        <f>DE382/SUM(DE$382:DE$385)</f>
        <v>2.6490066225165563E-2</v>
      </c>
      <c r="DG382" s="23">
        <v>9</v>
      </c>
      <c r="DH382" s="30">
        <f>DG382/SUM(DG$382:DG$385)</f>
        <v>2.3498694516971279E-2</v>
      </c>
      <c r="DI382" s="23">
        <v>6</v>
      </c>
      <c r="DJ382" s="30">
        <f>DI382/SUM(DI$382:DI$385)</f>
        <v>2.2140221402214021E-2</v>
      </c>
      <c r="DK382" s="23">
        <v>11</v>
      </c>
      <c r="DL382" s="30">
        <f>DK382/SUM(DK$382:DK$385)</f>
        <v>3.7671232876712327E-2</v>
      </c>
      <c r="DM382" s="23">
        <v>5</v>
      </c>
      <c r="DN382" s="30">
        <f>DM382/SUM(DM$382:DM$385)</f>
        <v>1.8315018315018316E-2</v>
      </c>
      <c r="DO382" s="23">
        <v>12</v>
      </c>
      <c r="DP382" s="30">
        <f>DO382/SUM(DO$382:DO$385)</f>
        <v>3.5928143712574849E-2</v>
      </c>
      <c r="DQ382" s="23">
        <v>7</v>
      </c>
      <c r="DR382" s="30">
        <f>DQ382/SUM(DQ$382:DQ$385)</f>
        <v>1.9662921348314606E-2</v>
      </c>
      <c r="DS382" s="23">
        <v>8</v>
      </c>
      <c r="DT382" s="30">
        <f>DS382/SUM(DS$382:DS$385)</f>
        <v>2.7972027972027972E-2</v>
      </c>
      <c r="DU382" s="301"/>
      <c r="DV382" s="301"/>
      <c r="DW382" s="301"/>
      <c r="DX382" s="301"/>
      <c r="DY382" s="301"/>
      <c r="DZ382" s="301"/>
      <c r="EA382" s="301"/>
      <c r="EB382" s="301"/>
      <c r="EC382" s="301"/>
      <c r="ED382" s="301"/>
      <c r="EE382" s="301"/>
      <c r="EF382" s="301"/>
      <c r="EG382" s="301"/>
      <c r="EH382" s="301"/>
      <c r="EI382" s="301"/>
      <c r="EJ382" s="301"/>
      <c r="EK382" s="301"/>
      <c r="EL382" s="301"/>
      <c r="EM382" s="301"/>
      <c r="EN382" s="23">
        <v>14</v>
      </c>
      <c r="EO382" s="30">
        <f>EN382/SUM(EN$382:EN$385)</f>
        <v>4.7945205479452052E-2</v>
      </c>
      <c r="EP382" s="23">
        <v>8</v>
      </c>
      <c r="EQ382" s="30">
        <f>EP382/SUM(EP$382:EP$385)</f>
        <v>2.8880866425992781E-2</v>
      </c>
      <c r="ER382" s="23">
        <v>8</v>
      </c>
      <c r="ES382" s="30">
        <f>ER382/SUM(ER$382:ER$385)</f>
        <v>2.6143790849673203E-2</v>
      </c>
      <c r="ET382" s="23">
        <v>2</v>
      </c>
      <c r="EU382" s="30">
        <f>ET382/SUM(ET$382:ET$385)</f>
        <v>3.2154340836012861E-3</v>
      </c>
      <c r="EV382" s="23">
        <v>1</v>
      </c>
      <c r="EW382" s="30">
        <f>EV382/SUM(EV$382:EV$385)</f>
        <v>1.5290519877675841E-3</v>
      </c>
      <c r="EX382" s="23">
        <v>4</v>
      </c>
      <c r="EY382" s="30">
        <f>EX382/SUM(EX$382:EX$385)</f>
        <v>5.9171597633136093E-3</v>
      </c>
      <c r="EZ382" s="23">
        <v>1</v>
      </c>
      <c r="FA382" s="30">
        <f>EZ382/SUM(EZ$382:EZ$385)</f>
        <v>1.1547344110854503E-3</v>
      </c>
      <c r="FB382" s="23">
        <v>5</v>
      </c>
      <c r="FC382" s="30">
        <f>FB382/SUM(FB$382:FB$385)</f>
        <v>1.1520737327188941E-2</v>
      </c>
      <c r="FD382" s="23">
        <v>5</v>
      </c>
      <c r="FE382" s="30">
        <f>FD382/SUM(FD$382:FD$385)</f>
        <v>1.6949152542372881E-2</v>
      </c>
      <c r="FF382" s="23">
        <v>25</v>
      </c>
      <c r="FG382" s="30">
        <f>FF382/SUM(FF$382:FF$385)</f>
        <v>5.8962264150943397E-2</v>
      </c>
      <c r="FH382" s="23">
        <v>25</v>
      </c>
      <c r="FI382" s="30">
        <f>FH382/SUM(FH$382:FH$385)</f>
        <v>5.8685446009389672E-2</v>
      </c>
      <c r="FJ382" s="23">
        <v>17</v>
      </c>
      <c r="FK382" s="30">
        <f>FJ382/SUM(FJ$382:FJ$385)</f>
        <v>4.9707602339181284E-2</v>
      </c>
      <c r="FL382" s="23">
        <v>12</v>
      </c>
      <c r="FM382" s="30">
        <f>FL382/SUM(FL$382:FL$385)</f>
        <v>3.3898305084745763E-2</v>
      </c>
      <c r="FN382" s="23">
        <v>6</v>
      </c>
      <c r="FO382" s="30">
        <f>FN382/SUM(FN$382:FN$385)</f>
        <v>1.6216216216216217E-2</v>
      </c>
      <c r="FP382" s="23">
        <v>12</v>
      </c>
      <c r="FQ382" s="30">
        <f>FP382/SUM(FP$382:FP$385)</f>
        <v>4.8000000000000001E-2</v>
      </c>
      <c r="FR382" s="301"/>
      <c r="FS382" s="301"/>
      <c r="FT382" s="301"/>
      <c r="FU382" s="301"/>
      <c r="FV382" s="301"/>
      <c r="FW382" s="301"/>
      <c r="FX382" s="301"/>
      <c r="FY382" s="301"/>
      <c r="FZ382" s="301"/>
      <c r="GA382" s="301"/>
      <c r="GB382" s="301"/>
      <c r="GC382" s="301"/>
      <c r="GD382" s="301"/>
      <c r="GE382" s="301"/>
      <c r="GF382" s="289"/>
      <c r="GG382" s="289"/>
    </row>
    <row r="383" spans="1:189" ht="15" customHeight="1" outlineLevel="2" x14ac:dyDescent="0.3">
      <c r="A383" s="1"/>
      <c r="B383" s="301"/>
      <c r="C383" s="301"/>
      <c r="D383" s="301"/>
      <c r="E383" s="301"/>
      <c r="F383" s="301"/>
      <c r="G383" s="159" t="s">
        <v>298</v>
      </c>
      <c r="H383" s="159"/>
      <c r="I383" s="23">
        <f t="shared" si="727"/>
        <v>871</v>
      </c>
      <c r="J383" s="30">
        <f t="shared" si="729"/>
        <v>0.26595419847328244</v>
      </c>
      <c r="K383" s="23">
        <v>140</v>
      </c>
      <c r="L383" s="30">
        <f t="shared" si="730"/>
        <v>0.24866785079928952</v>
      </c>
      <c r="M383" s="23">
        <v>95</v>
      </c>
      <c r="N383" s="30">
        <f t="shared" si="731"/>
        <v>0.26536312849162014</v>
      </c>
      <c r="O383" s="23">
        <v>103</v>
      </c>
      <c r="P383" s="30">
        <f t="shared" si="732"/>
        <v>0.27837837837837837</v>
      </c>
      <c r="Q383" s="23">
        <v>82</v>
      </c>
      <c r="R383" s="30">
        <f t="shared" si="733"/>
        <v>0.27242524916943522</v>
      </c>
      <c r="S383" s="23">
        <v>66</v>
      </c>
      <c r="T383" s="30">
        <f t="shared" si="734"/>
        <v>0.33</v>
      </c>
      <c r="U383" s="23">
        <v>65</v>
      </c>
      <c r="V383" s="30">
        <f t="shared" si="735"/>
        <v>0.32500000000000001</v>
      </c>
      <c r="W383" s="23">
        <v>78</v>
      </c>
      <c r="X383" s="30">
        <f t="shared" si="736"/>
        <v>0.27659574468085107</v>
      </c>
      <c r="Y383" s="23">
        <v>82</v>
      </c>
      <c r="Z383" s="30">
        <f t="shared" si="737"/>
        <v>0.25786163522012578</v>
      </c>
      <c r="AA383" s="23">
        <v>77</v>
      </c>
      <c r="AB383" s="30">
        <f t="shared" si="738"/>
        <v>0.30078125</v>
      </c>
      <c r="AC383" s="23">
        <v>80</v>
      </c>
      <c r="AD383" s="30">
        <f t="shared" si="739"/>
        <v>0.29629629629629628</v>
      </c>
      <c r="AE383" s="23">
        <v>47</v>
      </c>
      <c r="AF383" s="30">
        <f t="shared" si="740"/>
        <v>0.21559633027522937</v>
      </c>
      <c r="AG383" s="23">
        <v>38</v>
      </c>
      <c r="AH383" s="30">
        <f t="shared" si="741"/>
        <v>0.17674418604651163</v>
      </c>
      <c r="AI383" s="23">
        <v>30</v>
      </c>
      <c r="AJ383" s="30">
        <f t="shared" si="742"/>
        <v>0.16393442622950818</v>
      </c>
      <c r="AK383" s="23">
        <v>30</v>
      </c>
      <c r="AL383" s="30">
        <f t="shared" si="743"/>
        <v>0.1875</v>
      </c>
      <c r="AM383" s="23">
        <v>43</v>
      </c>
      <c r="AN383" s="30">
        <f t="shared" si="744"/>
        <v>0.26874999999999999</v>
      </c>
      <c r="AO383" s="23">
        <v>112</v>
      </c>
      <c r="AP383" s="30">
        <f t="shared" si="745"/>
        <v>0.2978723404255319</v>
      </c>
      <c r="AQ383" s="23">
        <v>83</v>
      </c>
      <c r="AR383" s="30">
        <f t="shared" si="746"/>
        <v>0.2292817679558011</v>
      </c>
      <c r="AS383" s="23">
        <v>108</v>
      </c>
      <c r="AT383" s="30">
        <f t="shared" si="747"/>
        <v>0.27272727272727271</v>
      </c>
      <c r="AU383" s="23">
        <v>70</v>
      </c>
      <c r="AV383" s="30">
        <f t="shared" si="748"/>
        <v>0.19718309859154928</v>
      </c>
      <c r="AW383" s="23">
        <v>84</v>
      </c>
      <c r="AX383" s="30">
        <f t="shared" si="749"/>
        <v>0.41791044776119401</v>
      </c>
      <c r="AY383" s="23">
        <v>67</v>
      </c>
      <c r="AZ383" s="30">
        <f t="shared" si="750"/>
        <v>0.33333333333333331</v>
      </c>
      <c r="BA383" s="23">
        <v>151</v>
      </c>
      <c r="BB383" s="30">
        <f t="shared" si="751"/>
        <v>0.37192118226600984</v>
      </c>
      <c r="BC383" s="23">
        <v>87</v>
      </c>
      <c r="BD383" s="30">
        <f t="shared" si="752"/>
        <v>0.31636363636363635</v>
      </c>
      <c r="BE383" s="23">
        <v>71</v>
      </c>
      <c r="BF383" s="30">
        <f t="shared" si="753"/>
        <v>0.25266903914590749</v>
      </c>
      <c r="BG383" s="23">
        <v>29</v>
      </c>
      <c r="BH383" s="30">
        <f t="shared" si="754"/>
        <v>0.17575757575757575</v>
      </c>
      <c r="BI383" s="23">
        <v>36</v>
      </c>
      <c r="BJ383" s="30">
        <f t="shared" si="755"/>
        <v>0.24</v>
      </c>
      <c r="BK383" s="23">
        <v>62</v>
      </c>
      <c r="BL383" s="30">
        <f t="shared" si="756"/>
        <v>0.28440366972477066</v>
      </c>
      <c r="BM383" s="23">
        <v>51</v>
      </c>
      <c r="BN383" s="30">
        <f t="shared" si="757"/>
        <v>0.27419354838709675</v>
      </c>
      <c r="BO383" s="23">
        <v>35</v>
      </c>
      <c r="BP383" s="30">
        <f t="shared" si="758"/>
        <v>0.23972602739726026</v>
      </c>
      <c r="BQ383" s="23">
        <v>41</v>
      </c>
      <c r="BR383" s="30">
        <f t="shared" si="759"/>
        <v>0.28671328671328672</v>
      </c>
      <c r="BS383" s="23">
        <v>29</v>
      </c>
      <c r="BT383" s="30">
        <f t="shared" si="760"/>
        <v>0.23015873015873015</v>
      </c>
      <c r="BU383" s="23">
        <v>45</v>
      </c>
      <c r="BV383" s="30">
        <f t="shared" si="761"/>
        <v>0.32142857142857145</v>
      </c>
      <c r="BW383" s="23">
        <v>50</v>
      </c>
      <c r="BX383" s="30">
        <f t="shared" si="762"/>
        <v>0.29069767441860467</v>
      </c>
      <c r="BY383" s="23">
        <v>59</v>
      </c>
      <c r="BZ383" s="30">
        <f t="shared" si="763"/>
        <v>0.27962085308056872</v>
      </c>
      <c r="CA383" s="23">
        <v>35</v>
      </c>
      <c r="CB383" s="30">
        <f t="shared" si="764"/>
        <v>0.15981735159817351</v>
      </c>
      <c r="CC383" s="23">
        <v>33</v>
      </c>
      <c r="CD383" s="30">
        <f t="shared" si="765"/>
        <v>0.11913357400722022</v>
      </c>
      <c r="CE383" s="23">
        <v>27</v>
      </c>
      <c r="CF383" s="30">
        <f t="shared" si="766"/>
        <v>7.8717201166180764E-2</v>
      </c>
      <c r="CG383" s="23">
        <v>56</v>
      </c>
      <c r="CH383" s="30">
        <f t="shared" si="767"/>
        <v>0.18983050847457628</v>
      </c>
      <c r="CI383" s="23">
        <v>76</v>
      </c>
      <c r="CJ383" s="30">
        <f t="shared" si="768"/>
        <v>0.16485900216919741</v>
      </c>
      <c r="CK383" s="23">
        <v>58</v>
      </c>
      <c r="CL383" s="30">
        <f t="shared" si="769"/>
        <v>0.14572864321608039</v>
      </c>
      <c r="CM383" s="23">
        <v>75</v>
      </c>
      <c r="CN383" s="30">
        <f t="shared" si="770"/>
        <v>0.20270270270270271</v>
      </c>
      <c r="CO383" s="23">
        <v>74</v>
      </c>
      <c r="CP383" s="30">
        <f t="shared" si="771"/>
        <v>0.33484162895927599</v>
      </c>
      <c r="CQ383" s="23">
        <v>59</v>
      </c>
      <c r="CR383" s="30">
        <f t="shared" si="772"/>
        <v>0.15012722646310434</v>
      </c>
      <c r="CS383" s="23">
        <v>68</v>
      </c>
      <c r="CT383" s="30">
        <f t="shared" si="773"/>
        <v>0.13051823416506717</v>
      </c>
      <c r="CU383" s="23">
        <v>84</v>
      </c>
      <c r="CV383" s="30">
        <f t="shared" si="774"/>
        <v>0.1838074398249453</v>
      </c>
      <c r="CW383" s="23">
        <v>58</v>
      </c>
      <c r="CX383" s="30">
        <f t="shared" si="775"/>
        <v>0.1351981351981352</v>
      </c>
      <c r="CY383" s="23">
        <v>82</v>
      </c>
      <c r="CZ383" s="30">
        <f t="shared" si="776"/>
        <v>0.23495702005730659</v>
      </c>
      <c r="DA383" s="23">
        <v>39</v>
      </c>
      <c r="DB383" s="30">
        <f t="shared" si="777"/>
        <v>0.11174785100286533</v>
      </c>
      <c r="DC383" s="23">
        <v>54</v>
      </c>
      <c r="DD383" s="30">
        <f>DC383/SUM(DC$382:DC$385)</f>
        <v>0.23275862068965517</v>
      </c>
      <c r="DE383" s="23">
        <v>36</v>
      </c>
      <c r="DF383" s="30">
        <f>DE383/SUM(DE$382:DE$385)</f>
        <v>0.11920529801324503</v>
      </c>
      <c r="DG383" s="23">
        <v>70</v>
      </c>
      <c r="DH383" s="30">
        <f>DG383/SUM(DG$382:DG$385)</f>
        <v>0.18276762402088773</v>
      </c>
      <c r="DI383" s="23">
        <v>77</v>
      </c>
      <c r="DJ383" s="30">
        <f>DI383/SUM(DI$382:DI$385)</f>
        <v>0.28413284132841327</v>
      </c>
      <c r="DK383" s="23">
        <v>66</v>
      </c>
      <c r="DL383" s="30">
        <f>DK383/SUM(DK$382:DK$385)</f>
        <v>0.22602739726027396</v>
      </c>
      <c r="DM383" s="23">
        <v>76</v>
      </c>
      <c r="DN383" s="30">
        <f>DM383/SUM(DM$382:DM$385)</f>
        <v>0.2783882783882784</v>
      </c>
      <c r="DO383" s="23">
        <v>72</v>
      </c>
      <c r="DP383" s="30">
        <f>DO383/SUM(DO$382:DO$385)</f>
        <v>0.21556886227544911</v>
      </c>
      <c r="DQ383" s="23">
        <v>80</v>
      </c>
      <c r="DR383" s="30">
        <f>DQ383/SUM(DQ$382:DQ$385)</f>
        <v>0.2247191011235955</v>
      </c>
      <c r="DS383" s="23">
        <v>59</v>
      </c>
      <c r="DT383" s="30">
        <f>DS383/SUM(DS$382:DS$385)</f>
        <v>0.2062937062937063</v>
      </c>
      <c r="DU383" s="301"/>
      <c r="DV383" s="301"/>
      <c r="DW383" s="301"/>
      <c r="DX383" s="301"/>
      <c r="DY383" s="301"/>
      <c r="DZ383" s="301"/>
      <c r="EA383" s="301"/>
      <c r="EB383" s="301"/>
      <c r="EC383" s="301"/>
      <c r="ED383" s="301"/>
      <c r="EE383" s="301"/>
      <c r="EF383" s="301"/>
      <c r="EG383" s="301"/>
      <c r="EH383" s="301"/>
      <c r="EI383" s="301"/>
      <c r="EJ383" s="301"/>
      <c r="EK383" s="301"/>
      <c r="EL383" s="301"/>
      <c r="EM383" s="301"/>
      <c r="EN383" s="23">
        <v>64</v>
      </c>
      <c r="EO383" s="30">
        <f>EN383/SUM(EN$382:EN$385)</f>
        <v>0.21917808219178081</v>
      </c>
      <c r="EP383" s="23">
        <v>68</v>
      </c>
      <c r="EQ383" s="30">
        <f>EP383/SUM(EP$382:EP$385)</f>
        <v>0.24548736462093862</v>
      </c>
      <c r="ER383" s="23">
        <v>54</v>
      </c>
      <c r="ES383" s="30">
        <f>ER383/SUM(ER$382:ER$385)</f>
        <v>0.17647058823529413</v>
      </c>
      <c r="ET383" s="23">
        <v>28</v>
      </c>
      <c r="EU383" s="30">
        <f>ET383/SUM(ET$382:ET$385)</f>
        <v>4.5016077170418008E-2</v>
      </c>
      <c r="EV383" s="23">
        <v>6</v>
      </c>
      <c r="EW383" s="30">
        <f>EV383/SUM(EV$382:EV$385)</f>
        <v>9.1743119266055051E-3</v>
      </c>
      <c r="EX383" s="23">
        <v>14</v>
      </c>
      <c r="EY383" s="30">
        <f>EX383/SUM(EX$382:EX$385)</f>
        <v>2.0710059171597635E-2</v>
      </c>
      <c r="EZ383" s="23">
        <v>0</v>
      </c>
      <c r="FA383" s="30">
        <f>EZ383/SUM(EZ$382:EZ$385)</f>
        <v>0</v>
      </c>
      <c r="FB383" s="23">
        <v>4</v>
      </c>
      <c r="FC383" s="30">
        <f>FB383/SUM(FB$382:FB$385)</f>
        <v>9.2165898617511521E-3</v>
      </c>
      <c r="FD383" s="23">
        <v>90</v>
      </c>
      <c r="FE383" s="30">
        <f>FD383/SUM(FD$382:FD$385)</f>
        <v>0.30508474576271188</v>
      </c>
      <c r="FF383" s="23">
        <v>81</v>
      </c>
      <c r="FG383" s="30">
        <f>FF383/SUM(FF$382:FF$385)</f>
        <v>0.19103773584905662</v>
      </c>
      <c r="FH383" s="23">
        <v>99</v>
      </c>
      <c r="FI383" s="30">
        <f>FH383/SUM(FH$382:FH$385)</f>
        <v>0.23239436619718309</v>
      </c>
      <c r="FJ383" s="23">
        <v>76</v>
      </c>
      <c r="FK383" s="30">
        <f>FJ383/SUM(FJ$382:FJ$385)</f>
        <v>0.22222222222222221</v>
      </c>
      <c r="FL383" s="23">
        <v>100</v>
      </c>
      <c r="FM383" s="30">
        <f>FL383/SUM(FL$382:FL$385)</f>
        <v>0.2824858757062147</v>
      </c>
      <c r="FN383" s="23">
        <v>81</v>
      </c>
      <c r="FO383" s="30">
        <f>FN383/SUM(FN$382:FN$385)</f>
        <v>0.21891891891891893</v>
      </c>
      <c r="FP383" s="23">
        <v>59</v>
      </c>
      <c r="FQ383" s="30">
        <f>FP383/SUM(FP$382:FP$385)</f>
        <v>0.23599999999999999</v>
      </c>
      <c r="FR383" s="301"/>
      <c r="FS383" s="301"/>
      <c r="FT383" s="301"/>
      <c r="FU383" s="301"/>
      <c r="FV383" s="301"/>
      <c r="FW383" s="301"/>
      <c r="FX383" s="301"/>
      <c r="FY383" s="301"/>
      <c r="FZ383" s="301"/>
      <c r="GA383" s="301"/>
      <c r="GB383" s="301"/>
      <c r="GC383" s="301"/>
      <c r="GD383" s="301"/>
      <c r="GE383" s="301"/>
      <c r="GF383" s="289"/>
      <c r="GG383" s="289"/>
    </row>
    <row r="384" spans="1:189" ht="15" customHeight="1" outlineLevel="2" x14ac:dyDescent="0.3">
      <c r="A384" s="1"/>
      <c r="B384" s="301"/>
      <c r="C384" s="301"/>
      <c r="D384" s="301"/>
      <c r="E384" s="301"/>
      <c r="F384" s="301"/>
      <c r="G384" s="159" t="s">
        <v>299</v>
      </c>
      <c r="H384" s="159"/>
      <c r="I384" s="23">
        <f t="shared" si="727"/>
        <v>501</v>
      </c>
      <c r="J384" s="30">
        <f t="shared" si="729"/>
        <v>0.15297709923664121</v>
      </c>
      <c r="K384" s="23">
        <v>70</v>
      </c>
      <c r="L384" s="30">
        <f t="shared" si="730"/>
        <v>0.12433392539964476</v>
      </c>
      <c r="M384" s="23">
        <v>48</v>
      </c>
      <c r="N384" s="30">
        <f t="shared" si="731"/>
        <v>0.13407821229050279</v>
      </c>
      <c r="O384" s="23">
        <v>59</v>
      </c>
      <c r="P384" s="30">
        <f t="shared" si="732"/>
        <v>0.15945945945945947</v>
      </c>
      <c r="Q384" s="23">
        <v>55</v>
      </c>
      <c r="R384" s="30">
        <f t="shared" si="733"/>
        <v>0.18272425249169436</v>
      </c>
      <c r="S384" s="23">
        <v>40</v>
      </c>
      <c r="T384" s="30">
        <f t="shared" si="734"/>
        <v>0.2</v>
      </c>
      <c r="U384" s="23">
        <v>32</v>
      </c>
      <c r="V384" s="30">
        <f t="shared" si="735"/>
        <v>0.16</v>
      </c>
      <c r="W384" s="23">
        <v>33</v>
      </c>
      <c r="X384" s="30">
        <f t="shared" si="736"/>
        <v>0.11702127659574468</v>
      </c>
      <c r="Y384" s="23">
        <v>47</v>
      </c>
      <c r="Z384" s="30">
        <f t="shared" si="737"/>
        <v>0.14779874213836477</v>
      </c>
      <c r="AA384" s="23">
        <v>47</v>
      </c>
      <c r="AB384" s="30">
        <f t="shared" si="738"/>
        <v>0.18359375</v>
      </c>
      <c r="AC384" s="23">
        <v>51</v>
      </c>
      <c r="AD384" s="30">
        <f t="shared" si="739"/>
        <v>0.18888888888888888</v>
      </c>
      <c r="AE384" s="23">
        <v>48</v>
      </c>
      <c r="AF384" s="30">
        <f t="shared" si="740"/>
        <v>0.22018348623853212</v>
      </c>
      <c r="AG384" s="23">
        <v>26</v>
      </c>
      <c r="AH384" s="30">
        <f t="shared" si="741"/>
        <v>0.12093023255813953</v>
      </c>
      <c r="AI384" s="23">
        <v>30</v>
      </c>
      <c r="AJ384" s="30">
        <f t="shared" si="742"/>
        <v>0.16393442622950818</v>
      </c>
      <c r="AK384" s="23">
        <v>26</v>
      </c>
      <c r="AL384" s="30">
        <f t="shared" si="743"/>
        <v>0.16250000000000001</v>
      </c>
      <c r="AM384" s="23">
        <v>24</v>
      </c>
      <c r="AN384" s="30">
        <f t="shared" si="744"/>
        <v>0.15</v>
      </c>
      <c r="AO384" s="23">
        <v>54</v>
      </c>
      <c r="AP384" s="30">
        <f t="shared" si="745"/>
        <v>0.14361702127659576</v>
      </c>
      <c r="AQ384" s="23">
        <v>57</v>
      </c>
      <c r="AR384" s="30">
        <f t="shared" si="746"/>
        <v>0.15745856353591159</v>
      </c>
      <c r="AS384" s="23">
        <v>40</v>
      </c>
      <c r="AT384" s="30">
        <f t="shared" si="747"/>
        <v>0.10101010101010101</v>
      </c>
      <c r="AU384" s="23">
        <v>57</v>
      </c>
      <c r="AV384" s="30">
        <f t="shared" si="748"/>
        <v>0.16056338028169015</v>
      </c>
      <c r="AW384" s="23">
        <v>31</v>
      </c>
      <c r="AX384" s="30">
        <f t="shared" si="749"/>
        <v>0.15422885572139303</v>
      </c>
      <c r="AY384" s="23">
        <v>38</v>
      </c>
      <c r="AZ384" s="30">
        <f t="shared" si="750"/>
        <v>0.1890547263681592</v>
      </c>
      <c r="BA384" s="23">
        <v>75</v>
      </c>
      <c r="BB384" s="30">
        <f t="shared" si="751"/>
        <v>0.18472906403940886</v>
      </c>
      <c r="BC384" s="23">
        <v>63</v>
      </c>
      <c r="BD384" s="30">
        <f t="shared" si="752"/>
        <v>0.2290909090909091</v>
      </c>
      <c r="BE384" s="23">
        <v>38</v>
      </c>
      <c r="BF384" s="30">
        <f t="shared" si="753"/>
        <v>0.13523131672597866</v>
      </c>
      <c r="BG384" s="23">
        <v>37</v>
      </c>
      <c r="BH384" s="30">
        <f t="shared" si="754"/>
        <v>0.22424242424242424</v>
      </c>
      <c r="BI384" s="23">
        <v>30</v>
      </c>
      <c r="BJ384" s="30">
        <f t="shared" si="755"/>
        <v>0.2</v>
      </c>
      <c r="BK384" s="23">
        <v>33</v>
      </c>
      <c r="BL384" s="30">
        <f t="shared" si="756"/>
        <v>0.15137614678899083</v>
      </c>
      <c r="BM384" s="23">
        <v>28</v>
      </c>
      <c r="BN384" s="30">
        <f t="shared" si="757"/>
        <v>0.15053763440860216</v>
      </c>
      <c r="BO384" s="23">
        <v>20</v>
      </c>
      <c r="BP384" s="30">
        <f t="shared" si="758"/>
        <v>0.13698630136986301</v>
      </c>
      <c r="BQ384" s="23">
        <v>25</v>
      </c>
      <c r="BR384" s="30">
        <f t="shared" si="759"/>
        <v>0.17482517482517482</v>
      </c>
      <c r="BS384" s="23">
        <v>20</v>
      </c>
      <c r="BT384" s="30">
        <f t="shared" si="760"/>
        <v>0.15873015873015872</v>
      </c>
      <c r="BU384" s="23">
        <v>20</v>
      </c>
      <c r="BV384" s="30">
        <f t="shared" si="761"/>
        <v>0.14285714285714285</v>
      </c>
      <c r="BW384" s="23">
        <v>25</v>
      </c>
      <c r="BX384" s="30">
        <f t="shared" si="762"/>
        <v>0.14534883720930233</v>
      </c>
      <c r="BY384" s="23">
        <v>32</v>
      </c>
      <c r="BZ384" s="30">
        <f t="shared" si="763"/>
        <v>0.15165876777251186</v>
      </c>
      <c r="CA384" s="23">
        <v>28</v>
      </c>
      <c r="CB384" s="30">
        <f t="shared" si="764"/>
        <v>0.12785388127853881</v>
      </c>
      <c r="CC384" s="23">
        <v>28</v>
      </c>
      <c r="CD384" s="30">
        <f t="shared" si="765"/>
        <v>0.10108303249097472</v>
      </c>
      <c r="CE384" s="23">
        <v>49</v>
      </c>
      <c r="CF384" s="30">
        <f t="shared" si="766"/>
        <v>0.14285714285714285</v>
      </c>
      <c r="CG384" s="23">
        <v>51</v>
      </c>
      <c r="CH384" s="30">
        <f t="shared" si="767"/>
        <v>0.17288135593220338</v>
      </c>
      <c r="CI384" s="23">
        <v>46</v>
      </c>
      <c r="CJ384" s="30">
        <f t="shared" si="768"/>
        <v>9.9783080260303691E-2</v>
      </c>
      <c r="CK384" s="23">
        <v>70</v>
      </c>
      <c r="CL384" s="30">
        <f t="shared" si="769"/>
        <v>0.17587939698492464</v>
      </c>
      <c r="CM384" s="23">
        <v>50</v>
      </c>
      <c r="CN384" s="30">
        <f t="shared" si="770"/>
        <v>0.13513513513513514</v>
      </c>
      <c r="CO384" s="23">
        <v>33</v>
      </c>
      <c r="CP384" s="30">
        <f t="shared" si="771"/>
        <v>0.14932126696832579</v>
      </c>
      <c r="CQ384" s="23">
        <v>62</v>
      </c>
      <c r="CR384" s="30">
        <f t="shared" si="772"/>
        <v>0.15776081424936386</v>
      </c>
      <c r="CS384" s="23">
        <v>42</v>
      </c>
      <c r="CT384" s="30">
        <f t="shared" si="773"/>
        <v>8.0614203454894437E-2</v>
      </c>
      <c r="CU384" s="23">
        <v>61</v>
      </c>
      <c r="CV384" s="30">
        <f t="shared" si="774"/>
        <v>0.13347921225382933</v>
      </c>
      <c r="CW384" s="23">
        <v>41</v>
      </c>
      <c r="CX384" s="30">
        <f t="shared" si="775"/>
        <v>9.5571095571095568E-2</v>
      </c>
      <c r="CY384" s="23">
        <v>53</v>
      </c>
      <c r="CZ384" s="30">
        <f t="shared" si="776"/>
        <v>0.15186246418338109</v>
      </c>
      <c r="DA384" s="23">
        <v>58</v>
      </c>
      <c r="DB384" s="30">
        <f t="shared" si="777"/>
        <v>0.166189111747851</v>
      </c>
      <c r="DC384" s="23">
        <v>51</v>
      </c>
      <c r="DD384" s="30">
        <f>DC384/SUM(DC$382:DC$385)</f>
        <v>0.21982758620689655</v>
      </c>
      <c r="DE384" s="23">
        <v>32</v>
      </c>
      <c r="DF384" s="30">
        <f>DE384/SUM(DE$382:DE$385)</f>
        <v>0.10596026490066225</v>
      </c>
      <c r="DG384" s="23">
        <v>48</v>
      </c>
      <c r="DH384" s="30">
        <f>DG384/SUM(DG$382:DG$385)</f>
        <v>0.12532637075718014</v>
      </c>
      <c r="DI384" s="23">
        <v>37</v>
      </c>
      <c r="DJ384" s="30">
        <f>DI384/SUM(DI$382:DI$385)</f>
        <v>0.13653136531365315</v>
      </c>
      <c r="DK384" s="23">
        <v>37</v>
      </c>
      <c r="DL384" s="30">
        <f>DK384/SUM(DK$382:DK$385)</f>
        <v>0.12671232876712329</v>
      </c>
      <c r="DM384" s="23">
        <v>56</v>
      </c>
      <c r="DN384" s="30">
        <f>DM384/SUM(DM$382:DM$385)</f>
        <v>0.20512820512820512</v>
      </c>
      <c r="DO384" s="23">
        <v>37</v>
      </c>
      <c r="DP384" s="30">
        <f>DO384/SUM(DO$382:DO$385)</f>
        <v>0.11077844311377245</v>
      </c>
      <c r="DQ384" s="23">
        <v>45</v>
      </c>
      <c r="DR384" s="30">
        <f>DQ384/SUM(DQ$382:DQ$385)</f>
        <v>0.12640449438202248</v>
      </c>
      <c r="DS384" s="23">
        <v>36</v>
      </c>
      <c r="DT384" s="30">
        <f>DS384/SUM(DS$382:DS$385)</f>
        <v>0.12587412587412589</v>
      </c>
      <c r="DU384" s="301"/>
      <c r="DV384" s="301"/>
      <c r="DW384" s="301"/>
      <c r="DX384" s="301"/>
      <c r="DY384" s="301"/>
      <c r="DZ384" s="301"/>
      <c r="EA384" s="301"/>
      <c r="EB384" s="301"/>
      <c r="EC384" s="301"/>
      <c r="ED384" s="301"/>
      <c r="EE384" s="301"/>
      <c r="EF384" s="301"/>
      <c r="EG384" s="301"/>
      <c r="EH384" s="301"/>
      <c r="EI384" s="301"/>
      <c r="EJ384" s="301"/>
      <c r="EK384" s="301"/>
      <c r="EL384" s="301"/>
      <c r="EM384" s="301"/>
      <c r="EN384" s="23">
        <v>39</v>
      </c>
      <c r="EO384" s="30">
        <f>EN384/SUM(EN$382:EN$385)</f>
        <v>0.13356164383561644</v>
      </c>
      <c r="EP384" s="23">
        <v>28</v>
      </c>
      <c r="EQ384" s="30">
        <f>EP384/SUM(EP$382:EP$385)</f>
        <v>0.10108303249097472</v>
      </c>
      <c r="ER384" s="23">
        <v>34</v>
      </c>
      <c r="ES384" s="30">
        <f>ER384/SUM(ER$382:ER$385)</f>
        <v>0.1111111111111111</v>
      </c>
      <c r="ET384" s="23">
        <v>18</v>
      </c>
      <c r="EU384" s="30">
        <f>ET384/SUM(ET$382:ET$385)</f>
        <v>2.8938906752411574E-2</v>
      </c>
      <c r="EV384" s="23">
        <v>5</v>
      </c>
      <c r="EW384" s="30">
        <f>EV384/SUM(EV$382:EV$385)</f>
        <v>7.6452599388379203E-3</v>
      </c>
      <c r="EX384" s="23">
        <v>21</v>
      </c>
      <c r="EY384" s="30">
        <f>EX384/SUM(EX$382:EX$385)</f>
        <v>3.1065088757396449E-2</v>
      </c>
      <c r="EZ384" s="23">
        <v>1</v>
      </c>
      <c r="FA384" s="30">
        <f>EZ384/SUM(EZ$382:EZ$385)</f>
        <v>1.1547344110854503E-3</v>
      </c>
      <c r="FB384" s="23">
        <v>15</v>
      </c>
      <c r="FC384" s="30">
        <f>FB384/SUM(FB$382:FB$385)</f>
        <v>3.4562211981566823E-2</v>
      </c>
      <c r="FD384" s="23">
        <v>60</v>
      </c>
      <c r="FE384" s="30">
        <f>FD384/SUM(FD$382:FD$385)</f>
        <v>0.20338983050847459</v>
      </c>
      <c r="FF384" s="23">
        <v>31</v>
      </c>
      <c r="FG384" s="30">
        <f>FF384/SUM(FF$382:FF$385)</f>
        <v>7.3113207547169809E-2</v>
      </c>
      <c r="FH384" s="23">
        <v>31</v>
      </c>
      <c r="FI384" s="30">
        <f>FH384/SUM(FH$382:FH$385)</f>
        <v>7.2769953051643188E-2</v>
      </c>
      <c r="FJ384" s="23">
        <v>34</v>
      </c>
      <c r="FK384" s="30">
        <f>FJ384/SUM(FJ$382:FJ$385)</f>
        <v>9.9415204678362568E-2</v>
      </c>
      <c r="FL384" s="23">
        <v>24</v>
      </c>
      <c r="FM384" s="30">
        <f>FL384/SUM(FL$382:FL$385)</f>
        <v>6.7796610169491525E-2</v>
      </c>
      <c r="FN384" s="23">
        <v>51</v>
      </c>
      <c r="FO384" s="30">
        <f>FN384/SUM(FN$382:FN$385)</f>
        <v>0.13783783783783785</v>
      </c>
      <c r="FP384" s="23">
        <v>25</v>
      </c>
      <c r="FQ384" s="30">
        <f>FP384/SUM(FP$382:FP$385)</f>
        <v>0.1</v>
      </c>
      <c r="FR384" s="301"/>
      <c r="FS384" s="301"/>
      <c r="FT384" s="301"/>
      <c r="FU384" s="301"/>
      <c r="FV384" s="301"/>
      <c r="FW384" s="301"/>
      <c r="FX384" s="301"/>
      <c r="FY384" s="301"/>
      <c r="FZ384" s="301"/>
      <c r="GA384" s="301"/>
      <c r="GB384" s="301"/>
      <c r="GC384" s="301"/>
      <c r="GD384" s="301"/>
      <c r="GE384" s="301"/>
      <c r="GF384" s="289"/>
      <c r="GG384" s="289"/>
    </row>
    <row r="385" spans="1:189" ht="15" customHeight="1" outlineLevel="2" x14ac:dyDescent="0.3">
      <c r="A385" s="1"/>
      <c r="B385" s="302"/>
      <c r="C385" s="302"/>
      <c r="D385" s="302"/>
      <c r="E385" s="302"/>
      <c r="F385" s="302"/>
      <c r="G385" s="159" t="s">
        <v>300</v>
      </c>
      <c r="H385" s="159"/>
      <c r="I385" s="23">
        <f t="shared" si="727"/>
        <v>1305</v>
      </c>
      <c r="J385" s="30">
        <f t="shared" si="729"/>
        <v>0.3984732824427481</v>
      </c>
      <c r="K385" s="23">
        <v>178</v>
      </c>
      <c r="L385" s="30">
        <f t="shared" si="730"/>
        <v>0.31616341030195383</v>
      </c>
      <c r="M385" s="23">
        <v>121</v>
      </c>
      <c r="N385" s="30">
        <f t="shared" si="731"/>
        <v>0.33798882681564246</v>
      </c>
      <c r="O385" s="23">
        <v>141</v>
      </c>
      <c r="P385" s="30">
        <f t="shared" si="732"/>
        <v>0.38108108108108107</v>
      </c>
      <c r="Q385" s="23">
        <v>138</v>
      </c>
      <c r="R385" s="30">
        <f t="shared" si="733"/>
        <v>0.4584717607973422</v>
      </c>
      <c r="S385" s="23">
        <v>48</v>
      </c>
      <c r="T385" s="30">
        <f t="shared" si="734"/>
        <v>0.24</v>
      </c>
      <c r="U385" s="23">
        <v>84</v>
      </c>
      <c r="V385" s="30">
        <f t="shared" si="735"/>
        <v>0.42</v>
      </c>
      <c r="W385" s="23">
        <v>119</v>
      </c>
      <c r="X385" s="30">
        <f t="shared" si="736"/>
        <v>0.42198581560283688</v>
      </c>
      <c r="Y385" s="23">
        <v>144</v>
      </c>
      <c r="Z385" s="30">
        <f t="shared" si="737"/>
        <v>0.45283018867924529</v>
      </c>
      <c r="AA385" s="23">
        <v>98</v>
      </c>
      <c r="AB385" s="30">
        <f t="shared" si="738"/>
        <v>0.3828125</v>
      </c>
      <c r="AC385" s="23">
        <v>118</v>
      </c>
      <c r="AD385" s="30">
        <f t="shared" si="739"/>
        <v>0.43703703703703706</v>
      </c>
      <c r="AE385" s="23">
        <v>114</v>
      </c>
      <c r="AF385" s="30">
        <f t="shared" si="740"/>
        <v>0.52293577981651373</v>
      </c>
      <c r="AG385" s="23">
        <v>140</v>
      </c>
      <c r="AH385" s="30">
        <f t="shared" si="741"/>
        <v>0.65116279069767447</v>
      </c>
      <c r="AI385" s="23">
        <v>117</v>
      </c>
      <c r="AJ385" s="30">
        <f t="shared" si="742"/>
        <v>0.63934426229508201</v>
      </c>
      <c r="AK385" s="23">
        <v>98</v>
      </c>
      <c r="AL385" s="30">
        <f t="shared" si="743"/>
        <v>0.61250000000000004</v>
      </c>
      <c r="AM385" s="23">
        <v>93</v>
      </c>
      <c r="AN385" s="30">
        <f t="shared" si="744"/>
        <v>0.58125000000000004</v>
      </c>
      <c r="AO385" s="23">
        <v>175</v>
      </c>
      <c r="AP385" s="30">
        <f t="shared" si="745"/>
        <v>0.46542553191489361</v>
      </c>
      <c r="AQ385" s="23">
        <v>194</v>
      </c>
      <c r="AR385" s="30">
        <f t="shared" si="746"/>
        <v>0.53591160220994472</v>
      </c>
      <c r="AS385" s="23">
        <v>218</v>
      </c>
      <c r="AT385" s="30">
        <f t="shared" si="747"/>
        <v>0.5505050505050505</v>
      </c>
      <c r="AU385" s="23">
        <v>202</v>
      </c>
      <c r="AV385" s="30">
        <f t="shared" si="748"/>
        <v>0.56901408450704227</v>
      </c>
      <c r="AW385" s="23">
        <v>63</v>
      </c>
      <c r="AX385" s="30">
        <f t="shared" si="749"/>
        <v>0.31343283582089554</v>
      </c>
      <c r="AY385" s="23">
        <v>110</v>
      </c>
      <c r="AZ385" s="30">
        <f t="shared" si="750"/>
        <v>0.54726368159203975</v>
      </c>
      <c r="BA385" s="23">
        <v>147</v>
      </c>
      <c r="BB385" s="30">
        <f t="shared" si="751"/>
        <v>0.36206896551724138</v>
      </c>
      <c r="BC385" s="23">
        <v>112</v>
      </c>
      <c r="BD385" s="30">
        <f t="shared" si="752"/>
        <v>0.40727272727272729</v>
      </c>
      <c r="BE385" s="23">
        <v>153</v>
      </c>
      <c r="BF385" s="30">
        <f t="shared" si="753"/>
        <v>0.54448398576512458</v>
      </c>
      <c r="BG385" s="23">
        <v>89</v>
      </c>
      <c r="BH385" s="30">
        <f t="shared" si="754"/>
        <v>0.53939393939393943</v>
      </c>
      <c r="BI385" s="23">
        <v>72</v>
      </c>
      <c r="BJ385" s="30">
        <f t="shared" si="755"/>
        <v>0.48</v>
      </c>
      <c r="BK385" s="23">
        <v>102</v>
      </c>
      <c r="BL385" s="30">
        <f t="shared" si="756"/>
        <v>0.46788990825688076</v>
      </c>
      <c r="BM385" s="23">
        <v>93</v>
      </c>
      <c r="BN385" s="30">
        <f t="shared" si="757"/>
        <v>0.5</v>
      </c>
      <c r="BO385" s="23">
        <v>77</v>
      </c>
      <c r="BP385" s="30">
        <f t="shared" si="758"/>
        <v>0.5273972602739726</v>
      </c>
      <c r="BQ385" s="23">
        <v>64</v>
      </c>
      <c r="BR385" s="30">
        <f t="shared" si="759"/>
        <v>0.44755244755244755</v>
      </c>
      <c r="BS385" s="23">
        <v>68</v>
      </c>
      <c r="BT385" s="30">
        <f t="shared" si="760"/>
        <v>0.53968253968253965</v>
      </c>
      <c r="BU385" s="23">
        <v>67</v>
      </c>
      <c r="BV385" s="30">
        <f t="shared" si="761"/>
        <v>0.47857142857142859</v>
      </c>
      <c r="BW385" s="23">
        <v>86</v>
      </c>
      <c r="BX385" s="30">
        <f t="shared" si="762"/>
        <v>0.5</v>
      </c>
      <c r="BY385" s="23">
        <v>100</v>
      </c>
      <c r="BZ385" s="30">
        <f t="shared" si="763"/>
        <v>0.47393364928909953</v>
      </c>
      <c r="CA385" s="23">
        <v>144</v>
      </c>
      <c r="CB385" s="30">
        <f t="shared" si="764"/>
        <v>0.65753424657534243</v>
      </c>
      <c r="CC385" s="23">
        <v>210</v>
      </c>
      <c r="CD385" s="30">
        <f t="shared" si="765"/>
        <v>0.75812274368231047</v>
      </c>
      <c r="CE385" s="23">
        <v>265</v>
      </c>
      <c r="CF385" s="30">
        <f t="shared" si="766"/>
        <v>0.77259475218658891</v>
      </c>
      <c r="CG385" s="23">
        <v>180</v>
      </c>
      <c r="CH385" s="30">
        <f t="shared" si="767"/>
        <v>0.61016949152542377</v>
      </c>
      <c r="CI385" s="23">
        <v>336</v>
      </c>
      <c r="CJ385" s="30">
        <f t="shared" si="768"/>
        <v>0.72885032537960959</v>
      </c>
      <c r="CK385" s="23">
        <v>269</v>
      </c>
      <c r="CL385" s="30">
        <f t="shared" si="769"/>
        <v>0.67587939698492461</v>
      </c>
      <c r="CM385" s="23">
        <v>241</v>
      </c>
      <c r="CN385" s="30">
        <f t="shared" si="770"/>
        <v>0.65135135135135136</v>
      </c>
      <c r="CO385" s="23">
        <v>105</v>
      </c>
      <c r="CP385" s="30">
        <f t="shared" si="771"/>
        <v>0.47511312217194568</v>
      </c>
      <c r="CQ385" s="23">
        <v>270</v>
      </c>
      <c r="CR385" s="30">
        <f t="shared" si="772"/>
        <v>0.68702290076335881</v>
      </c>
      <c r="CS385" s="23">
        <v>410</v>
      </c>
      <c r="CT385" s="30">
        <f t="shared" si="773"/>
        <v>0.78694817658349325</v>
      </c>
      <c r="CU385" s="23">
        <v>308</v>
      </c>
      <c r="CV385" s="30">
        <f t="shared" si="774"/>
        <v>0.67396061269146612</v>
      </c>
      <c r="CW385" s="23">
        <v>329</v>
      </c>
      <c r="CX385" s="30">
        <f t="shared" si="775"/>
        <v>0.76689976689976691</v>
      </c>
      <c r="CY385" s="23">
        <v>210</v>
      </c>
      <c r="CZ385" s="30">
        <f t="shared" si="776"/>
        <v>0.60171919770773641</v>
      </c>
      <c r="DA385" s="23">
        <v>349</v>
      </c>
      <c r="DB385" s="30">
        <f t="shared" si="777"/>
        <v>1</v>
      </c>
      <c r="DC385" s="23">
        <v>121</v>
      </c>
      <c r="DD385" s="30">
        <f>DC385/SUM(DC$382:DC$385)</f>
        <v>0.52155172413793105</v>
      </c>
      <c r="DE385" s="23">
        <v>226</v>
      </c>
      <c r="DF385" s="30">
        <f>DE385/SUM(DE$382:DE$385)</f>
        <v>0.7483443708609272</v>
      </c>
      <c r="DG385" s="23">
        <v>256</v>
      </c>
      <c r="DH385" s="30">
        <f>DG385/SUM(DG$382:DG$385)</f>
        <v>0.66840731070496084</v>
      </c>
      <c r="DI385" s="23">
        <v>151</v>
      </c>
      <c r="DJ385" s="30">
        <f>DI385/SUM(DI$382:DI$385)</f>
        <v>0.55719557195571956</v>
      </c>
      <c r="DK385" s="23">
        <v>178</v>
      </c>
      <c r="DL385" s="30">
        <f>DK385/SUM(DK$382:DK$385)</f>
        <v>0.6095890410958904</v>
      </c>
      <c r="DM385" s="23">
        <v>136</v>
      </c>
      <c r="DN385" s="30">
        <f>DM385/SUM(DM$382:DM$385)</f>
        <v>0.49816849816849818</v>
      </c>
      <c r="DO385" s="23">
        <v>213</v>
      </c>
      <c r="DP385" s="30">
        <f>DO385/SUM(DO$382:DO$385)</f>
        <v>0.63772455089820357</v>
      </c>
      <c r="DQ385" s="23">
        <v>224</v>
      </c>
      <c r="DR385" s="30">
        <f>DQ385/SUM(DQ$382:DQ$385)</f>
        <v>0.6292134831460674</v>
      </c>
      <c r="DS385" s="23">
        <v>183</v>
      </c>
      <c r="DT385" s="30">
        <f>DS385/SUM(DS$382:DS$385)</f>
        <v>0.6398601398601399</v>
      </c>
      <c r="DU385" s="302"/>
      <c r="DV385" s="302"/>
      <c r="DW385" s="302"/>
      <c r="DX385" s="302"/>
      <c r="DY385" s="302"/>
      <c r="DZ385" s="302"/>
      <c r="EA385" s="302"/>
      <c r="EB385" s="302"/>
      <c r="EC385" s="302"/>
      <c r="ED385" s="302"/>
      <c r="EE385" s="302"/>
      <c r="EF385" s="302"/>
      <c r="EG385" s="302"/>
      <c r="EH385" s="302"/>
      <c r="EI385" s="302"/>
      <c r="EJ385" s="302"/>
      <c r="EK385" s="302"/>
      <c r="EL385" s="302"/>
      <c r="EM385" s="302"/>
      <c r="EN385" s="23">
        <v>175</v>
      </c>
      <c r="EO385" s="30">
        <f>EN385/SUM(EN$382:EN$385)</f>
        <v>0.59931506849315064</v>
      </c>
      <c r="EP385" s="23">
        <v>173</v>
      </c>
      <c r="EQ385" s="30">
        <f>EP385/SUM(EP$382:EP$385)</f>
        <v>0.62454873646209386</v>
      </c>
      <c r="ER385" s="23">
        <v>210</v>
      </c>
      <c r="ES385" s="30">
        <f>ER385/SUM(ER$382:ER$385)</f>
        <v>0.68627450980392157</v>
      </c>
      <c r="ET385" s="23">
        <v>574</v>
      </c>
      <c r="EU385" s="30">
        <f>ET385/SUM(ET$382:ET$385)</f>
        <v>0.92282958199356913</v>
      </c>
      <c r="EV385" s="23">
        <v>642</v>
      </c>
      <c r="EW385" s="30">
        <f>EV385/SUM(EV$382:EV$385)</f>
        <v>0.98165137614678899</v>
      </c>
      <c r="EX385" s="23">
        <v>637</v>
      </c>
      <c r="EY385" s="30">
        <f>EX385/SUM(EX$382:EX$385)</f>
        <v>0.94230769230769229</v>
      </c>
      <c r="EZ385" s="23">
        <v>864</v>
      </c>
      <c r="FA385" s="30">
        <f>EZ385/SUM(EZ$382:EZ$385)</f>
        <v>0.99769053117782913</v>
      </c>
      <c r="FB385" s="23">
        <v>410</v>
      </c>
      <c r="FC385" s="30">
        <f>FB385/SUM(FB$382:FB$385)</f>
        <v>0.9447004608294931</v>
      </c>
      <c r="FD385" s="23">
        <v>140</v>
      </c>
      <c r="FE385" s="30">
        <f>FD385/SUM(FD$382:FD$385)</f>
        <v>0.47457627118644069</v>
      </c>
      <c r="FF385" s="23">
        <v>287</v>
      </c>
      <c r="FG385" s="30">
        <f>FF385/SUM(FF$382:FF$385)</f>
        <v>0.67688679245283023</v>
      </c>
      <c r="FH385" s="23">
        <v>271</v>
      </c>
      <c r="FI385" s="30">
        <f>FH385/SUM(FH$382:FH$385)</f>
        <v>0.636150234741784</v>
      </c>
      <c r="FJ385" s="23">
        <v>215</v>
      </c>
      <c r="FK385" s="30">
        <f>FJ385/SUM(FJ$382:FJ$385)</f>
        <v>0.62865497076023391</v>
      </c>
      <c r="FL385" s="23">
        <v>218</v>
      </c>
      <c r="FM385" s="30">
        <f>FL385/SUM(FL$382:FL$385)</f>
        <v>0.61581920903954801</v>
      </c>
      <c r="FN385" s="23">
        <v>232</v>
      </c>
      <c r="FO385" s="30">
        <f>FN385/SUM(FN$382:FN$385)</f>
        <v>0.62702702702702706</v>
      </c>
      <c r="FP385" s="23">
        <v>154</v>
      </c>
      <c r="FQ385" s="30">
        <f>FP385/SUM(FP$382:FP$385)</f>
        <v>0.61599999999999999</v>
      </c>
      <c r="FR385" s="302"/>
      <c r="FS385" s="302"/>
      <c r="FT385" s="302"/>
      <c r="FU385" s="302"/>
      <c r="FV385" s="302"/>
      <c r="FW385" s="302"/>
      <c r="FX385" s="302"/>
      <c r="FY385" s="302"/>
      <c r="FZ385" s="302"/>
      <c r="GA385" s="302"/>
      <c r="GB385" s="302"/>
      <c r="GC385" s="302"/>
      <c r="GD385" s="302"/>
      <c r="GE385" s="302"/>
      <c r="GF385" s="290"/>
      <c r="GG385" s="290"/>
    </row>
    <row r="386" spans="1:189" ht="15" customHeight="1" outlineLevel="2" x14ac:dyDescent="0.3">
      <c r="A386" s="1"/>
      <c r="B386" s="181"/>
      <c r="C386" s="181"/>
      <c r="D386" s="181"/>
      <c r="E386" s="181"/>
      <c r="F386" s="181"/>
      <c r="G386" s="182"/>
      <c r="H386" s="182"/>
      <c r="I386" s="183"/>
      <c r="J386" s="184"/>
      <c r="K386" s="183"/>
      <c r="L386" s="184"/>
      <c r="M386" s="183"/>
      <c r="N386" s="184"/>
      <c r="O386" s="183"/>
      <c r="P386" s="184"/>
      <c r="Q386" s="183"/>
      <c r="R386" s="184"/>
      <c r="S386" s="183"/>
      <c r="T386" s="184"/>
      <c r="U386" s="183"/>
      <c r="V386" s="184"/>
      <c r="W386" s="183"/>
      <c r="X386" s="184"/>
      <c r="Y386" s="183"/>
      <c r="Z386" s="184"/>
      <c r="AA386" s="183"/>
      <c r="AB386" s="184"/>
      <c r="AC386" s="183"/>
      <c r="AD386" s="184"/>
      <c r="AE386" s="183"/>
      <c r="AF386" s="184"/>
      <c r="AG386" s="183"/>
      <c r="AH386" s="184"/>
      <c r="AI386" s="183"/>
      <c r="AJ386" s="184"/>
      <c r="AK386" s="183"/>
      <c r="AL386" s="184"/>
      <c r="AM386" s="183"/>
      <c r="AN386" s="184"/>
      <c r="AO386" s="183"/>
      <c r="AP386" s="184"/>
      <c r="AQ386" s="183"/>
      <c r="AR386" s="184"/>
      <c r="AS386" s="183"/>
      <c r="AT386" s="184"/>
      <c r="AU386" s="183"/>
      <c r="AV386" s="184"/>
      <c r="AW386" s="183"/>
      <c r="AX386" s="184"/>
      <c r="AY386" s="183"/>
      <c r="AZ386" s="184"/>
      <c r="BA386" s="183"/>
      <c r="BB386" s="184"/>
      <c r="BC386" s="183"/>
      <c r="BD386" s="184"/>
      <c r="BE386" s="183"/>
      <c r="BF386" s="184"/>
      <c r="BG386" s="183"/>
      <c r="BH386" s="184"/>
      <c r="BI386" s="183"/>
      <c r="BJ386" s="184"/>
      <c r="BK386" s="183"/>
      <c r="BL386" s="184"/>
      <c r="BM386" s="183"/>
      <c r="BN386" s="184"/>
      <c r="BO386" s="183"/>
      <c r="BP386" s="184"/>
      <c r="BQ386" s="183"/>
      <c r="BR386" s="184"/>
      <c r="BS386" s="183"/>
      <c r="BT386" s="184"/>
      <c r="BU386" s="183"/>
      <c r="BV386" s="184"/>
      <c r="BW386" s="183"/>
      <c r="BX386" s="184"/>
      <c r="BY386" s="183"/>
      <c r="BZ386" s="184"/>
      <c r="CA386" s="183"/>
      <c r="CB386" s="184"/>
      <c r="CC386" s="183"/>
      <c r="CD386" s="184"/>
      <c r="CE386" s="183"/>
      <c r="CF386" s="184"/>
      <c r="CG386" s="183"/>
      <c r="CH386" s="184"/>
      <c r="CI386" s="183"/>
      <c r="CJ386" s="184"/>
      <c r="CK386" s="183"/>
      <c r="CL386" s="184"/>
      <c r="CM386" s="183"/>
      <c r="CN386" s="184"/>
      <c r="CO386" s="183"/>
      <c r="CP386" s="184"/>
      <c r="CQ386" s="183"/>
      <c r="CR386" s="184"/>
      <c r="CS386" s="183"/>
      <c r="CT386" s="184"/>
      <c r="CU386" s="183"/>
      <c r="CV386" s="184"/>
      <c r="CW386" s="183"/>
      <c r="CX386" s="184"/>
      <c r="CY386" s="183"/>
      <c r="CZ386" s="184"/>
      <c r="DA386" s="183"/>
      <c r="DB386" s="184"/>
      <c r="DC386" s="183"/>
      <c r="DD386" s="184"/>
      <c r="DE386" s="183"/>
      <c r="DF386" s="184"/>
      <c r="DG386" s="183"/>
      <c r="DH386" s="184"/>
      <c r="DI386" s="183"/>
      <c r="DJ386" s="184"/>
      <c r="DK386" s="183"/>
      <c r="DL386" s="184"/>
      <c r="DM386" s="183"/>
      <c r="DN386" s="184"/>
      <c r="DO386" s="183"/>
      <c r="DP386" s="184"/>
      <c r="DQ386" s="183"/>
      <c r="DR386" s="184"/>
      <c r="DS386" s="183"/>
      <c r="DT386" s="184"/>
      <c r="DU386" s="181"/>
      <c r="DV386" s="181"/>
      <c r="DW386" s="181"/>
      <c r="DX386" s="181"/>
      <c r="DY386" s="181"/>
      <c r="DZ386" s="181"/>
      <c r="EA386" s="181"/>
      <c r="EB386" s="181"/>
      <c r="EC386" s="181"/>
      <c r="ED386" s="181"/>
      <c r="EE386" s="181"/>
      <c r="EF386" s="181"/>
      <c r="EG386" s="181"/>
      <c r="EH386" s="181"/>
      <c r="EI386" s="181"/>
      <c r="EJ386" s="181"/>
      <c r="EK386" s="181"/>
      <c r="EL386" s="181"/>
      <c r="EM386" s="181"/>
      <c r="EN386" s="183"/>
      <c r="EO386" s="184"/>
      <c r="EP386" s="183"/>
      <c r="EQ386" s="184"/>
      <c r="ER386" s="183"/>
      <c r="ES386" s="184"/>
      <c r="ET386" s="183"/>
      <c r="EU386" s="184"/>
      <c r="EV386" s="183"/>
      <c r="EW386" s="184"/>
      <c r="EX386" s="183"/>
      <c r="EY386" s="184"/>
      <c r="EZ386" s="183"/>
      <c r="FA386" s="184"/>
      <c r="FB386" s="183"/>
      <c r="FC386" s="184"/>
      <c r="FD386" s="183"/>
      <c r="FE386" s="184"/>
      <c r="FF386" s="183"/>
      <c r="FG386" s="184"/>
      <c r="FH386" s="183"/>
      <c r="FI386" s="184"/>
      <c r="FJ386" s="183"/>
      <c r="FK386" s="184"/>
      <c r="FL386" s="183"/>
      <c r="FM386" s="184"/>
      <c r="FN386" s="183"/>
      <c r="FO386" s="184"/>
      <c r="FP386" s="183"/>
      <c r="FQ386" s="184"/>
      <c r="FR386" s="181"/>
      <c r="FS386" s="181"/>
      <c r="FT386" s="181"/>
      <c r="FU386" s="181"/>
      <c r="FV386" s="181"/>
      <c r="FW386" s="181"/>
      <c r="FX386" s="181"/>
      <c r="FY386" s="181"/>
      <c r="FZ386" s="181"/>
      <c r="GA386" s="181"/>
      <c r="GB386" s="181"/>
      <c r="GC386" s="181"/>
      <c r="GD386" s="181"/>
      <c r="GE386" s="181"/>
      <c r="GF386" s="181"/>
      <c r="GG386" s="181"/>
    </row>
    <row r="387" spans="1:189" ht="15" customHeight="1" outlineLevel="1" x14ac:dyDescent="0.3">
      <c r="A387" s="63"/>
      <c r="B387" s="313" t="s">
        <v>385</v>
      </c>
      <c r="C387" s="313" t="s">
        <v>47</v>
      </c>
      <c r="D387" s="313" t="s">
        <v>25</v>
      </c>
      <c r="E387" s="313" t="s">
        <v>272</v>
      </c>
      <c r="F387" s="313" t="s">
        <v>114</v>
      </c>
      <c r="G387" s="5" t="s">
        <v>28</v>
      </c>
      <c r="H387" s="5"/>
      <c r="I387" s="280" t="s">
        <v>273</v>
      </c>
      <c r="J387" s="281"/>
      <c r="K387" s="280" t="s">
        <v>273</v>
      </c>
      <c r="L387" s="281"/>
      <c r="M387" s="280" t="s">
        <v>273</v>
      </c>
      <c r="N387" s="281"/>
      <c r="O387" s="280" t="s">
        <v>273</v>
      </c>
      <c r="P387" s="281"/>
      <c r="Q387" s="280" t="s">
        <v>273</v>
      </c>
      <c r="R387" s="281"/>
      <c r="S387" s="280" t="s">
        <v>273</v>
      </c>
      <c r="T387" s="281"/>
      <c r="U387" s="280" t="s">
        <v>273</v>
      </c>
      <c r="V387" s="281"/>
      <c r="W387" s="280" t="s">
        <v>273</v>
      </c>
      <c r="X387" s="281"/>
      <c r="Y387" s="280" t="s">
        <v>273</v>
      </c>
      <c r="Z387" s="281"/>
      <c r="AA387" s="280" t="s">
        <v>273</v>
      </c>
      <c r="AB387" s="281"/>
      <c r="AC387" s="280" t="s">
        <v>273</v>
      </c>
      <c r="AD387" s="281"/>
      <c r="AE387" s="280" t="s">
        <v>273</v>
      </c>
      <c r="AF387" s="281"/>
      <c r="AG387" s="280" t="s">
        <v>273</v>
      </c>
      <c r="AH387" s="281"/>
      <c r="AI387" s="280" t="s">
        <v>273</v>
      </c>
      <c r="AJ387" s="281"/>
      <c r="AK387" s="280" t="s">
        <v>273</v>
      </c>
      <c r="AL387" s="281"/>
      <c r="AM387" s="280" t="s">
        <v>273</v>
      </c>
      <c r="AN387" s="281"/>
      <c r="AO387" s="280" t="s">
        <v>273</v>
      </c>
      <c r="AP387" s="281"/>
      <c r="AQ387" s="280" t="s">
        <v>273</v>
      </c>
      <c r="AR387" s="281"/>
      <c r="AS387" s="280" t="s">
        <v>273</v>
      </c>
      <c r="AT387" s="281"/>
      <c r="AU387" s="280" t="s">
        <v>273</v>
      </c>
      <c r="AV387" s="281"/>
      <c r="AW387" s="280" t="s">
        <v>273</v>
      </c>
      <c r="AX387" s="281"/>
      <c r="AY387" s="280" t="s">
        <v>273</v>
      </c>
      <c r="AZ387" s="281"/>
      <c r="BA387" s="280" t="s">
        <v>273</v>
      </c>
      <c r="BB387" s="281"/>
      <c r="BC387" s="280" t="s">
        <v>273</v>
      </c>
      <c r="BD387" s="281"/>
      <c r="BE387" s="280" t="s">
        <v>273</v>
      </c>
      <c r="BF387" s="281"/>
      <c r="BG387" s="280" t="s">
        <v>273</v>
      </c>
      <c r="BH387" s="281"/>
      <c r="BI387" s="280" t="s">
        <v>273</v>
      </c>
      <c r="BJ387" s="281"/>
      <c r="BK387" s="280" t="s">
        <v>273</v>
      </c>
      <c r="BL387" s="281"/>
      <c r="BM387" s="280" t="s">
        <v>273</v>
      </c>
      <c r="BN387" s="281"/>
      <c r="BO387" s="280" t="s">
        <v>273</v>
      </c>
      <c r="BP387" s="281"/>
      <c r="BQ387" s="280" t="s">
        <v>273</v>
      </c>
      <c r="BR387" s="281"/>
      <c r="BS387" s="280" t="s">
        <v>273</v>
      </c>
      <c r="BT387" s="281"/>
      <c r="BU387" s="280" t="s">
        <v>273</v>
      </c>
      <c r="BV387" s="281"/>
      <c r="BW387" s="280" t="s">
        <v>273</v>
      </c>
      <c r="BX387" s="281"/>
      <c r="BY387" s="280" t="s">
        <v>273</v>
      </c>
      <c r="BZ387" s="281"/>
      <c r="CA387" s="280" t="s">
        <v>273</v>
      </c>
      <c r="CB387" s="281"/>
      <c r="CC387" s="280" t="s">
        <v>273</v>
      </c>
      <c r="CD387" s="281"/>
      <c r="CE387" s="280"/>
      <c r="CF387" s="281"/>
      <c r="CG387" s="280"/>
      <c r="CH387" s="281"/>
      <c r="CI387" s="280"/>
      <c r="CJ387" s="281"/>
      <c r="CK387" s="280"/>
      <c r="CL387" s="281"/>
      <c r="CM387" s="280"/>
      <c r="CN387" s="281"/>
      <c r="CO387" s="280"/>
      <c r="CP387" s="281"/>
      <c r="CQ387" s="280"/>
      <c r="CR387" s="281"/>
      <c r="CS387" s="280"/>
      <c r="CT387" s="281"/>
      <c r="CU387" s="280"/>
      <c r="CV387" s="281"/>
      <c r="CW387" s="280"/>
      <c r="CX387" s="281"/>
      <c r="CY387" s="280"/>
      <c r="CZ387" s="281"/>
      <c r="DA387" s="280"/>
      <c r="DB387" s="281"/>
      <c r="DC387" s="280" t="s">
        <v>273</v>
      </c>
      <c r="DD387" s="281"/>
      <c r="DE387" s="280" t="s">
        <v>273</v>
      </c>
      <c r="DF387" s="281"/>
      <c r="DG387" s="280" t="s">
        <v>273</v>
      </c>
      <c r="DH387" s="281"/>
      <c r="DI387" s="280" t="s">
        <v>273</v>
      </c>
      <c r="DJ387" s="281"/>
      <c r="DK387" s="280" t="s">
        <v>273</v>
      </c>
      <c r="DL387" s="281"/>
      <c r="DM387" s="280" t="s">
        <v>273</v>
      </c>
      <c r="DN387" s="281"/>
      <c r="DO387" s="280" t="s">
        <v>273</v>
      </c>
      <c r="DP387" s="281"/>
      <c r="DQ387" s="280" t="s">
        <v>273</v>
      </c>
      <c r="DR387" s="281"/>
      <c r="DS387" s="280" t="s">
        <v>273</v>
      </c>
      <c r="DT387" s="281"/>
      <c r="DU387" s="319" t="s">
        <v>29</v>
      </c>
      <c r="DV387" s="319" t="s">
        <v>29</v>
      </c>
      <c r="DW387" s="319" t="s">
        <v>29</v>
      </c>
      <c r="DX387" s="319" t="s">
        <v>29</v>
      </c>
      <c r="DY387" s="319" t="s">
        <v>29</v>
      </c>
      <c r="DZ387" s="319" t="s">
        <v>29</v>
      </c>
      <c r="EA387" s="319" t="s">
        <v>29</v>
      </c>
      <c r="EB387" s="319" t="s">
        <v>29</v>
      </c>
      <c r="EC387" s="319" t="s">
        <v>29</v>
      </c>
      <c r="ED387" s="319" t="s">
        <v>29</v>
      </c>
      <c r="EE387" s="319"/>
      <c r="EF387" s="319"/>
      <c r="EG387" s="319" t="s">
        <v>29</v>
      </c>
      <c r="EH387" s="319" t="s">
        <v>29</v>
      </c>
      <c r="EI387" s="319" t="s">
        <v>29</v>
      </c>
      <c r="EJ387" s="319" t="s">
        <v>29</v>
      </c>
      <c r="EK387" s="319"/>
      <c r="EL387" s="319"/>
      <c r="EM387" s="319" t="s">
        <v>29</v>
      </c>
      <c r="EN387" s="280" t="s">
        <v>273</v>
      </c>
      <c r="EO387" s="281"/>
      <c r="EP387" s="280" t="s">
        <v>273</v>
      </c>
      <c r="EQ387" s="281"/>
      <c r="ER387" s="280" t="s">
        <v>273</v>
      </c>
      <c r="ES387" s="281"/>
      <c r="ET387" s="280" t="s">
        <v>273</v>
      </c>
      <c r="EU387" s="281"/>
      <c r="EV387" s="280" t="s">
        <v>273</v>
      </c>
      <c r="EW387" s="281"/>
      <c r="EX387" s="280" t="s">
        <v>273</v>
      </c>
      <c r="EY387" s="281"/>
      <c r="EZ387" s="280" t="s">
        <v>273</v>
      </c>
      <c r="FA387" s="281"/>
      <c r="FB387" s="280" t="s">
        <v>273</v>
      </c>
      <c r="FC387" s="281"/>
      <c r="FD387" s="280" t="s">
        <v>273</v>
      </c>
      <c r="FE387" s="281"/>
      <c r="FF387" s="280" t="s">
        <v>273</v>
      </c>
      <c r="FG387" s="281"/>
      <c r="FH387" s="280" t="s">
        <v>273</v>
      </c>
      <c r="FI387" s="281"/>
      <c r="FJ387" s="280" t="s">
        <v>273</v>
      </c>
      <c r="FK387" s="281"/>
      <c r="FL387" s="280" t="s">
        <v>273</v>
      </c>
      <c r="FM387" s="281"/>
      <c r="FN387" s="280" t="s">
        <v>273</v>
      </c>
      <c r="FO387" s="281"/>
      <c r="FP387" s="280" t="s">
        <v>273</v>
      </c>
      <c r="FQ387" s="281"/>
      <c r="FR387" s="319" t="s">
        <v>29</v>
      </c>
      <c r="FS387" s="319" t="s">
        <v>29</v>
      </c>
      <c r="FT387" s="319" t="s">
        <v>29</v>
      </c>
      <c r="FU387" s="319" t="s">
        <v>29</v>
      </c>
      <c r="FV387" s="319" t="s">
        <v>29</v>
      </c>
      <c r="FW387" s="319" t="s">
        <v>29</v>
      </c>
      <c r="FX387" s="319" t="s">
        <v>29</v>
      </c>
      <c r="FY387" s="319" t="s">
        <v>29</v>
      </c>
      <c r="FZ387" s="319" t="s">
        <v>29</v>
      </c>
      <c r="GA387" s="319" t="s">
        <v>29</v>
      </c>
      <c r="GB387" s="319" t="s">
        <v>29</v>
      </c>
      <c r="GC387" s="319" t="s">
        <v>29</v>
      </c>
      <c r="GD387" s="319" t="s">
        <v>29</v>
      </c>
      <c r="GE387" s="319" t="s">
        <v>29</v>
      </c>
      <c r="GF387" s="319"/>
      <c r="GG387" s="319"/>
    </row>
    <row r="388" spans="1:189" ht="4.5" customHeight="1" outlineLevel="1" x14ac:dyDescent="0.3">
      <c r="A388" s="1"/>
      <c r="B388" s="301"/>
      <c r="C388" s="301"/>
      <c r="D388" s="301"/>
      <c r="E388" s="301"/>
      <c r="F388" s="301"/>
      <c r="G388" s="5"/>
      <c r="H388" s="5"/>
      <c r="I388" s="282"/>
      <c r="J388" s="281"/>
      <c r="K388" s="282"/>
      <c r="L388" s="281"/>
      <c r="M388" s="282"/>
      <c r="N388" s="281"/>
      <c r="O388" s="282"/>
      <c r="P388" s="281"/>
      <c r="Q388" s="282"/>
      <c r="R388" s="281"/>
      <c r="S388" s="282"/>
      <c r="T388" s="281"/>
      <c r="U388" s="282"/>
      <c r="V388" s="281"/>
      <c r="W388" s="282"/>
      <c r="X388" s="281"/>
      <c r="Y388" s="282"/>
      <c r="Z388" s="281"/>
      <c r="AA388" s="282"/>
      <c r="AB388" s="281"/>
      <c r="AC388" s="282"/>
      <c r="AD388" s="281"/>
      <c r="AE388" s="282"/>
      <c r="AF388" s="281"/>
      <c r="AG388" s="282"/>
      <c r="AH388" s="281"/>
      <c r="AI388" s="282"/>
      <c r="AJ388" s="281"/>
      <c r="AK388" s="282"/>
      <c r="AL388" s="281"/>
      <c r="AM388" s="282"/>
      <c r="AN388" s="281"/>
      <c r="AO388" s="282"/>
      <c r="AP388" s="281"/>
      <c r="AQ388" s="282"/>
      <c r="AR388" s="281"/>
      <c r="AS388" s="282"/>
      <c r="AT388" s="281"/>
      <c r="AU388" s="282"/>
      <c r="AV388" s="281"/>
      <c r="AW388" s="282"/>
      <c r="AX388" s="281"/>
      <c r="AY388" s="282"/>
      <c r="AZ388" s="281"/>
      <c r="BA388" s="282"/>
      <c r="BB388" s="281"/>
      <c r="BC388" s="282"/>
      <c r="BD388" s="281"/>
      <c r="BE388" s="282"/>
      <c r="BF388" s="281"/>
      <c r="BG388" s="282"/>
      <c r="BH388" s="281"/>
      <c r="BI388" s="282"/>
      <c r="BJ388" s="281"/>
      <c r="BK388" s="282"/>
      <c r="BL388" s="281"/>
      <c r="BM388" s="282"/>
      <c r="BN388" s="281"/>
      <c r="BO388" s="282"/>
      <c r="BP388" s="281"/>
      <c r="BQ388" s="282"/>
      <c r="BR388" s="281"/>
      <c r="BS388" s="282"/>
      <c r="BT388" s="281"/>
      <c r="BU388" s="282"/>
      <c r="BV388" s="281"/>
      <c r="BW388" s="282"/>
      <c r="BX388" s="281"/>
      <c r="BY388" s="282"/>
      <c r="BZ388" s="281"/>
      <c r="CA388" s="282"/>
      <c r="CB388" s="281"/>
      <c r="CC388" s="282"/>
      <c r="CD388" s="281"/>
      <c r="CE388" s="282"/>
      <c r="CF388" s="281"/>
      <c r="CG388" s="282"/>
      <c r="CH388" s="281"/>
      <c r="CI388" s="282"/>
      <c r="CJ388" s="281"/>
      <c r="CK388" s="282"/>
      <c r="CL388" s="281"/>
      <c r="CM388" s="282"/>
      <c r="CN388" s="281"/>
      <c r="CO388" s="282"/>
      <c r="CP388" s="281"/>
      <c r="CQ388" s="282"/>
      <c r="CR388" s="281"/>
      <c r="CS388" s="282"/>
      <c r="CT388" s="281"/>
      <c r="CU388" s="282"/>
      <c r="CV388" s="281"/>
      <c r="CW388" s="282"/>
      <c r="CX388" s="281"/>
      <c r="CY388" s="282"/>
      <c r="CZ388" s="281"/>
      <c r="DA388" s="282"/>
      <c r="DB388" s="281"/>
      <c r="DC388" s="282"/>
      <c r="DD388" s="281"/>
      <c r="DE388" s="282"/>
      <c r="DF388" s="281"/>
      <c r="DG388" s="282"/>
      <c r="DH388" s="281"/>
      <c r="DI388" s="282"/>
      <c r="DJ388" s="281"/>
      <c r="DK388" s="282"/>
      <c r="DL388" s="281"/>
      <c r="DM388" s="282"/>
      <c r="DN388" s="281"/>
      <c r="DO388" s="282"/>
      <c r="DP388" s="281"/>
      <c r="DQ388" s="282"/>
      <c r="DR388" s="281"/>
      <c r="DS388" s="282"/>
      <c r="DT388" s="281"/>
      <c r="DU388" s="301"/>
      <c r="DV388" s="301"/>
      <c r="DW388" s="301"/>
      <c r="DX388" s="301"/>
      <c r="DY388" s="301"/>
      <c r="DZ388" s="301"/>
      <c r="EA388" s="301"/>
      <c r="EB388" s="301"/>
      <c r="EC388" s="301"/>
      <c r="ED388" s="301"/>
      <c r="EE388" s="301"/>
      <c r="EF388" s="301"/>
      <c r="EG388" s="301"/>
      <c r="EH388" s="301"/>
      <c r="EI388" s="301"/>
      <c r="EJ388" s="301"/>
      <c r="EK388" s="301"/>
      <c r="EL388" s="301"/>
      <c r="EM388" s="301"/>
      <c r="EN388" s="282"/>
      <c r="EO388" s="281"/>
      <c r="EP388" s="282"/>
      <c r="EQ388" s="281"/>
      <c r="ER388" s="282"/>
      <c r="ES388" s="281"/>
      <c r="ET388" s="282"/>
      <c r="EU388" s="281"/>
      <c r="EV388" s="282"/>
      <c r="EW388" s="281"/>
      <c r="EX388" s="282"/>
      <c r="EY388" s="281"/>
      <c r="EZ388" s="282"/>
      <c r="FA388" s="281"/>
      <c r="FB388" s="282"/>
      <c r="FC388" s="281"/>
      <c r="FD388" s="282"/>
      <c r="FE388" s="281"/>
      <c r="FF388" s="282"/>
      <c r="FG388" s="281"/>
      <c r="FH388" s="282"/>
      <c r="FI388" s="281"/>
      <c r="FJ388" s="282"/>
      <c r="FK388" s="281"/>
      <c r="FL388" s="282"/>
      <c r="FM388" s="281"/>
      <c r="FN388" s="282"/>
      <c r="FO388" s="281"/>
      <c r="FP388" s="282"/>
      <c r="FQ388" s="281"/>
      <c r="FR388" s="301"/>
      <c r="FS388" s="301"/>
      <c r="FT388" s="301"/>
      <c r="FU388" s="301"/>
      <c r="FV388" s="301"/>
      <c r="FW388" s="301"/>
      <c r="FX388" s="301"/>
      <c r="FY388" s="301"/>
      <c r="FZ388" s="301"/>
      <c r="GA388" s="301"/>
      <c r="GB388" s="301"/>
      <c r="GC388" s="301"/>
      <c r="GD388" s="301"/>
      <c r="GE388" s="301"/>
      <c r="GF388" s="289"/>
      <c r="GG388" s="289"/>
    </row>
    <row r="389" spans="1:189" ht="15" customHeight="1" outlineLevel="1" x14ac:dyDescent="0.3">
      <c r="A389" s="1"/>
      <c r="B389" s="301"/>
      <c r="C389" s="301"/>
      <c r="D389" s="301"/>
      <c r="E389" s="301"/>
      <c r="F389" s="301"/>
      <c r="G389" s="5" t="s">
        <v>274</v>
      </c>
      <c r="H389" s="5"/>
      <c r="I389" s="280" t="s">
        <v>275</v>
      </c>
      <c r="J389" s="281"/>
      <c r="K389" s="280" t="s">
        <v>276</v>
      </c>
      <c r="L389" s="281"/>
      <c r="M389" s="280" t="s">
        <v>277</v>
      </c>
      <c r="N389" s="281"/>
      <c r="O389" s="280" t="s">
        <v>278</v>
      </c>
      <c r="P389" s="281"/>
      <c r="Q389" s="280" t="s">
        <v>279</v>
      </c>
      <c r="R389" s="281"/>
      <c r="S389" s="280" t="s">
        <v>280</v>
      </c>
      <c r="T389" s="281"/>
      <c r="U389" s="280" t="s">
        <v>281</v>
      </c>
      <c r="V389" s="281"/>
      <c r="W389" s="280" t="s">
        <v>282</v>
      </c>
      <c r="X389" s="281"/>
      <c r="Y389" s="280" t="s">
        <v>283</v>
      </c>
      <c r="Z389" s="281"/>
      <c r="AA389" s="280" t="s">
        <v>284</v>
      </c>
      <c r="AB389" s="281"/>
      <c r="AC389" s="280" t="s">
        <v>285</v>
      </c>
      <c r="AD389" s="281"/>
      <c r="AE389" s="280" t="s">
        <v>286</v>
      </c>
      <c r="AF389" s="281"/>
      <c r="AG389" s="280" t="s">
        <v>287</v>
      </c>
      <c r="AH389" s="281"/>
      <c r="AI389" s="280" t="s">
        <v>288</v>
      </c>
      <c r="AJ389" s="281"/>
      <c r="AK389" s="280" t="s">
        <v>289</v>
      </c>
      <c r="AL389" s="281"/>
      <c r="AM389" s="280" t="s">
        <v>290</v>
      </c>
      <c r="AN389" s="281"/>
      <c r="AO389" s="280" t="s">
        <v>291</v>
      </c>
      <c r="AP389" s="281"/>
      <c r="AQ389" s="280" t="s">
        <v>292</v>
      </c>
      <c r="AR389" s="281"/>
      <c r="AS389" s="280" t="s">
        <v>293</v>
      </c>
      <c r="AT389" s="281"/>
      <c r="AU389" s="280" t="s">
        <v>293</v>
      </c>
      <c r="AV389" s="281"/>
      <c r="AW389" s="280" t="s">
        <v>278</v>
      </c>
      <c r="AX389" s="281"/>
      <c r="AY389" s="280" t="s">
        <v>292</v>
      </c>
      <c r="AZ389" s="281"/>
      <c r="BA389" s="280" t="s">
        <v>278</v>
      </c>
      <c r="BB389" s="281"/>
      <c r="BC389" s="280" t="s">
        <v>294</v>
      </c>
      <c r="BD389" s="281"/>
      <c r="BE389" s="280" t="s">
        <v>293</v>
      </c>
      <c r="BF389" s="281"/>
      <c r="BG389" s="280" t="s">
        <v>294</v>
      </c>
      <c r="BH389" s="281"/>
      <c r="BI389" s="448">
        <v>4</v>
      </c>
      <c r="BJ389" s="281"/>
      <c r="BK389" s="280">
        <v>5</v>
      </c>
      <c r="BL389" s="281"/>
      <c r="BM389" s="280">
        <v>6</v>
      </c>
      <c r="BN389" s="281"/>
      <c r="BO389" s="280">
        <v>5</v>
      </c>
      <c r="BP389" s="281"/>
      <c r="BQ389" s="280">
        <v>4</v>
      </c>
      <c r="BR389" s="281"/>
      <c r="BS389" s="280">
        <v>5</v>
      </c>
      <c r="BT389" s="281"/>
      <c r="BU389" s="280">
        <v>5</v>
      </c>
      <c r="BV389" s="281"/>
      <c r="BW389" s="280">
        <v>5</v>
      </c>
      <c r="BX389" s="281"/>
      <c r="BY389" s="280">
        <v>5</v>
      </c>
      <c r="BZ389" s="281"/>
      <c r="CA389" s="280">
        <v>6</v>
      </c>
      <c r="CB389" s="281"/>
      <c r="CC389" s="280">
        <v>7</v>
      </c>
      <c r="CD389" s="281"/>
      <c r="CE389" s="280"/>
      <c r="CF389" s="281"/>
      <c r="CG389" s="280"/>
      <c r="CH389" s="281"/>
      <c r="CI389" s="280"/>
      <c r="CJ389" s="281"/>
      <c r="CK389" s="280"/>
      <c r="CL389" s="281"/>
      <c r="CM389" s="280"/>
      <c r="CN389" s="281"/>
      <c r="CO389" s="280"/>
      <c r="CP389" s="281"/>
      <c r="CQ389" s="280"/>
      <c r="CR389" s="281"/>
      <c r="CS389" s="280"/>
      <c r="CT389" s="281"/>
      <c r="CU389" s="280"/>
      <c r="CV389" s="281"/>
      <c r="CW389" s="280"/>
      <c r="CX389" s="281"/>
      <c r="CY389" s="280"/>
      <c r="CZ389" s="281"/>
      <c r="DA389" s="280"/>
      <c r="DB389" s="281"/>
      <c r="DC389" s="280">
        <v>10</v>
      </c>
      <c r="DD389" s="281"/>
      <c r="DE389" s="280">
        <v>18</v>
      </c>
      <c r="DF389" s="281"/>
      <c r="DG389" s="280">
        <v>9</v>
      </c>
      <c r="DH389" s="281"/>
      <c r="DI389" s="280">
        <v>10</v>
      </c>
      <c r="DJ389" s="281"/>
      <c r="DK389" s="280">
        <v>9</v>
      </c>
      <c r="DL389" s="281"/>
      <c r="DM389" s="280">
        <v>8</v>
      </c>
      <c r="DN389" s="281"/>
      <c r="DO389" s="280">
        <v>6</v>
      </c>
      <c r="DP389" s="281"/>
      <c r="DQ389" s="280">
        <v>8</v>
      </c>
      <c r="DR389" s="281"/>
      <c r="DS389" s="280">
        <v>10</v>
      </c>
      <c r="DT389" s="281"/>
      <c r="DU389" s="301"/>
      <c r="DV389" s="301"/>
      <c r="DW389" s="301"/>
      <c r="DX389" s="301"/>
      <c r="DY389" s="301"/>
      <c r="DZ389" s="301"/>
      <c r="EA389" s="301"/>
      <c r="EB389" s="301"/>
      <c r="EC389" s="301"/>
      <c r="ED389" s="301"/>
      <c r="EE389" s="301"/>
      <c r="EF389" s="301"/>
      <c r="EG389" s="301"/>
      <c r="EH389" s="301"/>
      <c r="EI389" s="301"/>
      <c r="EJ389" s="301"/>
      <c r="EK389" s="301"/>
      <c r="EL389" s="301"/>
      <c r="EM389" s="301"/>
      <c r="EN389" s="280">
        <v>12</v>
      </c>
      <c r="EO389" s="281"/>
      <c r="EP389" s="280">
        <v>7</v>
      </c>
      <c r="EQ389" s="281"/>
      <c r="ER389" s="280">
        <v>9</v>
      </c>
      <c r="ES389" s="281"/>
      <c r="ET389" s="280">
        <v>6</v>
      </c>
      <c r="EU389" s="281"/>
      <c r="EV389" s="280">
        <v>7</v>
      </c>
      <c r="EW389" s="281"/>
      <c r="EX389" s="280">
        <v>11</v>
      </c>
      <c r="EY389" s="281"/>
      <c r="EZ389" s="280">
        <v>9</v>
      </c>
      <c r="FA389" s="281"/>
      <c r="FB389" s="280">
        <v>9</v>
      </c>
      <c r="FC389" s="281"/>
      <c r="FD389" s="280">
        <v>8</v>
      </c>
      <c r="FE389" s="281"/>
      <c r="FF389" s="280">
        <v>8</v>
      </c>
      <c r="FG389" s="281"/>
      <c r="FH389" s="280">
        <v>5</v>
      </c>
      <c r="FI389" s="281"/>
      <c r="FJ389" s="280">
        <v>13</v>
      </c>
      <c r="FK389" s="281"/>
      <c r="FL389" s="280">
        <v>6</v>
      </c>
      <c r="FM389" s="281"/>
      <c r="FN389" s="280">
        <v>5</v>
      </c>
      <c r="FO389" s="281"/>
      <c r="FP389" s="280">
        <v>8</v>
      </c>
      <c r="FQ389" s="281"/>
      <c r="FR389" s="301"/>
      <c r="FS389" s="301"/>
      <c r="FT389" s="301"/>
      <c r="FU389" s="301"/>
      <c r="FV389" s="301"/>
      <c r="FW389" s="301"/>
      <c r="FX389" s="301"/>
      <c r="FY389" s="301"/>
      <c r="FZ389" s="301"/>
      <c r="GA389" s="301"/>
      <c r="GB389" s="301"/>
      <c r="GC389" s="301"/>
      <c r="GD389" s="301"/>
      <c r="GE389" s="301"/>
      <c r="GF389" s="289"/>
      <c r="GG389" s="289"/>
    </row>
    <row r="390" spans="1:189" ht="15" customHeight="1" outlineLevel="1" x14ac:dyDescent="0.3">
      <c r="A390" s="1"/>
      <c r="B390" s="301"/>
      <c r="C390" s="301"/>
      <c r="D390" s="301"/>
      <c r="E390" s="302"/>
      <c r="F390" s="302"/>
      <c r="G390" s="5" t="s">
        <v>295</v>
      </c>
      <c r="H390" s="5"/>
      <c r="I390" s="23">
        <f t="shared" ref="I390:I394" si="778">AG390+AE390+AC390+AA390+Y390+W390+U390+S390+O390+M390+K390</f>
        <v>3359</v>
      </c>
      <c r="J390" s="30">
        <f>SUM(J391:J394)</f>
        <v>1</v>
      </c>
      <c r="K390" s="23">
        <v>604</v>
      </c>
      <c r="L390" s="30">
        <f>SUM(L391:L394)</f>
        <v>1</v>
      </c>
      <c r="M390" s="23">
        <v>377</v>
      </c>
      <c r="N390" s="30">
        <f>SUM(N391:N394)</f>
        <v>1</v>
      </c>
      <c r="O390" s="23">
        <v>383</v>
      </c>
      <c r="P390" s="30">
        <f>SUM(P391:P394)</f>
        <v>1</v>
      </c>
      <c r="Q390" s="23">
        <v>301</v>
      </c>
      <c r="R390" s="30">
        <f>SUM(R391:R394)</f>
        <v>1</v>
      </c>
      <c r="S390" s="23">
        <v>200</v>
      </c>
      <c r="T390" s="30">
        <f>SUM(T391:T394)</f>
        <v>1</v>
      </c>
      <c r="U390" s="23">
        <v>235</v>
      </c>
      <c r="V390" s="30">
        <f>SUM(V391:V394)</f>
        <v>1.125</v>
      </c>
      <c r="W390" s="23">
        <v>282</v>
      </c>
      <c r="X390" s="30">
        <f>SUM(X391:X394)</f>
        <v>1</v>
      </c>
      <c r="Y390" s="23">
        <v>318</v>
      </c>
      <c r="Z390" s="30">
        <f>SUM(Z391:Z394)</f>
        <v>1</v>
      </c>
      <c r="AA390" s="23">
        <v>255</v>
      </c>
      <c r="AB390" s="30">
        <f>SUM(AB391:AB394)</f>
        <v>1</v>
      </c>
      <c r="AC390" s="23">
        <v>272</v>
      </c>
      <c r="AD390" s="30">
        <f>SUM(AD391:AD394)</f>
        <v>1</v>
      </c>
      <c r="AE390" s="23">
        <v>218</v>
      </c>
      <c r="AF390" s="30">
        <f>SUM(AF391:AF394)</f>
        <v>1</v>
      </c>
      <c r="AG390" s="23">
        <v>215</v>
      </c>
      <c r="AH390" s="30">
        <f>SUM(AH391:AH394)</f>
        <v>1</v>
      </c>
      <c r="AI390" s="23">
        <v>183</v>
      </c>
      <c r="AJ390" s="30">
        <f>SUM(AJ391:AJ394)</f>
        <v>1</v>
      </c>
      <c r="AK390" s="23">
        <v>160</v>
      </c>
      <c r="AL390" s="30">
        <f>SUM(AL391:AL394)</f>
        <v>1</v>
      </c>
      <c r="AM390" s="23">
        <v>162</v>
      </c>
      <c r="AN390" s="30">
        <f t="shared" ref="AN390:BL390" si="779">SUM(AN391:AN394)</f>
        <v>1</v>
      </c>
      <c r="AO390" s="23">
        <f t="shared" si="779"/>
        <v>376</v>
      </c>
      <c r="AP390" s="30">
        <f t="shared" si="779"/>
        <v>1</v>
      </c>
      <c r="AQ390" s="23">
        <f t="shared" si="779"/>
        <v>362</v>
      </c>
      <c r="AR390" s="30">
        <f t="shared" si="779"/>
        <v>1</v>
      </c>
      <c r="AS390" s="23">
        <f t="shared" si="779"/>
        <v>396</v>
      </c>
      <c r="AT390" s="30">
        <f t="shared" si="779"/>
        <v>1</v>
      </c>
      <c r="AU390" s="23">
        <f t="shared" si="779"/>
        <v>355</v>
      </c>
      <c r="AV390" s="30">
        <f t="shared" si="779"/>
        <v>1</v>
      </c>
      <c r="AW390" s="23">
        <f t="shared" si="779"/>
        <v>201</v>
      </c>
      <c r="AX390" s="30">
        <f t="shared" si="779"/>
        <v>1</v>
      </c>
      <c r="AY390" s="23">
        <f t="shared" si="779"/>
        <v>238</v>
      </c>
      <c r="AZ390" s="30">
        <f t="shared" si="779"/>
        <v>1.1840796019900497</v>
      </c>
      <c r="BA390" s="23">
        <f t="shared" si="779"/>
        <v>406</v>
      </c>
      <c r="BB390" s="30">
        <f t="shared" si="779"/>
        <v>1</v>
      </c>
      <c r="BC390" s="23">
        <f t="shared" si="779"/>
        <v>275</v>
      </c>
      <c r="BD390" s="30">
        <f t="shared" si="779"/>
        <v>1</v>
      </c>
      <c r="BE390" s="23">
        <f t="shared" si="779"/>
        <v>281</v>
      </c>
      <c r="BF390" s="30">
        <f t="shared" si="779"/>
        <v>1</v>
      </c>
      <c r="BG390" s="23">
        <f t="shared" si="779"/>
        <v>165</v>
      </c>
      <c r="BH390" s="30">
        <f t="shared" si="779"/>
        <v>1</v>
      </c>
      <c r="BI390" s="23">
        <f t="shared" si="779"/>
        <v>150</v>
      </c>
      <c r="BJ390" s="30">
        <f t="shared" si="779"/>
        <v>1</v>
      </c>
      <c r="BK390" s="23">
        <f t="shared" si="779"/>
        <v>218</v>
      </c>
      <c r="BL390" s="30">
        <f t="shared" si="779"/>
        <v>1</v>
      </c>
      <c r="BM390" s="23">
        <v>186</v>
      </c>
      <c r="BN390" s="30">
        <f>SUM(BN391:BN394)</f>
        <v>1</v>
      </c>
      <c r="BO390" s="23">
        <v>146</v>
      </c>
      <c r="BP390" s="30">
        <f>SUM(BP391:BP394)</f>
        <v>1</v>
      </c>
      <c r="BQ390" s="23">
        <v>143</v>
      </c>
      <c r="BR390" s="30">
        <f>SUM(BR391:BR394)</f>
        <v>1</v>
      </c>
      <c r="BS390" s="23">
        <v>126</v>
      </c>
      <c r="BT390" s="30">
        <f>SUM(BT391:BT394)</f>
        <v>1</v>
      </c>
      <c r="BU390" s="23">
        <v>140</v>
      </c>
      <c r="BV390" s="30">
        <f>SUM(BV391:BV394)</f>
        <v>1</v>
      </c>
      <c r="BW390" s="23">
        <v>172</v>
      </c>
      <c r="BX390" s="30">
        <f>SUM(BX391:BX394)</f>
        <v>1</v>
      </c>
      <c r="BY390" s="23">
        <v>211</v>
      </c>
      <c r="BZ390" s="30">
        <f>SUM(BZ391:BZ394)</f>
        <v>1</v>
      </c>
      <c r="CA390" s="23">
        <v>219</v>
      </c>
      <c r="CB390" s="30">
        <f>SUM(CB391:CB394)</f>
        <v>1</v>
      </c>
      <c r="CC390" s="23">
        <v>277</v>
      </c>
      <c r="CD390" s="30">
        <f>SUM(CD391:CD394)</f>
        <v>1</v>
      </c>
      <c r="CE390" s="23"/>
      <c r="CF390" s="30"/>
      <c r="CG390" s="23"/>
      <c r="CH390" s="30"/>
      <c r="CI390" s="23"/>
      <c r="CJ390" s="30"/>
      <c r="CK390" s="23"/>
      <c r="CL390" s="30"/>
      <c r="CM390" s="23"/>
      <c r="CN390" s="30"/>
      <c r="CO390" s="23"/>
      <c r="CP390" s="30"/>
      <c r="CQ390" s="23"/>
      <c r="CR390" s="30"/>
      <c r="CS390" s="23"/>
      <c r="CT390" s="30"/>
      <c r="CU390" s="23"/>
      <c r="CV390" s="30"/>
      <c r="CW390" s="23"/>
      <c r="CX390" s="30"/>
      <c r="CY390" s="23"/>
      <c r="CZ390" s="30"/>
      <c r="DA390" s="23"/>
      <c r="DB390" s="30"/>
      <c r="DC390" s="23">
        <v>29</v>
      </c>
      <c r="DD390" s="30">
        <f>SUM(DD391:DD394)</f>
        <v>1</v>
      </c>
      <c r="DE390" s="23">
        <v>29</v>
      </c>
      <c r="DF390" s="30">
        <f>SUM(DF391:DF394)</f>
        <v>1</v>
      </c>
      <c r="DG390" s="23">
        <v>70</v>
      </c>
      <c r="DH390" s="30">
        <f>SUM(DH391:DH394)</f>
        <v>1</v>
      </c>
      <c r="DI390" s="23">
        <v>128</v>
      </c>
      <c r="DJ390" s="30">
        <f>SUM(DJ391:DJ394)</f>
        <v>1</v>
      </c>
      <c r="DK390" s="23">
        <v>144</v>
      </c>
      <c r="DL390" s="30">
        <f>SUM(DL391:DL394)</f>
        <v>1</v>
      </c>
      <c r="DM390" s="23">
        <v>83</v>
      </c>
      <c r="DN390" s="30">
        <f>SUM(DN391:DN394)</f>
        <v>1</v>
      </c>
      <c r="DO390" s="23">
        <v>41</v>
      </c>
      <c r="DP390" s="30">
        <f>SUM(DP391:DP394)</f>
        <v>1</v>
      </c>
      <c r="DQ390" s="23">
        <v>48</v>
      </c>
      <c r="DR390" s="30">
        <f>SUM(DR391:DR394)</f>
        <v>1</v>
      </c>
      <c r="DS390" s="23">
        <v>45</v>
      </c>
      <c r="DT390" s="30">
        <f>SUM(DT391:DT394)</f>
        <v>1</v>
      </c>
      <c r="DU390" s="301"/>
      <c r="DV390" s="301"/>
      <c r="DW390" s="301"/>
      <c r="DX390" s="301"/>
      <c r="DY390" s="301"/>
      <c r="DZ390" s="301"/>
      <c r="EA390" s="301"/>
      <c r="EB390" s="301"/>
      <c r="EC390" s="301"/>
      <c r="ED390" s="301"/>
      <c r="EE390" s="301"/>
      <c r="EF390" s="301"/>
      <c r="EG390" s="301"/>
      <c r="EH390" s="301"/>
      <c r="EI390" s="301"/>
      <c r="EJ390" s="301"/>
      <c r="EK390" s="301"/>
      <c r="EL390" s="301"/>
      <c r="EM390" s="301"/>
      <c r="EN390" s="23">
        <v>68</v>
      </c>
      <c r="EO390" s="30">
        <f>SUM(EO391:EO394)</f>
        <v>1</v>
      </c>
      <c r="EP390" s="23">
        <v>53</v>
      </c>
      <c r="EQ390" s="30">
        <f>SUM(EQ391:EQ394)</f>
        <v>1</v>
      </c>
      <c r="ER390" s="23">
        <v>18</v>
      </c>
      <c r="ES390" s="30">
        <f>SUM(ES391:ES394)</f>
        <v>1</v>
      </c>
      <c r="ET390" s="23">
        <v>22</v>
      </c>
      <c r="EU390" s="30">
        <f>SUM(EU391:EU394)</f>
        <v>1</v>
      </c>
      <c r="EV390" s="23">
        <v>28</v>
      </c>
      <c r="EW390" s="30">
        <f>SUM(EW391:EW394)</f>
        <v>1</v>
      </c>
      <c r="EX390" s="23">
        <v>30</v>
      </c>
      <c r="EY390" s="30">
        <f>SUM(EY391:EY394)</f>
        <v>1</v>
      </c>
      <c r="EZ390" s="23">
        <v>20</v>
      </c>
      <c r="FA390" s="30">
        <f>SUM(FA391:FA394)</f>
        <v>1</v>
      </c>
      <c r="FB390" s="23">
        <v>3</v>
      </c>
      <c r="FC390" s="30">
        <f>SUM(FC391:FC394)</f>
        <v>1</v>
      </c>
      <c r="FD390" s="23">
        <v>22</v>
      </c>
      <c r="FE390" s="30">
        <f>SUM(FE391:FE394)</f>
        <v>1</v>
      </c>
      <c r="FF390" s="23">
        <v>17</v>
      </c>
      <c r="FG390" s="30">
        <f>SUM(FG391:FG394)</f>
        <v>1</v>
      </c>
      <c r="FH390" s="23">
        <v>24</v>
      </c>
      <c r="FI390" s="30">
        <f>SUM(FI391:FI394)</f>
        <v>1</v>
      </c>
      <c r="FJ390" s="23">
        <v>11</v>
      </c>
      <c r="FK390" s="30">
        <f>SUM(FK391:FK394)</f>
        <v>1</v>
      </c>
      <c r="FL390" s="23">
        <v>26</v>
      </c>
      <c r="FM390" s="30">
        <f>SUM(FM391:FM394)</f>
        <v>1</v>
      </c>
      <c r="FN390" s="23">
        <f>SUM(FN391:FN394)</f>
        <v>17</v>
      </c>
      <c r="FO390" s="30">
        <f>SUM(FO391:FO394)</f>
        <v>1</v>
      </c>
      <c r="FP390" s="23">
        <f>SUM(FP391:FP394)</f>
        <v>20</v>
      </c>
      <c r="FQ390" s="30">
        <f>SUM(FQ391:FQ394)</f>
        <v>1</v>
      </c>
      <c r="FR390" s="301"/>
      <c r="FS390" s="301"/>
      <c r="FT390" s="301"/>
      <c r="FU390" s="301"/>
      <c r="FV390" s="301"/>
      <c r="FW390" s="301"/>
      <c r="FX390" s="301"/>
      <c r="FY390" s="301"/>
      <c r="FZ390" s="301"/>
      <c r="GA390" s="301"/>
      <c r="GB390" s="301"/>
      <c r="GC390" s="301"/>
      <c r="GD390" s="301"/>
      <c r="GE390" s="301"/>
      <c r="GF390" s="289"/>
      <c r="GG390" s="289"/>
    </row>
    <row r="391" spans="1:189" ht="15" customHeight="1" outlineLevel="2" x14ac:dyDescent="0.3">
      <c r="A391" s="1"/>
      <c r="B391" s="301"/>
      <c r="C391" s="301"/>
      <c r="D391" s="301"/>
      <c r="E391" s="313" t="s">
        <v>296</v>
      </c>
      <c r="F391" s="313" t="s">
        <v>216</v>
      </c>
      <c r="G391" s="159" t="s">
        <v>297</v>
      </c>
      <c r="H391" s="159"/>
      <c r="I391" s="23">
        <f t="shared" si="778"/>
        <v>598</v>
      </c>
      <c r="J391" s="30">
        <f t="shared" ref="J391:J394" si="780">I391/SUM($I$382:$I$385)</f>
        <v>0.18259541984732824</v>
      </c>
      <c r="K391" s="23">
        <v>175</v>
      </c>
      <c r="L391" s="30">
        <f t="shared" ref="L391:L394" si="781">K391/SUM($K$382:$K$385)</f>
        <v>0.31083481349911191</v>
      </c>
      <c r="M391" s="23">
        <v>94</v>
      </c>
      <c r="N391" s="30">
        <f t="shared" ref="N391:N394" si="782">M391/SUM($M$382:$M$385)</f>
        <v>0.26256983240223464</v>
      </c>
      <c r="O391" s="23">
        <v>67</v>
      </c>
      <c r="P391" s="30">
        <f t="shared" ref="P391:P394" si="783">O391/SUM($O$382:$O$385)</f>
        <v>0.18108108108108109</v>
      </c>
      <c r="Q391" s="23">
        <v>26</v>
      </c>
      <c r="R391" s="30">
        <f t="shared" ref="R391:R394" si="784">Q391/SUM($Q$382:$Q$385)</f>
        <v>8.6378737541528236E-2</v>
      </c>
      <c r="S391" s="23">
        <v>46</v>
      </c>
      <c r="T391" s="30">
        <f t="shared" ref="T391:T394" si="785">S391/SUM($S$382:$S$385)</f>
        <v>0.23</v>
      </c>
      <c r="U391" s="23">
        <v>44</v>
      </c>
      <c r="V391" s="30">
        <f t="shared" ref="V391:V394" si="786">U391/SUM($S$382:$S$385)</f>
        <v>0.22</v>
      </c>
      <c r="W391" s="23">
        <v>52</v>
      </c>
      <c r="X391" s="30">
        <f t="shared" ref="X391:X394" si="787">W391/SUM($W$382:$W$385)</f>
        <v>0.18439716312056736</v>
      </c>
      <c r="Y391" s="23">
        <v>45</v>
      </c>
      <c r="Z391" s="30">
        <f t="shared" ref="Z391:Z394" si="788">Y391/SUM($Y$382:$Y$385)</f>
        <v>0.14150943396226415</v>
      </c>
      <c r="AA391" s="23">
        <v>34</v>
      </c>
      <c r="AB391" s="30">
        <f t="shared" ref="AB391:AB394" si="789">AA391/SUM($AA$382:$AA$385)</f>
        <v>0.1328125</v>
      </c>
      <c r="AC391" s="23">
        <v>21</v>
      </c>
      <c r="AD391" s="30">
        <f t="shared" ref="AD391:AD394" si="790">AC391/SUM($AC$382:$AC$385)</f>
        <v>7.7777777777777779E-2</v>
      </c>
      <c r="AE391" s="23">
        <v>9</v>
      </c>
      <c r="AF391" s="30">
        <f t="shared" ref="AF391:AF394" si="791">AE391/SUM($AE$382:$AE$385)</f>
        <v>4.1284403669724773E-2</v>
      </c>
      <c r="AG391" s="23">
        <v>11</v>
      </c>
      <c r="AH391" s="30">
        <f t="shared" ref="AH391:AH394" si="792">AG391/SUM($AG$382:$AG$385)</f>
        <v>5.1162790697674418E-2</v>
      </c>
      <c r="AI391" s="23">
        <v>6</v>
      </c>
      <c r="AJ391" s="30">
        <f t="shared" ref="AJ391:AJ394" si="793">AI391/SUM($AI$382:$AI$385)</f>
        <v>3.2786885245901641E-2</v>
      </c>
      <c r="AK391" s="23">
        <v>6</v>
      </c>
      <c r="AL391" s="30">
        <f t="shared" ref="AL391:AL394" si="794">AK391/SUM($AK$382:$AK$385)</f>
        <v>3.7499999999999999E-2</v>
      </c>
      <c r="AM391" s="23">
        <v>0</v>
      </c>
      <c r="AN391" s="30">
        <f t="shared" ref="AN391:AN394" si="795">AM391/SUM($AM$382:$AM$385)</f>
        <v>0</v>
      </c>
      <c r="AO391" s="23">
        <v>35</v>
      </c>
      <c r="AP391" s="30">
        <f t="shared" ref="AP391:AP394" si="796">AO391/SUM($AO$382:$AO$385)</f>
        <v>9.3085106382978719E-2</v>
      </c>
      <c r="AQ391" s="23">
        <v>28</v>
      </c>
      <c r="AR391" s="30">
        <f t="shared" ref="AR391:AR394" si="797">AQ391/SUM($AQ$382:$AQ$385)</f>
        <v>7.7348066298342538E-2</v>
      </c>
      <c r="AS391" s="23">
        <v>30</v>
      </c>
      <c r="AT391" s="30">
        <f t="shared" ref="AT391:AT394" si="798">AS391/SUM($AS$382:$AS$385)</f>
        <v>7.575757575757576E-2</v>
      </c>
      <c r="AU391" s="23">
        <v>26</v>
      </c>
      <c r="AV391" s="30">
        <f t="shared" ref="AV391:AV394" si="799">AU391/SUM($AU$382:$AU$385)</f>
        <v>7.3239436619718309E-2</v>
      </c>
      <c r="AW391" s="23">
        <v>23</v>
      </c>
      <c r="AX391" s="30">
        <f t="shared" ref="AX391:AX394" si="800">AW391/SUM($AW$382:$AW$385)</f>
        <v>0.11442786069651742</v>
      </c>
      <c r="AY391" s="23">
        <v>23</v>
      </c>
      <c r="AZ391" s="30">
        <f t="shared" ref="AZ391:AZ394" si="801">AY391/SUM($AW$382:$AW$385)</f>
        <v>0.11442786069651742</v>
      </c>
      <c r="BA391" s="23">
        <v>33</v>
      </c>
      <c r="BB391" s="30">
        <f t="shared" ref="BB391:BB394" si="802">BA391/SUM($BA$382:$BA$385)</f>
        <v>8.1280788177339899E-2</v>
      </c>
      <c r="BC391" s="23">
        <v>13</v>
      </c>
      <c r="BD391" s="30">
        <f t="shared" ref="BD391:BD394" si="803">BC391/SUM($BC$382:$BC$385)</f>
        <v>4.7272727272727272E-2</v>
      </c>
      <c r="BE391" s="23">
        <v>19</v>
      </c>
      <c r="BF391" s="30">
        <f t="shared" ref="BF391:BF394" si="804">BE391/SUM($BE$382:$BE$385)</f>
        <v>6.7615658362989328E-2</v>
      </c>
      <c r="BG391" s="23">
        <v>10</v>
      </c>
      <c r="BH391" s="30">
        <f t="shared" ref="BH391:BH394" si="805">BG391/SUM($BG$382:$BG$385)</f>
        <v>6.0606060606060608E-2</v>
      </c>
      <c r="BI391" s="23">
        <v>12</v>
      </c>
      <c r="BJ391" s="30">
        <f t="shared" ref="BJ391:BJ394" si="806">BI391/SUM($BI$382:$BI$385)</f>
        <v>0.08</v>
      </c>
      <c r="BK391" s="23">
        <v>21</v>
      </c>
      <c r="BL391" s="30">
        <f t="shared" ref="BL391:BL394" si="807">BK391/SUM($BK$382:$BK$385)</f>
        <v>9.6330275229357804E-2</v>
      </c>
      <c r="BM391" s="23">
        <v>14</v>
      </c>
      <c r="BN391" s="30">
        <f t="shared" ref="BN391:BN394" si="808">BM391/SUM($BM$382:$BM$385)</f>
        <v>7.5268817204301078E-2</v>
      </c>
      <c r="BO391" s="23">
        <v>14</v>
      </c>
      <c r="BP391" s="30">
        <f t="shared" ref="BP391:BP394" si="809">BO391/SUM($BO$382:$BO$385)</f>
        <v>9.5890410958904104E-2</v>
      </c>
      <c r="BQ391" s="23">
        <v>13</v>
      </c>
      <c r="BR391" s="30">
        <f t="shared" ref="BR391:BR394" si="810">BQ391/SUM($BQ$382:$BQ$385)</f>
        <v>9.0909090909090912E-2</v>
      </c>
      <c r="BS391" s="23">
        <v>9</v>
      </c>
      <c r="BT391" s="30">
        <f t="shared" ref="BT391:BT394" si="811">BS391/SUM($BS$382:$BS$385)</f>
        <v>7.1428571428571425E-2</v>
      </c>
      <c r="BU391" s="23">
        <v>8</v>
      </c>
      <c r="BV391" s="30">
        <f t="shared" ref="BV391:BV394" si="812">BU391/SUM($BU$382:$BU$385)</f>
        <v>5.7142857142857141E-2</v>
      </c>
      <c r="BW391" s="23">
        <v>11</v>
      </c>
      <c r="BX391" s="30">
        <f t="shared" ref="BX391:BX394" si="813">BW391/SUM($BW$382:$BW$385)</f>
        <v>6.3953488372093026E-2</v>
      </c>
      <c r="BY391" s="23">
        <v>20</v>
      </c>
      <c r="BZ391" s="30">
        <f t="shared" ref="BZ391:BZ394" si="814">BY391/SUM($BY$382:$BY$385)</f>
        <v>9.4786729857819899E-2</v>
      </c>
      <c r="CA391" s="23">
        <v>12</v>
      </c>
      <c r="CB391" s="30">
        <f t="shared" ref="CB391:CB394" si="815">CA391/SUM($CA$382:$CA$385)</f>
        <v>5.4794520547945202E-2</v>
      </c>
      <c r="CC391" s="23">
        <v>6</v>
      </c>
      <c r="CD391" s="30">
        <f t="shared" ref="CD391:CD394" si="816">CC391/SUM($CC$382:$CC$385)</f>
        <v>2.1660649819494584E-2</v>
      </c>
      <c r="CE391" s="23"/>
      <c r="CF391" s="30"/>
      <c r="CG391" s="23"/>
      <c r="CH391" s="30"/>
      <c r="CI391" s="23"/>
      <c r="CJ391" s="30"/>
      <c r="CK391" s="23"/>
      <c r="CL391" s="30"/>
      <c r="CM391" s="23"/>
      <c r="CN391" s="30"/>
      <c r="CO391" s="23"/>
      <c r="CP391" s="30"/>
      <c r="CQ391" s="23"/>
      <c r="CR391" s="30"/>
      <c r="CS391" s="23"/>
      <c r="CT391" s="30"/>
      <c r="CU391" s="23"/>
      <c r="CV391" s="30"/>
      <c r="CW391" s="23"/>
      <c r="CX391" s="30"/>
      <c r="CY391" s="23"/>
      <c r="CZ391" s="30"/>
      <c r="DA391" s="23"/>
      <c r="DB391" s="30"/>
      <c r="DC391" s="23">
        <v>1</v>
      </c>
      <c r="DD391" s="30">
        <f>DC391/SUM(DC$391:DC$394)</f>
        <v>3.4482758620689655E-2</v>
      </c>
      <c r="DE391" s="23">
        <v>0</v>
      </c>
      <c r="DF391" s="30">
        <f>DE391/SUM(DE$391:DE$394)</f>
        <v>0</v>
      </c>
      <c r="DG391" s="23">
        <v>2</v>
      </c>
      <c r="DH391" s="30">
        <f>DG391/SUM(DG$391:DG$394)</f>
        <v>2.8571428571428571E-2</v>
      </c>
      <c r="DI391" s="23">
        <v>1</v>
      </c>
      <c r="DJ391" s="30">
        <f>DI391/SUM(DI$391:DI$394)</f>
        <v>7.8125E-3</v>
      </c>
      <c r="DK391" s="23">
        <v>2</v>
      </c>
      <c r="DL391" s="30">
        <f>DK391/SUM(DK$391:DK$394)</f>
        <v>1.3888888888888888E-2</v>
      </c>
      <c r="DM391" s="23">
        <v>4</v>
      </c>
      <c r="DN391" s="30">
        <f>DM391/SUM(DM$391:DM$394)</f>
        <v>4.8192771084337352E-2</v>
      </c>
      <c r="DO391" s="23">
        <v>7</v>
      </c>
      <c r="DP391" s="30">
        <f>DO391/SUM(DO$391:DO$394)</f>
        <v>0.17073170731707318</v>
      </c>
      <c r="DQ391" s="23">
        <v>10</v>
      </c>
      <c r="DR391" s="30">
        <f>DQ391/SUM(DQ$391:DQ$394)</f>
        <v>0.20833333333333334</v>
      </c>
      <c r="DS391" s="23">
        <v>4</v>
      </c>
      <c r="DT391" s="30">
        <f>DS391/SUM(DS$391:DS$394)</f>
        <v>8.8888888888888892E-2</v>
      </c>
      <c r="DU391" s="301"/>
      <c r="DV391" s="301"/>
      <c r="DW391" s="301"/>
      <c r="DX391" s="301"/>
      <c r="DY391" s="301"/>
      <c r="DZ391" s="301"/>
      <c r="EA391" s="301"/>
      <c r="EB391" s="301"/>
      <c r="EC391" s="301"/>
      <c r="ED391" s="301"/>
      <c r="EE391" s="301"/>
      <c r="EF391" s="301"/>
      <c r="EG391" s="301"/>
      <c r="EH391" s="301"/>
      <c r="EI391" s="301"/>
      <c r="EJ391" s="301"/>
      <c r="EK391" s="301"/>
      <c r="EL391" s="301"/>
      <c r="EM391" s="301"/>
      <c r="EN391" s="23">
        <v>7</v>
      </c>
      <c r="EO391" s="30">
        <f>EN391/SUM(EN$391:EN$394)</f>
        <v>0.10294117647058823</v>
      </c>
      <c r="EP391" s="23">
        <v>8</v>
      </c>
      <c r="EQ391" s="30">
        <f>EP391/SUM(EP$391:EP$394)</f>
        <v>0.15094339622641509</v>
      </c>
      <c r="ER391" s="23">
        <v>1</v>
      </c>
      <c r="ES391" s="30">
        <f>ER391/SUM(ER$391:ER$394)</f>
        <v>5.5555555555555552E-2</v>
      </c>
      <c r="ET391" s="23">
        <v>1</v>
      </c>
      <c r="EU391" s="30">
        <f>ET391/SUM(ET$391:ET$394)</f>
        <v>4.5454545454545456E-2</v>
      </c>
      <c r="EV391" s="23">
        <v>4</v>
      </c>
      <c r="EW391" s="30">
        <f>EV391/SUM(EV$391:EV$394)</f>
        <v>0.14285714285714285</v>
      </c>
      <c r="EX391" s="23">
        <v>3</v>
      </c>
      <c r="EY391" s="30">
        <f>EX391/SUM(EX$391:EX$394)</f>
        <v>0.1</v>
      </c>
      <c r="EZ391" s="23">
        <v>0</v>
      </c>
      <c r="FA391" s="30">
        <f>EZ391/SUM(EZ$391:EZ$394)</f>
        <v>0</v>
      </c>
      <c r="FB391" s="23">
        <v>0</v>
      </c>
      <c r="FC391" s="30">
        <f>FB391/SUM(FB$391:FB$394)</f>
        <v>0</v>
      </c>
      <c r="FD391" s="23">
        <v>0</v>
      </c>
      <c r="FE391" s="30">
        <f>FD391/SUM(FD$391:FD$394)</f>
        <v>0</v>
      </c>
      <c r="FF391" s="23">
        <v>3</v>
      </c>
      <c r="FG391" s="30">
        <f>FF391/SUM(FF$391:FF$394)</f>
        <v>0.17647058823529413</v>
      </c>
      <c r="FH391" s="23">
        <v>1</v>
      </c>
      <c r="FI391" s="30">
        <f>FH391/SUM(FH$391:FH$394)</f>
        <v>4.1666666666666664E-2</v>
      </c>
      <c r="FJ391" s="23">
        <v>0</v>
      </c>
      <c r="FK391" s="30">
        <f>FJ391/SUM(FJ$391:FJ$394)</f>
        <v>0</v>
      </c>
      <c r="FL391" s="23">
        <v>0</v>
      </c>
      <c r="FM391" s="30">
        <f>FL391/SUM(FL$391:FL$394)</f>
        <v>0</v>
      </c>
      <c r="FN391" s="23">
        <v>1</v>
      </c>
      <c r="FO391" s="30">
        <f>FN391/SUM(FN$391:FN$394)</f>
        <v>5.8823529411764705E-2</v>
      </c>
      <c r="FP391" s="23">
        <v>2</v>
      </c>
      <c r="FQ391" s="30">
        <f>FP391/SUM(FP$391:FP$394)</f>
        <v>0.1</v>
      </c>
      <c r="FR391" s="301"/>
      <c r="FS391" s="301"/>
      <c r="FT391" s="301"/>
      <c r="FU391" s="301"/>
      <c r="FV391" s="301"/>
      <c r="FW391" s="301"/>
      <c r="FX391" s="301"/>
      <c r="FY391" s="301"/>
      <c r="FZ391" s="301"/>
      <c r="GA391" s="301"/>
      <c r="GB391" s="301"/>
      <c r="GC391" s="301"/>
      <c r="GD391" s="301"/>
      <c r="GE391" s="301"/>
      <c r="GF391" s="289"/>
      <c r="GG391" s="289"/>
    </row>
    <row r="392" spans="1:189" ht="15" customHeight="1" outlineLevel="2" x14ac:dyDescent="0.3">
      <c r="A392" s="1"/>
      <c r="B392" s="301"/>
      <c r="C392" s="301"/>
      <c r="D392" s="301"/>
      <c r="E392" s="301"/>
      <c r="F392" s="301"/>
      <c r="G392" s="159" t="s">
        <v>298</v>
      </c>
      <c r="H392" s="159"/>
      <c r="I392" s="23">
        <f t="shared" si="778"/>
        <v>871</v>
      </c>
      <c r="J392" s="30">
        <f t="shared" si="780"/>
        <v>0.26595419847328244</v>
      </c>
      <c r="K392" s="23">
        <v>140</v>
      </c>
      <c r="L392" s="30">
        <f t="shared" si="781"/>
        <v>0.24866785079928952</v>
      </c>
      <c r="M392" s="23">
        <v>95</v>
      </c>
      <c r="N392" s="30">
        <f t="shared" si="782"/>
        <v>0.26536312849162014</v>
      </c>
      <c r="O392" s="23">
        <v>103</v>
      </c>
      <c r="P392" s="30">
        <f t="shared" si="783"/>
        <v>0.27837837837837837</v>
      </c>
      <c r="Q392" s="23">
        <v>82</v>
      </c>
      <c r="R392" s="30">
        <f t="shared" si="784"/>
        <v>0.27242524916943522</v>
      </c>
      <c r="S392" s="23">
        <v>66</v>
      </c>
      <c r="T392" s="30">
        <f t="shared" si="785"/>
        <v>0.33</v>
      </c>
      <c r="U392" s="23">
        <v>65</v>
      </c>
      <c r="V392" s="30">
        <f t="shared" si="786"/>
        <v>0.32500000000000001</v>
      </c>
      <c r="W392" s="23">
        <v>78</v>
      </c>
      <c r="X392" s="30">
        <f t="shared" si="787"/>
        <v>0.27659574468085107</v>
      </c>
      <c r="Y392" s="23">
        <v>82</v>
      </c>
      <c r="Z392" s="30">
        <f t="shared" si="788"/>
        <v>0.25786163522012578</v>
      </c>
      <c r="AA392" s="23">
        <v>77</v>
      </c>
      <c r="AB392" s="30">
        <f t="shared" si="789"/>
        <v>0.30078125</v>
      </c>
      <c r="AC392" s="23">
        <v>80</v>
      </c>
      <c r="AD392" s="30">
        <f t="shared" si="790"/>
        <v>0.29629629629629628</v>
      </c>
      <c r="AE392" s="23">
        <v>47</v>
      </c>
      <c r="AF392" s="30">
        <f t="shared" si="791"/>
        <v>0.21559633027522937</v>
      </c>
      <c r="AG392" s="23">
        <v>38</v>
      </c>
      <c r="AH392" s="30">
        <f t="shared" si="792"/>
        <v>0.17674418604651163</v>
      </c>
      <c r="AI392" s="23">
        <v>30</v>
      </c>
      <c r="AJ392" s="30">
        <f t="shared" si="793"/>
        <v>0.16393442622950818</v>
      </c>
      <c r="AK392" s="23">
        <v>30</v>
      </c>
      <c r="AL392" s="30">
        <f t="shared" si="794"/>
        <v>0.1875</v>
      </c>
      <c r="AM392" s="23">
        <v>43</v>
      </c>
      <c r="AN392" s="30">
        <f t="shared" si="795"/>
        <v>0.26874999999999999</v>
      </c>
      <c r="AO392" s="23">
        <v>112</v>
      </c>
      <c r="AP392" s="30">
        <f t="shared" si="796"/>
        <v>0.2978723404255319</v>
      </c>
      <c r="AQ392" s="23">
        <v>83</v>
      </c>
      <c r="AR392" s="30">
        <f t="shared" si="797"/>
        <v>0.2292817679558011</v>
      </c>
      <c r="AS392" s="23">
        <v>108</v>
      </c>
      <c r="AT392" s="30">
        <f t="shared" si="798"/>
        <v>0.27272727272727271</v>
      </c>
      <c r="AU392" s="23">
        <v>70</v>
      </c>
      <c r="AV392" s="30">
        <f t="shared" si="799"/>
        <v>0.19718309859154928</v>
      </c>
      <c r="AW392" s="23">
        <v>84</v>
      </c>
      <c r="AX392" s="30">
        <f t="shared" si="800"/>
        <v>0.41791044776119401</v>
      </c>
      <c r="AY392" s="23">
        <v>67</v>
      </c>
      <c r="AZ392" s="30">
        <f t="shared" si="801"/>
        <v>0.33333333333333331</v>
      </c>
      <c r="BA392" s="23">
        <v>151</v>
      </c>
      <c r="BB392" s="30">
        <f t="shared" si="802"/>
        <v>0.37192118226600984</v>
      </c>
      <c r="BC392" s="23">
        <v>87</v>
      </c>
      <c r="BD392" s="30">
        <f t="shared" si="803"/>
        <v>0.31636363636363635</v>
      </c>
      <c r="BE392" s="23">
        <v>71</v>
      </c>
      <c r="BF392" s="30">
        <f t="shared" si="804"/>
        <v>0.25266903914590749</v>
      </c>
      <c r="BG392" s="23">
        <v>29</v>
      </c>
      <c r="BH392" s="30">
        <f t="shared" si="805"/>
        <v>0.17575757575757575</v>
      </c>
      <c r="BI392" s="23">
        <v>36</v>
      </c>
      <c r="BJ392" s="30">
        <f t="shared" si="806"/>
        <v>0.24</v>
      </c>
      <c r="BK392" s="23">
        <v>62</v>
      </c>
      <c r="BL392" s="30">
        <f t="shared" si="807"/>
        <v>0.28440366972477066</v>
      </c>
      <c r="BM392" s="23">
        <v>51</v>
      </c>
      <c r="BN392" s="30">
        <f t="shared" si="808"/>
        <v>0.27419354838709675</v>
      </c>
      <c r="BO392" s="23">
        <v>35</v>
      </c>
      <c r="BP392" s="30">
        <f t="shared" si="809"/>
        <v>0.23972602739726026</v>
      </c>
      <c r="BQ392" s="23">
        <v>41</v>
      </c>
      <c r="BR392" s="30">
        <f t="shared" si="810"/>
        <v>0.28671328671328672</v>
      </c>
      <c r="BS392" s="23">
        <v>29</v>
      </c>
      <c r="BT392" s="30">
        <f t="shared" si="811"/>
        <v>0.23015873015873015</v>
      </c>
      <c r="BU392" s="23">
        <v>45</v>
      </c>
      <c r="BV392" s="30">
        <f t="shared" si="812"/>
        <v>0.32142857142857145</v>
      </c>
      <c r="BW392" s="23">
        <v>50</v>
      </c>
      <c r="BX392" s="30">
        <f t="shared" si="813"/>
        <v>0.29069767441860467</v>
      </c>
      <c r="BY392" s="23">
        <v>59</v>
      </c>
      <c r="BZ392" s="30">
        <f t="shared" si="814"/>
        <v>0.27962085308056872</v>
      </c>
      <c r="CA392" s="23">
        <v>35</v>
      </c>
      <c r="CB392" s="30">
        <f t="shared" si="815"/>
        <v>0.15981735159817351</v>
      </c>
      <c r="CC392" s="23">
        <v>33</v>
      </c>
      <c r="CD392" s="30">
        <f t="shared" si="816"/>
        <v>0.11913357400722022</v>
      </c>
      <c r="CE392" s="23"/>
      <c r="CF392" s="30"/>
      <c r="CG392" s="23"/>
      <c r="CH392" s="30"/>
      <c r="CI392" s="23"/>
      <c r="CJ392" s="30"/>
      <c r="CK392" s="23"/>
      <c r="CL392" s="30"/>
      <c r="CM392" s="23"/>
      <c r="CN392" s="30"/>
      <c r="CO392" s="23"/>
      <c r="CP392" s="30"/>
      <c r="CQ392" s="23"/>
      <c r="CR392" s="30"/>
      <c r="CS392" s="23"/>
      <c r="CT392" s="30"/>
      <c r="CU392" s="23"/>
      <c r="CV392" s="30"/>
      <c r="CW392" s="23"/>
      <c r="CX392" s="30"/>
      <c r="CY392" s="23"/>
      <c r="CZ392" s="30"/>
      <c r="DA392" s="23"/>
      <c r="DB392" s="30"/>
      <c r="DC392" s="23">
        <v>2</v>
      </c>
      <c r="DD392" s="30">
        <f t="shared" ref="DD392:DD394" si="817">DC392/SUM(DC$391:DC$394)</f>
        <v>6.8965517241379309E-2</v>
      </c>
      <c r="DE392" s="23">
        <v>3</v>
      </c>
      <c r="DF392" s="30">
        <f t="shared" ref="DF392:DF394" si="818">DE392/SUM(DE$391:DE$394)</f>
        <v>0.10344827586206896</v>
      </c>
      <c r="DG392" s="23">
        <v>10</v>
      </c>
      <c r="DH392" s="30">
        <f t="shared" ref="DH392:DH394" si="819">DG392/SUM(DG$391:DG$394)</f>
        <v>0.14285714285714285</v>
      </c>
      <c r="DI392" s="23">
        <v>10</v>
      </c>
      <c r="DJ392" s="30">
        <f t="shared" ref="DJ392:DJ394" si="820">DI392/SUM(DI$391:DI$394)</f>
        <v>7.8125E-2</v>
      </c>
      <c r="DK392" s="23">
        <v>27</v>
      </c>
      <c r="DL392" s="30">
        <f t="shared" ref="DL392:DL394" si="821">DK392/SUM(DK$391:DK$394)</f>
        <v>0.1875</v>
      </c>
      <c r="DM392" s="23">
        <v>19</v>
      </c>
      <c r="DN392" s="30">
        <f t="shared" ref="DN392:DN394" si="822">DM392/SUM(DM$391:DM$394)</f>
        <v>0.2289156626506024</v>
      </c>
      <c r="DO392" s="23">
        <v>9</v>
      </c>
      <c r="DP392" s="30">
        <f t="shared" ref="DP392:DP394" si="823">DO392/SUM(DO$391:DO$394)</f>
        <v>0.21951219512195122</v>
      </c>
      <c r="DQ392" s="23">
        <v>5</v>
      </c>
      <c r="DR392" s="30">
        <f t="shared" ref="DR392:DR394" si="824">DQ392/SUM(DQ$391:DQ$394)</f>
        <v>0.10416666666666667</v>
      </c>
      <c r="DS392" s="23">
        <v>11</v>
      </c>
      <c r="DT392" s="30">
        <f t="shared" ref="DT392:DT394" si="825">DS392/SUM(DS$391:DS$394)</f>
        <v>0.24444444444444444</v>
      </c>
      <c r="DU392" s="301"/>
      <c r="DV392" s="301"/>
      <c r="DW392" s="301"/>
      <c r="DX392" s="301"/>
      <c r="DY392" s="301"/>
      <c r="DZ392" s="301"/>
      <c r="EA392" s="301"/>
      <c r="EB392" s="301"/>
      <c r="EC392" s="301"/>
      <c r="ED392" s="301"/>
      <c r="EE392" s="301"/>
      <c r="EF392" s="301"/>
      <c r="EG392" s="301"/>
      <c r="EH392" s="301"/>
      <c r="EI392" s="301"/>
      <c r="EJ392" s="301"/>
      <c r="EK392" s="301"/>
      <c r="EL392" s="301"/>
      <c r="EM392" s="301"/>
      <c r="EN392" s="23">
        <v>5</v>
      </c>
      <c r="EO392" s="30">
        <f t="shared" ref="EO392:EO394" si="826">EN392/SUM(EN$391:EN$394)</f>
        <v>7.3529411764705885E-2</v>
      </c>
      <c r="EP392" s="23">
        <v>4</v>
      </c>
      <c r="EQ392" s="30">
        <f t="shared" ref="EQ392:EQ394" si="827">EP392/SUM(EP$391:EP$394)</f>
        <v>7.5471698113207544E-2</v>
      </c>
      <c r="ER392" s="23">
        <v>4</v>
      </c>
      <c r="ES392" s="30">
        <f t="shared" ref="ES392:ES394" si="828">ER392/SUM(ER$391:ER$394)</f>
        <v>0.22222222222222221</v>
      </c>
      <c r="ET392" s="23">
        <v>6</v>
      </c>
      <c r="EU392" s="30">
        <f t="shared" ref="EU392:EU394" si="829">ET392/SUM(ET$391:ET$394)</f>
        <v>0.27272727272727271</v>
      </c>
      <c r="EV392" s="23">
        <v>3</v>
      </c>
      <c r="EW392" s="30">
        <f t="shared" ref="EW392:EW394" si="830">EV392/SUM(EV$391:EV$394)</f>
        <v>0.10714285714285714</v>
      </c>
      <c r="EX392" s="23">
        <v>0</v>
      </c>
      <c r="EY392" s="30">
        <f t="shared" ref="EY392:EY394" si="831">EX392/SUM(EX$391:EX$394)</f>
        <v>0</v>
      </c>
      <c r="EZ392" s="23">
        <v>9</v>
      </c>
      <c r="FA392" s="30">
        <f t="shared" ref="FA392:FA394" si="832">EZ392/SUM(EZ$391:EZ$394)</f>
        <v>0.45</v>
      </c>
      <c r="FB392" s="23">
        <v>0</v>
      </c>
      <c r="FC392" s="30">
        <f t="shared" ref="FC392:FC394" si="833">FB392/SUM(FB$391:FB$394)</f>
        <v>0</v>
      </c>
      <c r="FD392" s="23">
        <v>8</v>
      </c>
      <c r="FE392" s="30">
        <f t="shared" ref="FE392:FE394" si="834">FD392/SUM(FD$391:FD$394)</f>
        <v>0.36363636363636365</v>
      </c>
      <c r="FF392" s="23">
        <v>1</v>
      </c>
      <c r="FG392" s="30">
        <f t="shared" ref="FG392:FG394" si="835">FF392/SUM(FF$391:FF$394)</f>
        <v>5.8823529411764705E-2</v>
      </c>
      <c r="FH392" s="23">
        <v>9</v>
      </c>
      <c r="FI392" s="30">
        <f t="shared" ref="FI392:FI394" si="836">FH392/SUM(FH$391:FH$394)</f>
        <v>0.375</v>
      </c>
      <c r="FJ392" s="23">
        <v>1</v>
      </c>
      <c r="FK392" s="30">
        <f>FJ392/SUM(FJ$391:FJ$394)</f>
        <v>9.0909090909090912E-2</v>
      </c>
      <c r="FL392" s="23">
        <v>11</v>
      </c>
      <c r="FM392" s="30">
        <f>FL392/SUM(FL$391:FL$394)</f>
        <v>0.42307692307692307</v>
      </c>
      <c r="FN392" s="23">
        <v>7</v>
      </c>
      <c r="FO392" s="30">
        <f>FN392/SUM(FN$391:FN$394)</f>
        <v>0.41176470588235292</v>
      </c>
      <c r="FP392" s="23">
        <v>4</v>
      </c>
      <c r="FQ392" s="30">
        <f>FP392/SUM(FP$391:FP$394)</f>
        <v>0.2</v>
      </c>
      <c r="FR392" s="301"/>
      <c r="FS392" s="301"/>
      <c r="FT392" s="301"/>
      <c r="FU392" s="301"/>
      <c r="FV392" s="301"/>
      <c r="FW392" s="301"/>
      <c r="FX392" s="301"/>
      <c r="FY392" s="301"/>
      <c r="FZ392" s="301"/>
      <c r="GA392" s="301"/>
      <c r="GB392" s="301"/>
      <c r="GC392" s="301"/>
      <c r="GD392" s="301"/>
      <c r="GE392" s="301"/>
      <c r="GF392" s="289"/>
      <c r="GG392" s="289"/>
    </row>
    <row r="393" spans="1:189" ht="15" customHeight="1" outlineLevel="2" x14ac:dyDescent="0.3">
      <c r="A393" s="1"/>
      <c r="B393" s="301"/>
      <c r="C393" s="301"/>
      <c r="D393" s="301"/>
      <c r="E393" s="301"/>
      <c r="F393" s="301"/>
      <c r="G393" s="159" t="s">
        <v>299</v>
      </c>
      <c r="H393" s="159"/>
      <c r="I393" s="23">
        <f t="shared" si="778"/>
        <v>501</v>
      </c>
      <c r="J393" s="30">
        <f t="shared" si="780"/>
        <v>0.15297709923664121</v>
      </c>
      <c r="K393" s="23">
        <v>70</v>
      </c>
      <c r="L393" s="30">
        <f t="shared" si="781"/>
        <v>0.12433392539964476</v>
      </c>
      <c r="M393" s="23">
        <v>48</v>
      </c>
      <c r="N393" s="30">
        <f t="shared" si="782"/>
        <v>0.13407821229050279</v>
      </c>
      <c r="O393" s="23">
        <v>59</v>
      </c>
      <c r="P393" s="30">
        <f t="shared" si="783"/>
        <v>0.15945945945945947</v>
      </c>
      <c r="Q393" s="23">
        <v>55</v>
      </c>
      <c r="R393" s="30">
        <f t="shared" si="784"/>
        <v>0.18272425249169436</v>
      </c>
      <c r="S393" s="23">
        <v>40</v>
      </c>
      <c r="T393" s="30">
        <f t="shared" si="785"/>
        <v>0.2</v>
      </c>
      <c r="U393" s="23">
        <v>32</v>
      </c>
      <c r="V393" s="30">
        <f t="shared" si="786"/>
        <v>0.16</v>
      </c>
      <c r="W393" s="23">
        <v>33</v>
      </c>
      <c r="X393" s="30">
        <f t="shared" si="787"/>
        <v>0.11702127659574468</v>
      </c>
      <c r="Y393" s="23">
        <v>47</v>
      </c>
      <c r="Z393" s="30">
        <f t="shared" si="788"/>
        <v>0.14779874213836477</v>
      </c>
      <c r="AA393" s="23">
        <v>47</v>
      </c>
      <c r="AB393" s="30">
        <f t="shared" si="789"/>
        <v>0.18359375</v>
      </c>
      <c r="AC393" s="23">
        <v>51</v>
      </c>
      <c r="AD393" s="30">
        <f t="shared" si="790"/>
        <v>0.18888888888888888</v>
      </c>
      <c r="AE393" s="23">
        <v>48</v>
      </c>
      <c r="AF393" s="30">
        <f t="shared" si="791"/>
        <v>0.22018348623853212</v>
      </c>
      <c r="AG393" s="23">
        <v>26</v>
      </c>
      <c r="AH393" s="30">
        <f t="shared" si="792"/>
        <v>0.12093023255813953</v>
      </c>
      <c r="AI393" s="23">
        <v>30</v>
      </c>
      <c r="AJ393" s="30">
        <f t="shared" si="793"/>
        <v>0.16393442622950818</v>
      </c>
      <c r="AK393" s="23">
        <v>26</v>
      </c>
      <c r="AL393" s="30">
        <f t="shared" si="794"/>
        <v>0.16250000000000001</v>
      </c>
      <c r="AM393" s="23">
        <v>24</v>
      </c>
      <c r="AN393" s="30">
        <f t="shared" si="795"/>
        <v>0.15</v>
      </c>
      <c r="AO393" s="23">
        <v>54</v>
      </c>
      <c r="AP393" s="30">
        <f t="shared" si="796"/>
        <v>0.14361702127659576</v>
      </c>
      <c r="AQ393" s="23">
        <v>57</v>
      </c>
      <c r="AR393" s="30">
        <f t="shared" si="797"/>
        <v>0.15745856353591159</v>
      </c>
      <c r="AS393" s="23">
        <v>40</v>
      </c>
      <c r="AT393" s="30">
        <f t="shared" si="798"/>
        <v>0.10101010101010101</v>
      </c>
      <c r="AU393" s="23">
        <v>57</v>
      </c>
      <c r="AV393" s="30">
        <f t="shared" si="799"/>
        <v>0.16056338028169015</v>
      </c>
      <c r="AW393" s="23">
        <v>31</v>
      </c>
      <c r="AX393" s="30">
        <f t="shared" si="800"/>
        <v>0.15422885572139303</v>
      </c>
      <c r="AY393" s="23">
        <v>38</v>
      </c>
      <c r="AZ393" s="30">
        <f t="shared" si="801"/>
        <v>0.1890547263681592</v>
      </c>
      <c r="BA393" s="23">
        <v>75</v>
      </c>
      <c r="BB393" s="30">
        <f t="shared" si="802"/>
        <v>0.18472906403940886</v>
      </c>
      <c r="BC393" s="23">
        <v>63</v>
      </c>
      <c r="BD393" s="30">
        <f t="shared" si="803"/>
        <v>0.2290909090909091</v>
      </c>
      <c r="BE393" s="23">
        <v>38</v>
      </c>
      <c r="BF393" s="30">
        <f t="shared" si="804"/>
        <v>0.13523131672597866</v>
      </c>
      <c r="BG393" s="23">
        <v>37</v>
      </c>
      <c r="BH393" s="30">
        <f t="shared" si="805"/>
        <v>0.22424242424242424</v>
      </c>
      <c r="BI393" s="23">
        <v>30</v>
      </c>
      <c r="BJ393" s="30">
        <f t="shared" si="806"/>
        <v>0.2</v>
      </c>
      <c r="BK393" s="23">
        <v>33</v>
      </c>
      <c r="BL393" s="30">
        <f t="shared" si="807"/>
        <v>0.15137614678899083</v>
      </c>
      <c r="BM393" s="23">
        <v>28</v>
      </c>
      <c r="BN393" s="30">
        <f t="shared" si="808"/>
        <v>0.15053763440860216</v>
      </c>
      <c r="BO393" s="23">
        <v>20</v>
      </c>
      <c r="BP393" s="30">
        <f t="shared" si="809"/>
        <v>0.13698630136986301</v>
      </c>
      <c r="BQ393" s="23">
        <v>25</v>
      </c>
      <c r="BR393" s="30">
        <f t="shared" si="810"/>
        <v>0.17482517482517482</v>
      </c>
      <c r="BS393" s="23">
        <v>20</v>
      </c>
      <c r="BT393" s="30">
        <f t="shared" si="811"/>
        <v>0.15873015873015872</v>
      </c>
      <c r="BU393" s="23">
        <v>20</v>
      </c>
      <c r="BV393" s="30">
        <f t="shared" si="812"/>
        <v>0.14285714285714285</v>
      </c>
      <c r="BW393" s="23">
        <v>25</v>
      </c>
      <c r="BX393" s="30">
        <f t="shared" si="813"/>
        <v>0.14534883720930233</v>
      </c>
      <c r="BY393" s="23">
        <v>32</v>
      </c>
      <c r="BZ393" s="30">
        <f t="shared" si="814"/>
        <v>0.15165876777251186</v>
      </c>
      <c r="CA393" s="23">
        <v>28</v>
      </c>
      <c r="CB393" s="30">
        <f t="shared" si="815"/>
        <v>0.12785388127853881</v>
      </c>
      <c r="CC393" s="23">
        <v>28</v>
      </c>
      <c r="CD393" s="30">
        <f t="shared" si="816"/>
        <v>0.10108303249097472</v>
      </c>
      <c r="CE393" s="23"/>
      <c r="CF393" s="30"/>
      <c r="CG393" s="23"/>
      <c r="CH393" s="30"/>
      <c r="CI393" s="23"/>
      <c r="CJ393" s="30"/>
      <c r="CK393" s="23"/>
      <c r="CL393" s="30"/>
      <c r="CM393" s="23"/>
      <c r="CN393" s="30"/>
      <c r="CO393" s="23"/>
      <c r="CP393" s="30"/>
      <c r="CQ393" s="23"/>
      <c r="CR393" s="30"/>
      <c r="CS393" s="23"/>
      <c r="CT393" s="30"/>
      <c r="CU393" s="23"/>
      <c r="CV393" s="30"/>
      <c r="CW393" s="23"/>
      <c r="CX393" s="30"/>
      <c r="CY393" s="23"/>
      <c r="CZ393" s="30"/>
      <c r="DA393" s="23"/>
      <c r="DB393" s="30"/>
      <c r="DC393" s="23">
        <v>1</v>
      </c>
      <c r="DD393" s="30">
        <f t="shared" si="817"/>
        <v>3.4482758620689655E-2</v>
      </c>
      <c r="DE393" s="23">
        <v>1</v>
      </c>
      <c r="DF393" s="30">
        <f t="shared" si="818"/>
        <v>3.4482758620689655E-2</v>
      </c>
      <c r="DG393" s="23">
        <v>7</v>
      </c>
      <c r="DH393" s="30">
        <f t="shared" si="819"/>
        <v>0.1</v>
      </c>
      <c r="DI393" s="23">
        <v>5</v>
      </c>
      <c r="DJ393" s="30">
        <f t="shared" si="820"/>
        <v>3.90625E-2</v>
      </c>
      <c r="DK393" s="23">
        <v>18</v>
      </c>
      <c r="DL393" s="30">
        <f t="shared" si="821"/>
        <v>0.125</v>
      </c>
      <c r="DM393" s="23">
        <v>15</v>
      </c>
      <c r="DN393" s="30">
        <f t="shared" si="822"/>
        <v>0.18072289156626506</v>
      </c>
      <c r="DO393" s="23">
        <v>3</v>
      </c>
      <c r="DP393" s="30">
        <f t="shared" si="823"/>
        <v>7.3170731707317069E-2</v>
      </c>
      <c r="DQ393" s="23">
        <v>5</v>
      </c>
      <c r="DR393" s="30">
        <f t="shared" si="824"/>
        <v>0.10416666666666667</v>
      </c>
      <c r="DS393" s="23">
        <v>3</v>
      </c>
      <c r="DT393" s="30">
        <f t="shared" si="825"/>
        <v>6.6666666666666666E-2</v>
      </c>
      <c r="DU393" s="301"/>
      <c r="DV393" s="301"/>
      <c r="DW393" s="301"/>
      <c r="DX393" s="301"/>
      <c r="DY393" s="301"/>
      <c r="DZ393" s="301"/>
      <c r="EA393" s="301"/>
      <c r="EB393" s="301"/>
      <c r="EC393" s="301"/>
      <c r="ED393" s="301"/>
      <c r="EE393" s="301"/>
      <c r="EF393" s="301"/>
      <c r="EG393" s="301"/>
      <c r="EH393" s="301"/>
      <c r="EI393" s="301"/>
      <c r="EJ393" s="301"/>
      <c r="EK393" s="301"/>
      <c r="EL393" s="301"/>
      <c r="EM393" s="301"/>
      <c r="EN393" s="23">
        <v>3</v>
      </c>
      <c r="EO393" s="30">
        <f t="shared" si="826"/>
        <v>4.4117647058823532E-2</v>
      </c>
      <c r="EP393" s="23">
        <v>5</v>
      </c>
      <c r="EQ393" s="30">
        <f t="shared" si="827"/>
        <v>9.4339622641509441E-2</v>
      </c>
      <c r="ER393" s="23">
        <v>1</v>
      </c>
      <c r="ES393" s="30">
        <f t="shared" si="828"/>
        <v>5.5555555555555552E-2</v>
      </c>
      <c r="ET393" s="23">
        <v>3</v>
      </c>
      <c r="EU393" s="30">
        <f t="shared" si="829"/>
        <v>0.13636363636363635</v>
      </c>
      <c r="EV393" s="23">
        <v>3</v>
      </c>
      <c r="EW393" s="30">
        <f t="shared" si="830"/>
        <v>0.10714285714285714</v>
      </c>
      <c r="EX393" s="23">
        <v>4</v>
      </c>
      <c r="EY393" s="30">
        <f t="shared" si="831"/>
        <v>0.13333333333333333</v>
      </c>
      <c r="EZ393" s="23">
        <v>0</v>
      </c>
      <c r="FA393" s="30">
        <f t="shared" si="832"/>
        <v>0</v>
      </c>
      <c r="FB393" s="23">
        <v>0</v>
      </c>
      <c r="FC393" s="30">
        <f t="shared" si="833"/>
        <v>0</v>
      </c>
      <c r="FD393" s="23">
        <v>2</v>
      </c>
      <c r="FE393" s="30">
        <f t="shared" si="834"/>
        <v>9.0909090909090912E-2</v>
      </c>
      <c r="FF393" s="23">
        <v>1</v>
      </c>
      <c r="FG393" s="30">
        <f t="shared" si="835"/>
        <v>5.8823529411764705E-2</v>
      </c>
      <c r="FH393" s="23">
        <v>4</v>
      </c>
      <c r="FI393" s="30">
        <f t="shared" si="836"/>
        <v>0.16666666666666666</v>
      </c>
      <c r="FJ393" s="23">
        <v>0</v>
      </c>
      <c r="FK393" s="30">
        <f>FJ393/SUM(FJ$391:FJ$394)</f>
        <v>0</v>
      </c>
      <c r="FL393" s="23">
        <v>3</v>
      </c>
      <c r="FM393" s="30">
        <f>FL393/SUM(FL$391:FL$394)</f>
        <v>0.11538461538461539</v>
      </c>
      <c r="FN393" s="23">
        <v>2</v>
      </c>
      <c r="FO393" s="30">
        <f>FN393/SUM(FN$391:FN$394)</f>
        <v>0.11764705882352941</v>
      </c>
      <c r="FP393" s="23">
        <v>1</v>
      </c>
      <c r="FQ393" s="30">
        <f>FP393/SUM(FP$391:FP$394)</f>
        <v>0.05</v>
      </c>
      <c r="FR393" s="301"/>
      <c r="FS393" s="301"/>
      <c r="FT393" s="301"/>
      <c r="FU393" s="301"/>
      <c r="FV393" s="301"/>
      <c r="FW393" s="301"/>
      <c r="FX393" s="301"/>
      <c r="FY393" s="301"/>
      <c r="FZ393" s="301"/>
      <c r="GA393" s="301"/>
      <c r="GB393" s="301"/>
      <c r="GC393" s="301"/>
      <c r="GD393" s="301"/>
      <c r="GE393" s="301"/>
      <c r="GF393" s="289"/>
      <c r="GG393" s="289"/>
    </row>
    <row r="394" spans="1:189" ht="15" customHeight="1" outlineLevel="2" x14ac:dyDescent="0.3">
      <c r="A394" s="1"/>
      <c r="B394" s="302"/>
      <c r="C394" s="302"/>
      <c r="D394" s="302"/>
      <c r="E394" s="302"/>
      <c r="F394" s="302"/>
      <c r="G394" s="159" t="s">
        <v>300</v>
      </c>
      <c r="H394" s="159"/>
      <c r="I394" s="23">
        <f t="shared" si="778"/>
        <v>1305</v>
      </c>
      <c r="J394" s="30">
        <f t="shared" si="780"/>
        <v>0.3984732824427481</v>
      </c>
      <c r="K394" s="23">
        <v>178</v>
      </c>
      <c r="L394" s="30">
        <f t="shared" si="781"/>
        <v>0.31616341030195383</v>
      </c>
      <c r="M394" s="23">
        <v>121</v>
      </c>
      <c r="N394" s="30">
        <f t="shared" si="782"/>
        <v>0.33798882681564246</v>
      </c>
      <c r="O394" s="23">
        <v>141</v>
      </c>
      <c r="P394" s="30">
        <f t="shared" si="783"/>
        <v>0.38108108108108107</v>
      </c>
      <c r="Q394" s="23">
        <v>138</v>
      </c>
      <c r="R394" s="30">
        <f t="shared" si="784"/>
        <v>0.4584717607973422</v>
      </c>
      <c r="S394" s="23">
        <v>48</v>
      </c>
      <c r="T394" s="30">
        <f t="shared" si="785"/>
        <v>0.24</v>
      </c>
      <c r="U394" s="23">
        <v>84</v>
      </c>
      <c r="V394" s="30">
        <f t="shared" si="786"/>
        <v>0.42</v>
      </c>
      <c r="W394" s="23">
        <v>119</v>
      </c>
      <c r="X394" s="30">
        <f t="shared" si="787"/>
        <v>0.42198581560283688</v>
      </c>
      <c r="Y394" s="23">
        <v>144</v>
      </c>
      <c r="Z394" s="30">
        <f t="shared" si="788"/>
        <v>0.45283018867924529</v>
      </c>
      <c r="AA394" s="23">
        <v>98</v>
      </c>
      <c r="AB394" s="30">
        <f t="shared" si="789"/>
        <v>0.3828125</v>
      </c>
      <c r="AC394" s="23">
        <v>118</v>
      </c>
      <c r="AD394" s="30">
        <f t="shared" si="790"/>
        <v>0.43703703703703706</v>
      </c>
      <c r="AE394" s="23">
        <v>114</v>
      </c>
      <c r="AF394" s="30">
        <f t="shared" si="791"/>
        <v>0.52293577981651373</v>
      </c>
      <c r="AG394" s="23">
        <v>140</v>
      </c>
      <c r="AH394" s="30">
        <f t="shared" si="792"/>
        <v>0.65116279069767447</v>
      </c>
      <c r="AI394" s="23">
        <v>117</v>
      </c>
      <c r="AJ394" s="30">
        <f t="shared" si="793"/>
        <v>0.63934426229508201</v>
      </c>
      <c r="AK394" s="23">
        <v>98</v>
      </c>
      <c r="AL394" s="30">
        <f t="shared" si="794"/>
        <v>0.61250000000000004</v>
      </c>
      <c r="AM394" s="23">
        <v>93</v>
      </c>
      <c r="AN394" s="30">
        <f t="shared" si="795"/>
        <v>0.58125000000000004</v>
      </c>
      <c r="AO394" s="23">
        <v>175</v>
      </c>
      <c r="AP394" s="30">
        <f t="shared" si="796"/>
        <v>0.46542553191489361</v>
      </c>
      <c r="AQ394" s="23">
        <v>194</v>
      </c>
      <c r="AR394" s="30">
        <f t="shared" si="797"/>
        <v>0.53591160220994472</v>
      </c>
      <c r="AS394" s="23">
        <v>218</v>
      </c>
      <c r="AT394" s="30">
        <f t="shared" si="798"/>
        <v>0.5505050505050505</v>
      </c>
      <c r="AU394" s="23">
        <v>202</v>
      </c>
      <c r="AV394" s="30">
        <f t="shared" si="799"/>
        <v>0.56901408450704227</v>
      </c>
      <c r="AW394" s="23">
        <v>63</v>
      </c>
      <c r="AX394" s="30">
        <f t="shared" si="800"/>
        <v>0.31343283582089554</v>
      </c>
      <c r="AY394" s="23">
        <v>110</v>
      </c>
      <c r="AZ394" s="30">
        <f t="shared" si="801"/>
        <v>0.54726368159203975</v>
      </c>
      <c r="BA394" s="23">
        <v>147</v>
      </c>
      <c r="BB394" s="30">
        <f t="shared" si="802"/>
        <v>0.36206896551724138</v>
      </c>
      <c r="BC394" s="23">
        <v>112</v>
      </c>
      <c r="BD394" s="30">
        <f t="shared" si="803"/>
        <v>0.40727272727272729</v>
      </c>
      <c r="BE394" s="23">
        <v>153</v>
      </c>
      <c r="BF394" s="30">
        <f t="shared" si="804"/>
        <v>0.54448398576512458</v>
      </c>
      <c r="BG394" s="23">
        <v>89</v>
      </c>
      <c r="BH394" s="30">
        <f t="shared" si="805"/>
        <v>0.53939393939393943</v>
      </c>
      <c r="BI394" s="23">
        <v>72</v>
      </c>
      <c r="BJ394" s="30">
        <f t="shared" si="806"/>
        <v>0.48</v>
      </c>
      <c r="BK394" s="23">
        <v>102</v>
      </c>
      <c r="BL394" s="30">
        <f t="shared" si="807"/>
        <v>0.46788990825688076</v>
      </c>
      <c r="BM394" s="23">
        <v>93</v>
      </c>
      <c r="BN394" s="30">
        <f t="shared" si="808"/>
        <v>0.5</v>
      </c>
      <c r="BO394" s="23">
        <v>77</v>
      </c>
      <c r="BP394" s="30">
        <f t="shared" si="809"/>
        <v>0.5273972602739726</v>
      </c>
      <c r="BQ394" s="23">
        <v>64</v>
      </c>
      <c r="BR394" s="30">
        <f t="shared" si="810"/>
        <v>0.44755244755244755</v>
      </c>
      <c r="BS394" s="23">
        <v>68</v>
      </c>
      <c r="BT394" s="30">
        <f t="shared" si="811"/>
        <v>0.53968253968253965</v>
      </c>
      <c r="BU394" s="23">
        <v>67</v>
      </c>
      <c r="BV394" s="30">
        <f t="shared" si="812"/>
        <v>0.47857142857142859</v>
      </c>
      <c r="BW394" s="23">
        <v>86</v>
      </c>
      <c r="BX394" s="30">
        <f t="shared" si="813"/>
        <v>0.5</v>
      </c>
      <c r="BY394" s="23">
        <v>100</v>
      </c>
      <c r="BZ394" s="30">
        <f t="shared" si="814"/>
        <v>0.47393364928909953</v>
      </c>
      <c r="CA394" s="23">
        <v>144</v>
      </c>
      <c r="CB394" s="30">
        <f t="shared" si="815"/>
        <v>0.65753424657534243</v>
      </c>
      <c r="CC394" s="23">
        <v>210</v>
      </c>
      <c r="CD394" s="30">
        <f t="shared" si="816"/>
        <v>0.75812274368231047</v>
      </c>
      <c r="CE394" s="23"/>
      <c r="CF394" s="30"/>
      <c r="CG394" s="23"/>
      <c r="CH394" s="30"/>
      <c r="CI394" s="23"/>
      <c r="CJ394" s="30"/>
      <c r="CK394" s="23"/>
      <c r="CL394" s="30"/>
      <c r="CM394" s="23"/>
      <c r="CN394" s="30"/>
      <c r="CO394" s="23"/>
      <c r="CP394" s="30"/>
      <c r="CQ394" s="23"/>
      <c r="CR394" s="30"/>
      <c r="CS394" s="23"/>
      <c r="CT394" s="30"/>
      <c r="CU394" s="23"/>
      <c r="CV394" s="30"/>
      <c r="CW394" s="23"/>
      <c r="CX394" s="30"/>
      <c r="CY394" s="23"/>
      <c r="CZ394" s="30"/>
      <c r="DA394" s="23"/>
      <c r="DB394" s="30"/>
      <c r="DC394" s="23">
        <v>25</v>
      </c>
      <c r="DD394" s="30">
        <f t="shared" si="817"/>
        <v>0.86206896551724133</v>
      </c>
      <c r="DE394" s="23">
        <v>25</v>
      </c>
      <c r="DF394" s="30">
        <f t="shared" si="818"/>
        <v>0.86206896551724133</v>
      </c>
      <c r="DG394" s="23">
        <v>51</v>
      </c>
      <c r="DH394" s="30">
        <f t="shared" si="819"/>
        <v>0.72857142857142854</v>
      </c>
      <c r="DI394" s="23">
        <v>112</v>
      </c>
      <c r="DJ394" s="30">
        <f t="shared" si="820"/>
        <v>0.875</v>
      </c>
      <c r="DK394" s="23">
        <v>97</v>
      </c>
      <c r="DL394" s="30">
        <f t="shared" si="821"/>
        <v>0.67361111111111116</v>
      </c>
      <c r="DM394" s="23">
        <v>45</v>
      </c>
      <c r="DN394" s="30">
        <f t="shared" si="822"/>
        <v>0.54216867469879515</v>
      </c>
      <c r="DO394" s="23">
        <v>22</v>
      </c>
      <c r="DP394" s="30">
        <f t="shared" si="823"/>
        <v>0.53658536585365857</v>
      </c>
      <c r="DQ394" s="23">
        <v>28</v>
      </c>
      <c r="DR394" s="30">
        <f t="shared" si="824"/>
        <v>0.58333333333333337</v>
      </c>
      <c r="DS394" s="23">
        <v>27</v>
      </c>
      <c r="DT394" s="30">
        <f t="shared" si="825"/>
        <v>0.6</v>
      </c>
      <c r="DU394" s="302"/>
      <c r="DV394" s="302"/>
      <c r="DW394" s="302"/>
      <c r="DX394" s="302"/>
      <c r="DY394" s="302"/>
      <c r="DZ394" s="302"/>
      <c r="EA394" s="302"/>
      <c r="EB394" s="302"/>
      <c r="EC394" s="302"/>
      <c r="ED394" s="302"/>
      <c r="EE394" s="302"/>
      <c r="EF394" s="302"/>
      <c r="EG394" s="302"/>
      <c r="EH394" s="302"/>
      <c r="EI394" s="302"/>
      <c r="EJ394" s="302"/>
      <c r="EK394" s="302"/>
      <c r="EL394" s="302"/>
      <c r="EM394" s="302"/>
      <c r="EN394" s="23">
        <v>53</v>
      </c>
      <c r="EO394" s="30">
        <f t="shared" si="826"/>
        <v>0.77941176470588236</v>
      </c>
      <c r="EP394" s="23">
        <v>36</v>
      </c>
      <c r="EQ394" s="30">
        <f t="shared" si="827"/>
        <v>0.67924528301886788</v>
      </c>
      <c r="ER394" s="23">
        <v>12</v>
      </c>
      <c r="ES394" s="30">
        <f t="shared" si="828"/>
        <v>0.66666666666666663</v>
      </c>
      <c r="ET394" s="23">
        <v>12</v>
      </c>
      <c r="EU394" s="30">
        <f t="shared" si="829"/>
        <v>0.54545454545454541</v>
      </c>
      <c r="EV394" s="23">
        <v>18</v>
      </c>
      <c r="EW394" s="30">
        <f t="shared" si="830"/>
        <v>0.6428571428571429</v>
      </c>
      <c r="EX394" s="23">
        <v>23</v>
      </c>
      <c r="EY394" s="30">
        <f t="shared" si="831"/>
        <v>0.76666666666666672</v>
      </c>
      <c r="EZ394" s="23">
        <v>11</v>
      </c>
      <c r="FA394" s="30">
        <f t="shared" si="832"/>
        <v>0.55000000000000004</v>
      </c>
      <c r="FB394" s="23">
        <v>3</v>
      </c>
      <c r="FC394" s="30">
        <f t="shared" si="833"/>
        <v>1</v>
      </c>
      <c r="FD394" s="23">
        <v>12</v>
      </c>
      <c r="FE394" s="30">
        <f t="shared" si="834"/>
        <v>0.54545454545454541</v>
      </c>
      <c r="FF394" s="23">
        <v>12</v>
      </c>
      <c r="FG394" s="30">
        <f t="shared" si="835"/>
        <v>0.70588235294117652</v>
      </c>
      <c r="FH394" s="23">
        <v>10</v>
      </c>
      <c r="FI394" s="30">
        <f t="shared" si="836"/>
        <v>0.41666666666666669</v>
      </c>
      <c r="FJ394" s="23">
        <v>10</v>
      </c>
      <c r="FK394" s="30">
        <f t="shared" ref="FK394" si="837">FJ394/SUM(FJ$391:FJ$394)</f>
        <v>0.90909090909090906</v>
      </c>
      <c r="FL394" s="23">
        <v>12</v>
      </c>
      <c r="FM394" s="30">
        <f t="shared" ref="FM394" si="838">FL394/SUM(FL$391:FL$394)</f>
        <v>0.46153846153846156</v>
      </c>
      <c r="FN394" s="23">
        <v>7</v>
      </c>
      <c r="FO394" s="30">
        <f t="shared" ref="FO394" si="839">FN394/SUM(FN$391:FN$394)</f>
        <v>0.41176470588235292</v>
      </c>
      <c r="FP394" s="23">
        <v>13</v>
      </c>
      <c r="FQ394" s="30">
        <f t="shared" ref="FQ394" si="840">FP394/SUM(FP$391:FP$394)</f>
        <v>0.65</v>
      </c>
      <c r="FR394" s="302"/>
      <c r="FS394" s="302"/>
      <c r="FT394" s="302"/>
      <c r="FU394" s="302"/>
      <c r="FV394" s="302"/>
      <c r="FW394" s="302"/>
      <c r="FX394" s="302"/>
      <c r="FY394" s="302"/>
      <c r="FZ394" s="302"/>
      <c r="GA394" s="302"/>
      <c r="GB394" s="302"/>
      <c r="GC394" s="302"/>
      <c r="GD394" s="302"/>
      <c r="GE394" s="302"/>
      <c r="GF394" s="290"/>
      <c r="GG394" s="290"/>
    </row>
    <row r="395" spans="1:189" ht="8.25" customHeight="1" outlineLevel="1" x14ac:dyDescent="0.3">
      <c r="A395" s="1"/>
      <c r="B395" s="18"/>
      <c r="C395" s="18"/>
      <c r="D395" s="18"/>
      <c r="E395" s="18"/>
      <c r="F395" s="18"/>
      <c r="G395" s="3"/>
      <c r="H395" s="3"/>
      <c r="I395" s="19"/>
      <c r="J395" s="20"/>
      <c r="K395" s="19"/>
      <c r="L395" s="20"/>
      <c r="M395" s="19"/>
      <c r="N395" s="20"/>
      <c r="O395" s="19"/>
      <c r="P395" s="20"/>
      <c r="Q395" s="19"/>
      <c r="R395" s="20"/>
      <c r="S395" s="19"/>
      <c r="T395" s="20"/>
      <c r="U395" s="19"/>
      <c r="V395" s="20"/>
      <c r="W395" s="19"/>
      <c r="X395" s="20"/>
      <c r="Y395" s="19"/>
      <c r="Z395" s="20"/>
      <c r="AA395" s="19"/>
      <c r="AB395" s="20"/>
      <c r="AC395" s="19"/>
      <c r="AD395" s="20"/>
      <c r="AE395" s="19"/>
      <c r="AF395" s="20"/>
      <c r="AG395" s="19"/>
      <c r="AH395" s="20"/>
      <c r="AI395" s="19"/>
      <c r="AJ395" s="20"/>
      <c r="AK395" s="19"/>
      <c r="AL395" s="20"/>
      <c r="AM395" s="19"/>
      <c r="AN395" s="20"/>
      <c r="AO395" s="19"/>
      <c r="AP395" s="20"/>
      <c r="AQ395" s="19"/>
      <c r="AR395" s="20"/>
      <c r="AS395" s="19"/>
      <c r="AT395" s="20"/>
      <c r="AU395" s="19"/>
      <c r="AV395" s="20"/>
      <c r="AW395" s="19"/>
      <c r="AX395" s="20"/>
      <c r="AY395" s="19"/>
      <c r="AZ395" s="20"/>
      <c r="BA395" s="19"/>
      <c r="BB395" s="20"/>
      <c r="BC395" s="19"/>
      <c r="BD395" s="20"/>
      <c r="BE395" s="19"/>
      <c r="BF395" s="20"/>
      <c r="BG395" s="19"/>
      <c r="BH395" s="20"/>
      <c r="BI395" s="19"/>
      <c r="BJ395" s="20"/>
      <c r="BK395" s="19"/>
      <c r="BL395" s="20"/>
      <c r="BM395" s="19"/>
      <c r="BN395" s="20"/>
      <c r="BO395" s="19"/>
      <c r="BP395" s="20"/>
      <c r="BQ395" s="19"/>
      <c r="BR395" s="20"/>
      <c r="BS395" s="19"/>
      <c r="BT395" s="20"/>
      <c r="BU395" s="19"/>
      <c r="BV395" s="20"/>
      <c r="BW395" s="19"/>
      <c r="BX395" s="20"/>
      <c r="BY395" s="19"/>
      <c r="BZ395" s="20"/>
      <c r="CA395" s="19"/>
      <c r="CB395" s="20"/>
      <c r="CC395" s="19"/>
      <c r="CD395" s="20"/>
      <c r="CE395" s="19"/>
      <c r="CF395" s="20"/>
      <c r="CG395" s="19"/>
      <c r="CH395" s="20"/>
      <c r="CI395" s="19"/>
      <c r="CJ395" s="20"/>
      <c r="CK395" s="19"/>
      <c r="CL395" s="20"/>
      <c r="CM395" s="19"/>
      <c r="CN395" s="20"/>
      <c r="CO395" s="19"/>
      <c r="CP395" s="20"/>
      <c r="CQ395" s="19"/>
      <c r="CR395" s="20"/>
      <c r="CS395" s="19"/>
      <c r="CT395" s="20"/>
      <c r="CU395" s="19"/>
      <c r="CV395" s="20"/>
      <c r="CW395" s="19"/>
      <c r="CX395" s="20"/>
      <c r="CY395" s="19"/>
      <c r="CZ395" s="20"/>
      <c r="DA395" s="19"/>
      <c r="DB395" s="20"/>
      <c r="DC395" s="19"/>
      <c r="DD395" s="20"/>
      <c r="DE395" s="19"/>
      <c r="DF395" s="20"/>
      <c r="DG395" s="19"/>
      <c r="DH395" s="20"/>
      <c r="DI395" s="19"/>
      <c r="DJ395" s="20"/>
      <c r="DK395" s="19"/>
      <c r="DL395" s="20"/>
      <c r="DM395" s="19"/>
      <c r="DN395" s="20"/>
      <c r="DO395" s="19"/>
      <c r="DP395" s="20"/>
      <c r="DQ395" s="19"/>
      <c r="DR395" s="20"/>
      <c r="DS395" s="19"/>
      <c r="DT395" s="20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19"/>
      <c r="EO395" s="20"/>
      <c r="EP395" s="19"/>
      <c r="EQ395" s="20"/>
      <c r="ER395" s="19"/>
      <c r="ES395" s="20"/>
      <c r="ET395" s="19"/>
      <c r="EU395" s="20"/>
      <c r="EV395" s="19"/>
      <c r="EW395" s="20"/>
      <c r="EX395" s="19"/>
      <c r="EY395" s="20"/>
      <c r="EZ395" s="19"/>
      <c r="FA395" s="20"/>
      <c r="FB395" s="19"/>
      <c r="FC395" s="20"/>
      <c r="FD395" s="19"/>
      <c r="FE395" s="20"/>
      <c r="FF395" s="19"/>
      <c r="FG395" s="20"/>
      <c r="FH395" s="19"/>
      <c r="FI395" s="20"/>
      <c r="FJ395" s="19"/>
      <c r="FK395" s="20"/>
      <c r="FL395" s="19"/>
      <c r="FM395" s="20"/>
      <c r="FN395" s="19"/>
      <c r="FO395" s="20"/>
      <c r="FP395" s="19"/>
      <c r="FQ395" s="20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</row>
    <row r="396" spans="1:189" ht="15" customHeight="1" outlineLevel="1" x14ac:dyDescent="0.3">
      <c r="A396" s="63"/>
      <c r="B396" s="313" t="s">
        <v>301</v>
      </c>
      <c r="C396" s="313" t="s">
        <v>47</v>
      </c>
      <c r="D396" s="313" t="s">
        <v>25</v>
      </c>
      <c r="E396" s="313" t="s">
        <v>302</v>
      </c>
      <c r="F396" s="313" t="s">
        <v>27</v>
      </c>
      <c r="G396" s="5" t="s">
        <v>28</v>
      </c>
      <c r="H396" s="5"/>
      <c r="I396" s="283">
        <v>8.8999999999999996E-2</v>
      </c>
      <c r="J396" s="281"/>
      <c r="K396" s="283">
        <v>8.8999999999999996E-2</v>
      </c>
      <c r="L396" s="281"/>
      <c r="M396" s="283">
        <v>8.8999999999999996E-2</v>
      </c>
      <c r="N396" s="281"/>
      <c r="O396" s="283">
        <v>8.8999999999999996E-2</v>
      </c>
      <c r="P396" s="281"/>
      <c r="Q396" s="283">
        <v>8.8999999999999996E-2</v>
      </c>
      <c r="R396" s="281"/>
      <c r="S396" s="283">
        <v>8.8999999999999996E-2</v>
      </c>
      <c r="T396" s="281"/>
      <c r="U396" s="283">
        <v>8.8999999999999996E-2</v>
      </c>
      <c r="V396" s="281"/>
      <c r="W396" s="283">
        <v>8.8999999999999996E-2</v>
      </c>
      <c r="X396" s="281"/>
      <c r="Y396" s="283">
        <v>8.8999999999999996E-2</v>
      </c>
      <c r="Z396" s="281"/>
      <c r="AA396" s="283">
        <v>8.8999999999999996E-2</v>
      </c>
      <c r="AB396" s="281"/>
      <c r="AC396" s="283">
        <v>8.8999999999999996E-2</v>
      </c>
      <c r="AD396" s="281"/>
      <c r="AE396" s="283">
        <v>8.8999999999999996E-2</v>
      </c>
      <c r="AF396" s="281"/>
      <c r="AG396" s="283">
        <v>8.8999999999999996E-2</v>
      </c>
      <c r="AH396" s="281"/>
      <c r="AI396" s="283">
        <v>8.8999999999999996E-2</v>
      </c>
      <c r="AJ396" s="281"/>
      <c r="AK396" s="283">
        <v>8.8999999999999996E-2</v>
      </c>
      <c r="AL396" s="281"/>
      <c r="AM396" s="283">
        <v>8.8999999999999996E-2</v>
      </c>
      <c r="AN396" s="281"/>
      <c r="AO396" s="283">
        <v>8.8999999999999996E-2</v>
      </c>
      <c r="AP396" s="281"/>
      <c r="AQ396" s="283">
        <v>8.8999999999999996E-2</v>
      </c>
      <c r="AR396" s="281"/>
      <c r="AS396" s="283">
        <v>8.8999999999999996E-2</v>
      </c>
      <c r="AT396" s="281"/>
      <c r="AU396" s="283">
        <v>8.8999999999999996E-2</v>
      </c>
      <c r="AV396" s="281"/>
      <c r="AW396" s="283">
        <v>8.8999999999999996E-2</v>
      </c>
      <c r="AX396" s="281"/>
      <c r="AY396" s="283">
        <v>8.8999999999999996E-2</v>
      </c>
      <c r="AZ396" s="281"/>
      <c r="BA396" s="283">
        <v>8.8999999999999996E-2</v>
      </c>
      <c r="BB396" s="281"/>
      <c r="BC396" s="283">
        <v>8.8999999999999996E-2</v>
      </c>
      <c r="BD396" s="281"/>
      <c r="BE396" s="283">
        <v>8.8999999999999996E-2</v>
      </c>
      <c r="BF396" s="281"/>
      <c r="BG396" s="283">
        <v>8.8999999999999996E-2</v>
      </c>
      <c r="BH396" s="281"/>
      <c r="BI396" s="283">
        <v>8.8999999999999996E-2</v>
      </c>
      <c r="BJ396" s="281"/>
      <c r="BK396" s="283">
        <v>8.8999999999999996E-2</v>
      </c>
      <c r="BL396" s="281"/>
      <c r="BM396" s="283">
        <v>8.8999999999999996E-2</v>
      </c>
      <c r="BN396" s="281"/>
      <c r="BO396" s="283">
        <v>8.8999999999999996E-2</v>
      </c>
      <c r="BP396" s="281"/>
      <c r="BQ396" s="283">
        <v>8.8999999999999996E-2</v>
      </c>
      <c r="BR396" s="281"/>
      <c r="BS396" s="283">
        <v>8.8999999999999996E-2</v>
      </c>
      <c r="BT396" s="281"/>
      <c r="BU396" s="283">
        <v>8.8999999999999996E-2</v>
      </c>
      <c r="BV396" s="281"/>
      <c r="BW396" s="283">
        <v>8.8999999999999996E-2</v>
      </c>
      <c r="BX396" s="281"/>
      <c r="BY396" s="283">
        <v>8.8999999999999996E-2</v>
      </c>
      <c r="BZ396" s="281"/>
      <c r="CA396" s="283">
        <v>8.8999999999999996E-2</v>
      </c>
      <c r="CB396" s="281"/>
      <c r="CC396" s="283">
        <v>8.8999999999999996E-2</v>
      </c>
      <c r="CD396" s="281"/>
      <c r="CE396" s="283">
        <v>8.8999999999999996E-2</v>
      </c>
      <c r="CF396" s="281"/>
      <c r="CG396" s="283">
        <v>8.8999999999999996E-2</v>
      </c>
      <c r="CH396" s="281"/>
      <c r="CI396" s="283">
        <v>8.8999999999999996E-2</v>
      </c>
      <c r="CJ396" s="281"/>
      <c r="CK396" s="283">
        <v>8.8999999999999996E-2</v>
      </c>
      <c r="CL396" s="281"/>
      <c r="CM396" s="283">
        <v>8.8999999999999996E-2</v>
      </c>
      <c r="CN396" s="281"/>
      <c r="CO396" s="283">
        <v>8.8999999999999996E-2</v>
      </c>
      <c r="CP396" s="281"/>
      <c r="CQ396" s="283">
        <v>8.8999999999999996E-2</v>
      </c>
      <c r="CR396" s="281"/>
      <c r="CS396" s="283">
        <v>8.8999999999999996E-2</v>
      </c>
      <c r="CT396" s="281"/>
      <c r="CU396" s="283">
        <v>8.8999999999999996E-2</v>
      </c>
      <c r="CV396" s="281"/>
      <c r="CW396" s="283">
        <v>8.8999999999999996E-2</v>
      </c>
      <c r="CX396" s="281"/>
      <c r="CY396" s="283">
        <v>8.8999999999999996E-2</v>
      </c>
      <c r="CZ396" s="281"/>
      <c r="DA396" s="283">
        <v>8.8999999999999996E-2</v>
      </c>
      <c r="DB396" s="281"/>
      <c r="DC396" s="283">
        <v>8.8999999999999996E-2</v>
      </c>
      <c r="DD396" s="281"/>
      <c r="DE396" s="283">
        <v>8.8999999999999996E-2</v>
      </c>
      <c r="DF396" s="281"/>
      <c r="DG396" s="283">
        <v>8.8999999999999996E-2</v>
      </c>
      <c r="DH396" s="281"/>
      <c r="DI396" s="283">
        <v>8.8999999999999996E-2</v>
      </c>
      <c r="DJ396" s="281"/>
      <c r="DK396" s="283">
        <v>8.8999999999999996E-2</v>
      </c>
      <c r="DL396" s="281"/>
      <c r="DM396" s="283">
        <v>8.8999999999999996E-2</v>
      </c>
      <c r="DN396" s="281"/>
      <c r="DO396" s="283">
        <v>8.8999999999999996E-2</v>
      </c>
      <c r="DP396" s="281"/>
      <c r="DQ396" s="283">
        <v>8.8999999999999996E-2</v>
      </c>
      <c r="DR396" s="281"/>
      <c r="DS396" s="283">
        <v>8.8999999999999996E-2</v>
      </c>
      <c r="DT396" s="281"/>
      <c r="DU396" s="303" t="s">
        <v>29</v>
      </c>
      <c r="DV396" s="303" t="s">
        <v>29</v>
      </c>
      <c r="DW396" s="303" t="s">
        <v>29</v>
      </c>
      <c r="DX396" s="303" t="s">
        <v>29</v>
      </c>
      <c r="DY396" s="303" t="s">
        <v>29</v>
      </c>
      <c r="DZ396" s="303" t="s">
        <v>29</v>
      </c>
      <c r="EA396" s="303" t="s">
        <v>29</v>
      </c>
      <c r="EB396" s="303" t="s">
        <v>29</v>
      </c>
      <c r="EC396" s="303" t="s">
        <v>29</v>
      </c>
      <c r="ED396" s="303" t="s">
        <v>29</v>
      </c>
      <c r="EE396" s="303" t="s">
        <v>29</v>
      </c>
      <c r="EF396" s="303" t="s">
        <v>29</v>
      </c>
      <c r="EG396" s="303" t="s">
        <v>29</v>
      </c>
      <c r="EH396" s="303" t="s">
        <v>29</v>
      </c>
      <c r="EI396" s="303" t="s">
        <v>29</v>
      </c>
      <c r="EJ396" s="303" t="s">
        <v>29</v>
      </c>
      <c r="EK396" s="303" t="s">
        <v>29</v>
      </c>
      <c r="EL396" s="303" t="s">
        <v>29</v>
      </c>
      <c r="EM396" s="303" t="s">
        <v>29</v>
      </c>
      <c r="EN396" s="283">
        <v>8.8999999999999996E-2</v>
      </c>
      <c r="EO396" s="281"/>
      <c r="EP396" s="283">
        <v>8.8999999999999996E-2</v>
      </c>
      <c r="EQ396" s="281"/>
      <c r="ER396" s="283">
        <v>8.8999999999999996E-2</v>
      </c>
      <c r="ES396" s="281"/>
      <c r="ET396" s="283">
        <v>8.8999999999999996E-2</v>
      </c>
      <c r="EU396" s="281"/>
      <c r="EV396" s="283">
        <v>8.8999999999999996E-2</v>
      </c>
      <c r="EW396" s="281"/>
      <c r="EX396" s="283">
        <v>8.8999999999999996E-2</v>
      </c>
      <c r="EY396" s="281"/>
      <c r="EZ396" s="283">
        <v>8.8999999999999996E-2</v>
      </c>
      <c r="FA396" s="281"/>
      <c r="FB396" s="283">
        <v>8.8999999999999996E-2</v>
      </c>
      <c r="FC396" s="281"/>
      <c r="FD396" s="283">
        <v>8.8999999999999996E-2</v>
      </c>
      <c r="FE396" s="281"/>
      <c r="FF396" s="283">
        <v>8.8999999999999996E-2</v>
      </c>
      <c r="FG396" s="281"/>
      <c r="FH396" s="283">
        <v>8.8999999999999996E-2</v>
      </c>
      <c r="FI396" s="281"/>
      <c r="FJ396" s="283">
        <v>8.8999999999999996E-2</v>
      </c>
      <c r="FK396" s="281"/>
      <c r="FL396" s="283">
        <v>8.8999999999999996E-2</v>
      </c>
      <c r="FM396" s="281"/>
      <c r="FN396" s="283">
        <v>8.8999999999999996E-2</v>
      </c>
      <c r="FO396" s="281"/>
      <c r="FP396" s="283">
        <v>8.8999999999999996E-2</v>
      </c>
      <c r="FQ396" s="281"/>
      <c r="FR396" s="303" t="s">
        <v>29</v>
      </c>
      <c r="FS396" s="303" t="s">
        <v>29</v>
      </c>
      <c r="FT396" s="303"/>
      <c r="FU396" s="303" t="s">
        <v>29</v>
      </c>
      <c r="FV396" s="303" t="s">
        <v>29</v>
      </c>
      <c r="FW396" s="303" t="s">
        <v>29</v>
      </c>
      <c r="FX396" s="303" t="s">
        <v>29</v>
      </c>
      <c r="FY396" s="303" t="s">
        <v>29</v>
      </c>
      <c r="FZ396" s="303" t="s">
        <v>29</v>
      </c>
      <c r="GA396" s="303" t="s">
        <v>29</v>
      </c>
      <c r="GB396" s="303" t="s">
        <v>29</v>
      </c>
      <c r="GC396" s="303" t="s">
        <v>29</v>
      </c>
      <c r="GD396" s="303" t="s">
        <v>29</v>
      </c>
      <c r="GE396" s="303" t="s">
        <v>29</v>
      </c>
      <c r="GF396" s="303" t="s">
        <v>29</v>
      </c>
      <c r="GG396" s="303" t="s">
        <v>29</v>
      </c>
    </row>
    <row r="397" spans="1:189" ht="4.5" customHeight="1" outlineLevel="1" x14ac:dyDescent="0.3">
      <c r="A397" s="1"/>
      <c r="B397" s="301"/>
      <c r="C397" s="301"/>
      <c r="D397" s="301"/>
      <c r="E397" s="301"/>
      <c r="F397" s="301"/>
      <c r="G397" s="5"/>
      <c r="H397" s="5"/>
      <c r="I397" s="387"/>
      <c r="J397" s="281"/>
      <c r="K397" s="387"/>
      <c r="L397" s="281"/>
      <c r="M397" s="387"/>
      <c r="N397" s="281"/>
      <c r="O397" s="387"/>
      <c r="P397" s="281"/>
      <c r="Q397" s="387"/>
      <c r="R397" s="281"/>
      <c r="S397" s="421"/>
      <c r="T397" s="281"/>
      <c r="U397" s="387"/>
      <c r="V397" s="281"/>
      <c r="W397" s="387"/>
      <c r="X397" s="281"/>
      <c r="Y397" s="387"/>
      <c r="Z397" s="281"/>
      <c r="AA397" s="387"/>
      <c r="AB397" s="281"/>
      <c r="AC397" s="387"/>
      <c r="AD397" s="281"/>
      <c r="AE397" s="387"/>
      <c r="AF397" s="281"/>
      <c r="AG397" s="387"/>
      <c r="AH397" s="281"/>
      <c r="AI397" s="387"/>
      <c r="AJ397" s="281"/>
      <c r="AK397" s="387"/>
      <c r="AL397" s="281"/>
      <c r="AM397" s="282"/>
      <c r="AN397" s="281"/>
      <c r="AO397" s="387"/>
      <c r="AP397" s="281"/>
      <c r="AQ397" s="387"/>
      <c r="AR397" s="281"/>
      <c r="AS397" s="282"/>
      <c r="AT397" s="281"/>
      <c r="AU397" s="387"/>
      <c r="AV397" s="281"/>
      <c r="AW397" s="282"/>
      <c r="AX397" s="281"/>
      <c r="AY397" s="282"/>
      <c r="AZ397" s="281"/>
      <c r="BA397" s="282"/>
      <c r="BB397" s="281"/>
      <c r="BC397" s="282"/>
      <c r="BD397" s="281"/>
      <c r="BE397" s="282"/>
      <c r="BF397" s="281"/>
      <c r="BG397" s="282"/>
      <c r="BH397" s="281"/>
      <c r="BI397" s="282"/>
      <c r="BJ397" s="281"/>
      <c r="BK397" s="387"/>
      <c r="BL397" s="281"/>
      <c r="BM397" s="282"/>
      <c r="BN397" s="281"/>
      <c r="BO397" s="282"/>
      <c r="BP397" s="281"/>
      <c r="BQ397" s="282"/>
      <c r="BR397" s="281"/>
      <c r="BS397" s="282"/>
      <c r="BT397" s="281"/>
      <c r="BU397" s="282"/>
      <c r="BV397" s="281"/>
      <c r="BW397" s="282"/>
      <c r="BX397" s="281"/>
      <c r="BY397" s="282"/>
      <c r="BZ397" s="281"/>
      <c r="CA397" s="282"/>
      <c r="CB397" s="281"/>
      <c r="CC397" s="282"/>
      <c r="CD397" s="281"/>
      <c r="CE397" s="282"/>
      <c r="CF397" s="281"/>
      <c r="CG397" s="282"/>
      <c r="CH397" s="281"/>
      <c r="CI397" s="464"/>
      <c r="CJ397" s="281"/>
      <c r="CK397" s="464"/>
      <c r="CL397" s="281"/>
      <c r="CM397" s="282"/>
      <c r="CN397" s="281"/>
      <c r="CO397" s="464"/>
      <c r="CP397" s="281"/>
      <c r="CQ397" s="464"/>
      <c r="CR397" s="281"/>
      <c r="CS397" s="464"/>
      <c r="CT397" s="281"/>
      <c r="CU397" s="464"/>
      <c r="CV397" s="281"/>
      <c r="CW397" s="465"/>
      <c r="CX397" s="466"/>
      <c r="CY397" s="464"/>
      <c r="CZ397" s="281"/>
      <c r="DA397" s="464"/>
      <c r="DB397" s="281"/>
      <c r="DC397" s="282"/>
      <c r="DD397" s="281"/>
      <c r="DE397" s="282"/>
      <c r="DF397" s="281"/>
      <c r="DG397" s="282"/>
      <c r="DH397" s="281"/>
      <c r="DI397" s="282"/>
      <c r="DJ397" s="281"/>
      <c r="DK397" s="282"/>
      <c r="DL397" s="281"/>
      <c r="DM397" s="282"/>
      <c r="DN397" s="281"/>
      <c r="DO397" s="282"/>
      <c r="DP397" s="281"/>
      <c r="DQ397" s="282"/>
      <c r="DR397" s="281"/>
      <c r="DS397" s="282"/>
      <c r="DT397" s="281"/>
      <c r="DU397" s="301"/>
      <c r="DV397" s="301"/>
      <c r="DW397" s="301"/>
      <c r="DX397" s="301"/>
      <c r="DY397" s="301"/>
      <c r="DZ397" s="301"/>
      <c r="EA397" s="301"/>
      <c r="EB397" s="301"/>
      <c r="EC397" s="301"/>
      <c r="ED397" s="301"/>
      <c r="EE397" s="301"/>
      <c r="EF397" s="301"/>
      <c r="EG397" s="301"/>
      <c r="EH397" s="301"/>
      <c r="EI397" s="301"/>
      <c r="EJ397" s="301"/>
      <c r="EK397" s="301"/>
      <c r="EL397" s="301"/>
      <c r="EM397" s="301"/>
      <c r="EN397" s="282"/>
      <c r="EO397" s="281"/>
      <c r="EP397" s="282"/>
      <c r="EQ397" s="281"/>
      <c r="ER397" s="282"/>
      <c r="ES397" s="281"/>
      <c r="ET397" s="282"/>
      <c r="EU397" s="281"/>
      <c r="EV397" s="282"/>
      <c r="EW397" s="281"/>
      <c r="EX397" s="282"/>
      <c r="EY397" s="281"/>
      <c r="EZ397" s="282"/>
      <c r="FA397" s="281"/>
      <c r="FB397" s="282"/>
      <c r="FC397" s="281"/>
      <c r="FD397" s="282"/>
      <c r="FE397" s="281"/>
      <c r="FF397" s="282"/>
      <c r="FG397" s="281"/>
      <c r="FH397" s="282"/>
      <c r="FI397" s="281"/>
      <c r="FJ397" s="282"/>
      <c r="FK397" s="281"/>
      <c r="FL397" s="282"/>
      <c r="FM397" s="281"/>
      <c r="FN397" s="282"/>
      <c r="FO397" s="281"/>
      <c r="FP397" s="282"/>
      <c r="FQ397" s="281"/>
      <c r="FR397" s="301"/>
      <c r="FS397" s="301"/>
      <c r="FT397" s="301"/>
      <c r="FU397" s="301"/>
      <c r="FV397" s="301"/>
      <c r="FW397" s="301"/>
      <c r="FX397" s="301"/>
      <c r="FY397" s="301"/>
      <c r="FZ397" s="301"/>
      <c r="GA397" s="301"/>
      <c r="GB397" s="301"/>
      <c r="GC397" s="301"/>
      <c r="GD397" s="301"/>
      <c r="GE397" s="301"/>
      <c r="GF397" s="301"/>
      <c r="GG397" s="301"/>
    </row>
    <row r="398" spans="1:189" ht="15" customHeight="1" outlineLevel="1" x14ac:dyDescent="0.3">
      <c r="A398" s="1"/>
      <c r="B398" s="301"/>
      <c r="C398" s="301"/>
      <c r="D398" s="301"/>
      <c r="E398" s="301"/>
      <c r="F398" s="301"/>
      <c r="G398" s="5" t="s">
        <v>30</v>
      </c>
      <c r="H398" s="5"/>
      <c r="I398" s="283">
        <f>I400/I399</f>
        <v>4.9009907850065822E-2</v>
      </c>
      <c r="J398" s="281"/>
      <c r="K398" s="283">
        <f>K400/K399</f>
        <v>3.6824274561791132E-2</v>
      </c>
      <c r="L398" s="281"/>
      <c r="M398" s="283">
        <f>M400/M399</f>
        <v>4.3104918965027009E-2</v>
      </c>
      <c r="N398" s="281"/>
      <c r="O398" s="283">
        <f>O400/O399</f>
        <v>5.9823070859244987E-2</v>
      </c>
      <c r="P398" s="281"/>
      <c r="Q398" s="283">
        <f>Q400/Q399</f>
        <v>4.5085543538620196E-2</v>
      </c>
      <c r="R398" s="281"/>
      <c r="S398" s="283">
        <f>S400/S399</f>
        <v>0.10872058935991231</v>
      </c>
      <c r="T398" s="281"/>
      <c r="U398" s="283">
        <f>U400/U399</f>
        <v>5.2604295792107104E-2</v>
      </c>
      <c r="V398" s="281"/>
      <c r="W398" s="283">
        <f>W400/W399</f>
        <v>5.7223809754443744E-2</v>
      </c>
      <c r="X398" s="281"/>
      <c r="Y398" s="283">
        <f>Y400/Y399</f>
        <v>4.3606783277398704E-2</v>
      </c>
      <c r="Z398" s="281"/>
      <c r="AA398" s="283">
        <f>AA400/AA399</f>
        <v>4.1707717569786536E-2</v>
      </c>
      <c r="AB398" s="281"/>
      <c r="AC398" s="283">
        <f>AC400/AC399</f>
        <v>4.6173809609631258E-2</v>
      </c>
      <c r="AD398" s="281"/>
      <c r="AE398" s="283">
        <f>AE400/AE399</f>
        <v>3.0166880616174584E-2</v>
      </c>
      <c r="AF398" s="281"/>
      <c r="AG398" s="283">
        <f>AG400/AG399</f>
        <v>5.7796877740747238E-2</v>
      </c>
      <c r="AH398" s="281"/>
      <c r="AI398" s="283">
        <f>AI400/AI399</f>
        <v>3.8474750944692548E-2</v>
      </c>
      <c r="AJ398" s="281"/>
      <c r="AK398" s="283">
        <f>AK400/AK399</f>
        <v>5.6253089471082554E-2</v>
      </c>
      <c r="AL398" s="281"/>
      <c r="AM398" s="283">
        <f>AM400/AM399</f>
        <v>0.11325451151213441</v>
      </c>
      <c r="AN398" s="281"/>
      <c r="AO398" s="283">
        <f>AO400/AO399</f>
        <v>4.5059288537549404E-2</v>
      </c>
      <c r="AP398" s="281"/>
      <c r="AQ398" s="283">
        <f>AQ400/AQ399</f>
        <v>7.6388888888888895E-2</v>
      </c>
      <c r="AR398" s="281"/>
      <c r="AS398" s="283">
        <f>AS400/AS399</f>
        <v>0.25051510989010989</v>
      </c>
      <c r="AT398" s="281"/>
      <c r="AU398" s="283">
        <f>AU400/AU399</f>
        <v>8.7246722288438619E-2</v>
      </c>
      <c r="AV398" s="281"/>
      <c r="AW398" s="283">
        <f>AW400/AW399</f>
        <v>0.12699812589571161</v>
      </c>
      <c r="AX398" s="281"/>
      <c r="AY398" s="283">
        <f>AY400/AY399</f>
        <v>0.13943281566509116</v>
      </c>
      <c r="AZ398" s="281"/>
      <c r="BA398" s="283">
        <f>BA400/BA399</f>
        <v>0.1083956774729842</v>
      </c>
      <c r="BB398" s="281"/>
      <c r="BC398" s="283">
        <f>BC400/BC399</f>
        <v>9.3766792047286399E-2</v>
      </c>
      <c r="BD398" s="281"/>
      <c r="BE398" s="283">
        <f>BE400/BE399</f>
        <v>0.14140411808484246</v>
      </c>
      <c r="BF398" s="281"/>
      <c r="BG398" s="283">
        <f>BG400/BG399</f>
        <v>0.12141974615298214</v>
      </c>
      <c r="BH398" s="281"/>
      <c r="BI398" s="283">
        <f>BI400/BI399</f>
        <v>9.3733661961311526E-2</v>
      </c>
      <c r="BJ398" s="281"/>
      <c r="BK398" s="283">
        <f>BK400/BK399</f>
        <v>8.1043031156271039E-2</v>
      </c>
      <c r="BL398" s="281"/>
      <c r="BM398" s="283">
        <f>BM400/BM399</f>
        <v>0.10063777902832489</v>
      </c>
      <c r="BN398" s="281"/>
      <c r="BO398" s="283">
        <f>BO400/BO399</f>
        <v>0.12251038830778048</v>
      </c>
      <c r="BP398" s="281"/>
      <c r="BQ398" s="283">
        <f>BQ400/BQ399</f>
        <v>0.12749135233075276</v>
      </c>
      <c r="BR398" s="281"/>
      <c r="BS398" s="283">
        <f>BS400/BS399</f>
        <v>0.15904874346432787</v>
      </c>
      <c r="BT398" s="281"/>
      <c r="BU398" s="283">
        <f>BU400/BU399</f>
        <v>0.17823950748830877</v>
      </c>
      <c r="BV398" s="281"/>
      <c r="BW398" s="283">
        <f>BW400/BW399</f>
        <v>0.21166332908550275</v>
      </c>
      <c r="BX398" s="281"/>
      <c r="BY398" s="283">
        <f>BY400/BY399</f>
        <v>0.15503274314819307</v>
      </c>
      <c r="BZ398" s="281"/>
      <c r="CA398" s="283">
        <f>CA400/CA399</f>
        <v>0.11152594805056269</v>
      </c>
      <c r="CB398" s="281"/>
      <c r="CC398" s="283">
        <f>CC400/CC399</f>
        <v>0.11119489559164733</v>
      </c>
      <c r="CD398" s="281"/>
      <c r="CE398" s="283">
        <f>CE400/CE399</f>
        <v>0.29636443921106859</v>
      </c>
      <c r="CF398" s="281"/>
      <c r="CG398" s="283">
        <f>CG400/CG399</f>
        <v>0.1183835657519868</v>
      </c>
      <c r="CH398" s="281"/>
      <c r="CI398" s="283">
        <f>CI400/CI399</f>
        <v>6.3550525681376813E-2</v>
      </c>
      <c r="CJ398" s="281"/>
      <c r="CK398" s="283">
        <f>CK400/CK399</f>
        <v>8.1199538638985005E-2</v>
      </c>
      <c r="CL398" s="281"/>
      <c r="CM398" s="283">
        <f>CM400/CM399</f>
        <v>8.2894850340722845E-2</v>
      </c>
      <c r="CN398" s="281"/>
      <c r="CO398" s="283">
        <f>CO400/CO399</f>
        <v>5.2170552621409252E-2</v>
      </c>
      <c r="CP398" s="281"/>
      <c r="CQ398" s="283">
        <f>CQ400/CQ399</f>
        <v>8.1947518178944037E-2</v>
      </c>
      <c r="CR398" s="281"/>
      <c r="CS398" s="283">
        <f>CS400/CS399</f>
        <v>7.4310462730795529E-2</v>
      </c>
      <c r="CT398" s="281"/>
      <c r="CU398" s="283">
        <f>CU400/CU399</f>
        <v>7.208896084529845E-2</v>
      </c>
      <c r="CV398" s="281"/>
      <c r="CW398" s="283">
        <f>CW400/CW399</f>
        <v>9.0016868578438894E-2</v>
      </c>
      <c r="CX398" s="281"/>
      <c r="CY398" s="283">
        <f>CY400/CY399</f>
        <v>4.7965543992937586E-2</v>
      </c>
      <c r="CZ398" s="281"/>
      <c r="DA398" s="283">
        <f>DA400/DA399</f>
        <v>5.24731650710763E-2</v>
      </c>
      <c r="DB398" s="281"/>
      <c r="DC398" s="283">
        <f>DC400/DC399</f>
        <v>0.10360458369596751</v>
      </c>
      <c r="DD398" s="281"/>
      <c r="DE398" s="283">
        <f>DE400/DE399</f>
        <v>0.10755017090256862</v>
      </c>
      <c r="DF398" s="281"/>
      <c r="DG398" s="283">
        <f>DG400/DG399</f>
        <v>0.12656768055355341</v>
      </c>
      <c r="DH398" s="281"/>
      <c r="DI398" s="283">
        <f>DI400/DI399</f>
        <v>0.11107106818509442</v>
      </c>
      <c r="DJ398" s="281"/>
      <c r="DK398" s="283">
        <f>DK400/DK399</f>
        <v>0.13286361348766984</v>
      </c>
      <c r="DL398" s="281"/>
      <c r="DM398" s="283">
        <f>DM400/DM399</f>
        <v>0.23891969881419362</v>
      </c>
      <c r="DN398" s="281"/>
      <c r="DO398" s="283">
        <f>DO400/DO399</f>
        <v>0.13413750633920163</v>
      </c>
      <c r="DP398" s="281"/>
      <c r="DQ398" s="283">
        <f>DQ400/DQ399</f>
        <v>0.12450689409024308</v>
      </c>
      <c r="DR398" s="281"/>
      <c r="DS398" s="283">
        <f>DS400/DS399</f>
        <v>0.15317482133040131</v>
      </c>
      <c r="DT398" s="281"/>
      <c r="DU398" s="301"/>
      <c r="DV398" s="301"/>
      <c r="DW398" s="301"/>
      <c r="DX398" s="301"/>
      <c r="DY398" s="301"/>
      <c r="DZ398" s="301"/>
      <c r="EA398" s="301"/>
      <c r="EB398" s="301"/>
      <c r="EC398" s="301"/>
      <c r="ED398" s="301"/>
      <c r="EE398" s="301"/>
      <c r="EF398" s="301"/>
      <c r="EG398" s="301"/>
      <c r="EH398" s="301"/>
      <c r="EI398" s="301"/>
      <c r="EJ398" s="301"/>
      <c r="EK398" s="301"/>
      <c r="EL398" s="301"/>
      <c r="EM398" s="301"/>
      <c r="EN398" s="283">
        <f>EN400/EN399</f>
        <v>0.12851990128456622</v>
      </c>
      <c r="EO398" s="281"/>
      <c r="EP398" s="283">
        <f>EP400/EP399</f>
        <v>0.10163413527008625</v>
      </c>
      <c r="EQ398" s="281"/>
      <c r="ER398" s="283">
        <f>ER400/ER399</f>
        <v>9.6256949960285942E-2</v>
      </c>
      <c r="ES398" s="281"/>
      <c r="ET398" s="283">
        <f>ET400/ET399</f>
        <v>0.21246786632390746</v>
      </c>
      <c r="EU398" s="281"/>
      <c r="EV398" s="283">
        <f>EV400/EV399</f>
        <v>0.16800339322896585</v>
      </c>
      <c r="EW398" s="281"/>
      <c r="EX398" s="283">
        <f>EX400/EX399</f>
        <v>0.11017316017316017</v>
      </c>
      <c r="EY398" s="281"/>
      <c r="EZ398" s="283">
        <f>EZ400/EZ399</f>
        <v>0.12916287073590443</v>
      </c>
      <c r="FA398" s="281"/>
      <c r="FB398" s="283">
        <f>FB400/FB399</f>
        <v>0.11370999955616706</v>
      </c>
      <c r="FC398" s="281"/>
      <c r="FD398" s="283">
        <f>FD400/FD399</f>
        <v>0.10691489361702128</v>
      </c>
      <c r="FE398" s="281"/>
      <c r="FF398" s="283">
        <f>FF400/FF399</f>
        <v>0.15581799235845781</v>
      </c>
      <c r="FG398" s="281"/>
      <c r="FH398" s="283">
        <f>FH400/FH399</f>
        <v>0.16905461303279179</v>
      </c>
      <c r="FI398" s="281"/>
      <c r="FJ398" s="283">
        <f>FJ400/FJ399</f>
        <v>0.17394926865395297</v>
      </c>
      <c r="FK398" s="281"/>
      <c r="FL398" s="283">
        <f>FL400/FL399</f>
        <v>0.13213417598444335</v>
      </c>
      <c r="FM398" s="281"/>
      <c r="FN398" s="283">
        <f>FN400/FN399</f>
        <v>0.14504652435686918</v>
      </c>
      <c r="FO398" s="281"/>
      <c r="FP398" s="283">
        <f>FP400/FP399</f>
        <v>0.46201550387596901</v>
      </c>
      <c r="FQ398" s="281"/>
      <c r="FR398" s="301"/>
      <c r="FS398" s="301"/>
      <c r="FT398" s="301"/>
      <c r="FU398" s="301"/>
      <c r="FV398" s="301"/>
      <c r="FW398" s="301"/>
      <c r="FX398" s="301"/>
      <c r="FY398" s="301"/>
      <c r="FZ398" s="301"/>
      <c r="GA398" s="301"/>
      <c r="GB398" s="301"/>
      <c r="GC398" s="301"/>
      <c r="GD398" s="301"/>
      <c r="GE398" s="301"/>
      <c r="GF398" s="301"/>
      <c r="GG398" s="301"/>
    </row>
    <row r="399" spans="1:189" ht="15" customHeight="1" outlineLevel="1" x14ac:dyDescent="0.3">
      <c r="A399" s="1"/>
      <c r="B399" s="301"/>
      <c r="C399" s="301"/>
      <c r="D399" s="301"/>
      <c r="E399" s="301"/>
      <c r="F399" s="301"/>
      <c r="G399" s="5" t="s">
        <v>303</v>
      </c>
      <c r="H399" s="5"/>
      <c r="I399" s="284">
        <f>SUM(K399:AH399)</f>
        <v>360825</v>
      </c>
      <c r="J399" s="281"/>
      <c r="K399" s="284">
        <v>13578</v>
      </c>
      <c r="L399" s="281"/>
      <c r="M399" s="284">
        <v>17585</v>
      </c>
      <c r="N399" s="281"/>
      <c r="O399" s="284">
        <v>22834</v>
      </c>
      <c r="P399" s="281"/>
      <c r="Q399" s="284">
        <v>37817</v>
      </c>
      <c r="R399" s="281"/>
      <c r="S399" s="284">
        <v>39229</v>
      </c>
      <c r="T399" s="281"/>
      <c r="U399" s="284">
        <v>44369</v>
      </c>
      <c r="V399" s="281"/>
      <c r="W399" s="284">
        <v>41294</v>
      </c>
      <c r="X399" s="281"/>
      <c r="Y399" s="284">
        <v>44993</v>
      </c>
      <c r="Z399" s="281"/>
      <c r="AA399" s="284">
        <v>33495</v>
      </c>
      <c r="AB399" s="281"/>
      <c r="AC399" s="284">
        <v>27743</v>
      </c>
      <c r="AD399" s="281"/>
      <c r="AE399" s="284">
        <v>26486</v>
      </c>
      <c r="AF399" s="281"/>
      <c r="AG399" s="284">
        <v>11402</v>
      </c>
      <c r="AH399" s="281"/>
      <c r="AI399" s="284">
        <v>11644</v>
      </c>
      <c r="AJ399" s="281"/>
      <c r="AK399" s="284">
        <v>10115</v>
      </c>
      <c r="AL399" s="281"/>
      <c r="AM399" s="284">
        <v>3214</v>
      </c>
      <c r="AN399" s="281"/>
      <c r="AO399" s="284">
        <v>1265</v>
      </c>
      <c r="AP399" s="281"/>
      <c r="AQ399" s="284">
        <v>720</v>
      </c>
      <c r="AR399" s="281"/>
      <c r="AS399" s="284">
        <v>5824</v>
      </c>
      <c r="AT399" s="281"/>
      <c r="AU399" s="284">
        <v>20975</v>
      </c>
      <c r="AV399" s="281"/>
      <c r="AW399" s="284">
        <v>18142</v>
      </c>
      <c r="AX399" s="281"/>
      <c r="AY399" s="284">
        <v>17772</v>
      </c>
      <c r="AZ399" s="281"/>
      <c r="BA399" s="284">
        <v>18045</v>
      </c>
      <c r="BB399" s="281"/>
      <c r="BC399" s="284">
        <v>22332</v>
      </c>
      <c r="BD399" s="281"/>
      <c r="BE399" s="284">
        <v>12093</v>
      </c>
      <c r="BF399" s="281"/>
      <c r="BG399" s="284">
        <v>8903</v>
      </c>
      <c r="BH399" s="281"/>
      <c r="BI399" s="284">
        <v>13389</v>
      </c>
      <c r="BJ399" s="281"/>
      <c r="BK399" s="284">
        <v>16337</v>
      </c>
      <c r="BL399" s="281"/>
      <c r="BM399" s="284">
        <v>10662</v>
      </c>
      <c r="BN399" s="281"/>
      <c r="BO399" s="284">
        <v>13958</v>
      </c>
      <c r="BP399" s="281"/>
      <c r="BQ399" s="284">
        <v>12142</v>
      </c>
      <c r="BR399" s="281"/>
      <c r="BS399" s="284">
        <v>17787</v>
      </c>
      <c r="BT399" s="281"/>
      <c r="BU399" s="284">
        <v>16893</v>
      </c>
      <c r="BV399" s="281"/>
      <c r="BW399" s="284">
        <v>16479</v>
      </c>
      <c r="BX399" s="281"/>
      <c r="BY399" s="284">
        <v>20615</v>
      </c>
      <c r="BZ399" s="281"/>
      <c r="CA399" s="284">
        <v>37498</v>
      </c>
      <c r="CB399" s="281"/>
      <c r="CC399" s="284">
        <v>34480</v>
      </c>
      <c r="CD399" s="281"/>
      <c r="CE399" s="284">
        <v>13588</v>
      </c>
      <c r="CF399" s="281"/>
      <c r="CG399" s="284">
        <v>26676</v>
      </c>
      <c r="CH399" s="281"/>
      <c r="CI399" s="284">
        <v>29866</v>
      </c>
      <c r="CJ399" s="281"/>
      <c r="CK399" s="284">
        <v>13005</v>
      </c>
      <c r="CL399" s="281"/>
      <c r="CM399" s="284">
        <v>11593</v>
      </c>
      <c r="CN399" s="281"/>
      <c r="CO399" s="284">
        <v>15526</v>
      </c>
      <c r="CP399" s="281"/>
      <c r="CQ399" s="284">
        <v>15815</v>
      </c>
      <c r="CR399" s="281"/>
      <c r="CS399" s="284">
        <v>21935</v>
      </c>
      <c r="CT399" s="281"/>
      <c r="CU399" s="284">
        <v>23471</v>
      </c>
      <c r="CV399" s="281"/>
      <c r="CW399" s="284">
        <v>26084</v>
      </c>
      <c r="CX399" s="281"/>
      <c r="CY399" s="284">
        <v>37381</v>
      </c>
      <c r="CZ399" s="281"/>
      <c r="DA399" s="284">
        <v>27576</v>
      </c>
      <c r="DB399" s="281"/>
      <c r="DC399" s="284">
        <v>27576</v>
      </c>
      <c r="DD399" s="281"/>
      <c r="DE399" s="284">
        <v>29549</v>
      </c>
      <c r="DF399" s="281"/>
      <c r="DG399" s="284">
        <v>27748</v>
      </c>
      <c r="DH399" s="281"/>
      <c r="DI399" s="284">
        <v>27748</v>
      </c>
      <c r="DJ399" s="281"/>
      <c r="DK399" s="284">
        <v>23844</v>
      </c>
      <c r="DL399" s="281"/>
      <c r="DM399" s="284">
        <v>22179</v>
      </c>
      <c r="DN399" s="281"/>
      <c r="DO399" s="284">
        <v>27606</v>
      </c>
      <c r="DP399" s="281"/>
      <c r="DQ399" s="284">
        <v>26617</v>
      </c>
      <c r="DR399" s="281"/>
      <c r="DS399" s="284">
        <v>14552</v>
      </c>
      <c r="DT399" s="281"/>
      <c r="DU399" s="301"/>
      <c r="DV399" s="301"/>
      <c r="DW399" s="301"/>
      <c r="DX399" s="301"/>
      <c r="DY399" s="301"/>
      <c r="DZ399" s="301"/>
      <c r="EA399" s="301"/>
      <c r="EB399" s="301"/>
      <c r="EC399" s="301"/>
      <c r="ED399" s="301"/>
      <c r="EE399" s="301"/>
      <c r="EF399" s="301"/>
      <c r="EG399" s="301"/>
      <c r="EH399" s="301"/>
      <c r="EI399" s="301"/>
      <c r="EJ399" s="301"/>
      <c r="EK399" s="301"/>
      <c r="EL399" s="301"/>
      <c r="EM399" s="301"/>
      <c r="EN399" s="332">
        <v>15803</v>
      </c>
      <c r="EO399" s="404"/>
      <c r="EP399" s="284">
        <v>22030</v>
      </c>
      <c r="EQ399" s="281"/>
      <c r="ER399" s="284">
        <v>20144</v>
      </c>
      <c r="ES399" s="281"/>
      <c r="ET399" s="284">
        <v>15560</v>
      </c>
      <c r="EU399" s="281"/>
      <c r="EV399" s="284">
        <v>25934</v>
      </c>
      <c r="EW399" s="281"/>
      <c r="EX399" s="284">
        <v>23100</v>
      </c>
      <c r="EY399" s="281"/>
      <c r="EZ399" s="284">
        <v>19758</v>
      </c>
      <c r="FA399" s="281"/>
      <c r="FB399" s="284">
        <v>22531</v>
      </c>
      <c r="FC399" s="281"/>
      <c r="FD399" s="284">
        <v>20680</v>
      </c>
      <c r="FE399" s="281"/>
      <c r="FF399" s="284">
        <v>14395</v>
      </c>
      <c r="FG399" s="281"/>
      <c r="FH399" s="284">
        <v>16681</v>
      </c>
      <c r="FI399" s="281"/>
      <c r="FJ399" s="284">
        <v>10802</v>
      </c>
      <c r="FK399" s="281"/>
      <c r="FL399" s="284">
        <v>10285</v>
      </c>
      <c r="FM399" s="281"/>
      <c r="FN399" s="284">
        <v>5481</v>
      </c>
      <c r="FO399" s="281"/>
      <c r="FP399" s="284">
        <v>645</v>
      </c>
      <c r="FQ399" s="281"/>
      <c r="FR399" s="301"/>
      <c r="FS399" s="301"/>
      <c r="FT399" s="301"/>
      <c r="FU399" s="301"/>
      <c r="FV399" s="301"/>
      <c r="FW399" s="301"/>
      <c r="FX399" s="301"/>
      <c r="FY399" s="301"/>
      <c r="FZ399" s="301"/>
      <c r="GA399" s="301"/>
      <c r="GB399" s="301"/>
      <c r="GC399" s="301"/>
      <c r="GD399" s="301"/>
      <c r="GE399" s="301"/>
      <c r="GF399" s="301"/>
      <c r="GG399" s="301"/>
    </row>
    <row r="400" spans="1:189" ht="15" customHeight="1" outlineLevel="1" x14ac:dyDescent="0.3">
      <c r="A400" s="1"/>
      <c r="B400" s="301"/>
      <c r="C400" s="301"/>
      <c r="D400" s="301"/>
      <c r="E400" s="301"/>
      <c r="F400" s="301"/>
      <c r="G400" s="5" t="s">
        <v>304</v>
      </c>
      <c r="H400" s="5"/>
      <c r="I400" s="23">
        <f t="shared" ref="I400:AH400" si="841">SUM(I401:I403)</f>
        <v>17684</v>
      </c>
      <c r="J400" s="30">
        <f t="shared" si="841"/>
        <v>1</v>
      </c>
      <c r="K400" s="23">
        <f t="shared" si="841"/>
        <v>500</v>
      </c>
      <c r="L400" s="30">
        <f t="shared" si="841"/>
        <v>1</v>
      </c>
      <c r="M400" s="23">
        <f t="shared" si="841"/>
        <v>758</v>
      </c>
      <c r="N400" s="30">
        <f t="shared" si="841"/>
        <v>1</v>
      </c>
      <c r="O400" s="23">
        <f t="shared" si="841"/>
        <v>1366</v>
      </c>
      <c r="P400" s="30">
        <f t="shared" si="841"/>
        <v>1</v>
      </c>
      <c r="Q400" s="23">
        <f t="shared" si="841"/>
        <v>1705</v>
      </c>
      <c r="R400" s="30">
        <f t="shared" si="841"/>
        <v>1</v>
      </c>
      <c r="S400" s="23">
        <f t="shared" si="841"/>
        <v>4265</v>
      </c>
      <c r="T400" s="30">
        <f t="shared" si="841"/>
        <v>1</v>
      </c>
      <c r="U400" s="23">
        <f t="shared" si="841"/>
        <v>2334</v>
      </c>
      <c r="V400" s="30">
        <f t="shared" si="841"/>
        <v>1</v>
      </c>
      <c r="W400" s="23">
        <f t="shared" si="841"/>
        <v>2363</v>
      </c>
      <c r="X400" s="30">
        <f t="shared" si="841"/>
        <v>1</v>
      </c>
      <c r="Y400" s="23">
        <f t="shared" si="841"/>
        <v>1962</v>
      </c>
      <c r="Z400" s="30">
        <f t="shared" si="841"/>
        <v>1</v>
      </c>
      <c r="AA400" s="23">
        <f t="shared" si="841"/>
        <v>1397</v>
      </c>
      <c r="AB400" s="30">
        <f t="shared" si="841"/>
        <v>1</v>
      </c>
      <c r="AC400" s="23">
        <f t="shared" si="841"/>
        <v>1281</v>
      </c>
      <c r="AD400" s="30">
        <f t="shared" si="841"/>
        <v>1</v>
      </c>
      <c r="AE400" s="23">
        <f t="shared" si="841"/>
        <v>799</v>
      </c>
      <c r="AF400" s="30">
        <f t="shared" si="841"/>
        <v>1</v>
      </c>
      <c r="AG400" s="23">
        <f t="shared" si="841"/>
        <v>659</v>
      </c>
      <c r="AH400" s="30">
        <f t="shared" si="841"/>
        <v>1</v>
      </c>
      <c r="AI400" s="23">
        <f t="shared" ref="AI400:BN400" si="842">AI401+AI403</f>
        <v>448</v>
      </c>
      <c r="AJ400" s="30">
        <f t="shared" si="842"/>
        <v>1</v>
      </c>
      <c r="AK400" s="23">
        <f t="shared" si="842"/>
        <v>569</v>
      </c>
      <c r="AL400" s="30">
        <f t="shared" si="842"/>
        <v>1</v>
      </c>
      <c r="AM400" s="23">
        <f t="shared" si="842"/>
        <v>364</v>
      </c>
      <c r="AN400" s="30">
        <f t="shared" si="842"/>
        <v>1</v>
      </c>
      <c r="AO400" s="23">
        <f t="shared" si="842"/>
        <v>57</v>
      </c>
      <c r="AP400" s="30">
        <f t="shared" si="842"/>
        <v>1</v>
      </c>
      <c r="AQ400" s="23">
        <f t="shared" si="842"/>
        <v>55</v>
      </c>
      <c r="AR400" s="30">
        <f t="shared" si="842"/>
        <v>1</v>
      </c>
      <c r="AS400" s="23">
        <f t="shared" si="842"/>
        <v>1459</v>
      </c>
      <c r="AT400" s="30">
        <f t="shared" si="842"/>
        <v>1</v>
      </c>
      <c r="AU400" s="23">
        <f t="shared" si="842"/>
        <v>1830</v>
      </c>
      <c r="AV400" s="30">
        <f t="shared" si="842"/>
        <v>1</v>
      </c>
      <c r="AW400" s="23">
        <f t="shared" si="842"/>
        <v>2304</v>
      </c>
      <c r="AX400" s="30">
        <f t="shared" si="842"/>
        <v>1</v>
      </c>
      <c r="AY400" s="23">
        <f t="shared" si="842"/>
        <v>2478</v>
      </c>
      <c r="AZ400" s="30">
        <f t="shared" si="842"/>
        <v>1</v>
      </c>
      <c r="BA400" s="23">
        <f t="shared" si="842"/>
        <v>1956</v>
      </c>
      <c r="BB400" s="30">
        <f t="shared" si="842"/>
        <v>1</v>
      </c>
      <c r="BC400" s="23">
        <f t="shared" si="842"/>
        <v>2094</v>
      </c>
      <c r="BD400" s="30">
        <f t="shared" si="842"/>
        <v>1</v>
      </c>
      <c r="BE400" s="23">
        <f t="shared" si="842"/>
        <v>1710</v>
      </c>
      <c r="BF400" s="30">
        <f t="shared" si="842"/>
        <v>1</v>
      </c>
      <c r="BG400" s="23">
        <f t="shared" si="842"/>
        <v>1081</v>
      </c>
      <c r="BH400" s="30">
        <f t="shared" si="842"/>
        <v>1</v>
      </c>
      <c r="BI400" s="23">
        <f t="shared" si="842"/>
        <v>1255</v>
      </c>
      <c r="BJ400" s="30">
        <f t="shared" si="842"/>
        <v>1</v>
      </c>
      <c r="BK400" s="23">
        <f t="shared" si="842"/>
        <v>1324</v>
      </c>
      <c r="BL400" s="30">
        <f t="shared" si="842"/>
        <v>1</v>
      </c>
      <c r="BM400" s="23">
        <f t="shared" si="842"/>
        <v>1073</v>
      </c>
      <c r="BN400" s="30">
        <f t="shared" si="842"/>
        <v>1</v>
      </c>
      <c r="BO400" s="23">
        <f t="shared" ref="BO400:CT400" si="843">BO401+BO403</f>
        <v>1710</v>
      </c>
      <c r="BP400" s="30">
        <f t="shared" si="843"/>
        <v>1</v>
      </c>
      <c r="BQ400" s="23">
        <f t="shared" si="843"/>
        <v>1548</v>
      </c>
      <c r="BR400" s="30">
        <f t="shared" si="843"/>
        <v>1</v>
      </c>
      <c r="BS400" s="23">
        <f t="shared" si="843"/>
        <v>2829</v>
      </c>
      <c r="BT400" s="30">
        <f t="shared" si="843"/>
        <v>1</v>
      </c>
      <c r="BU400" s="23">
        <f t="shared" si="843"/>
        <v>3011</v>
      </c>
      <c r="BV400" s="30">
        <f t="shared" si="843"/>
        <v>1</v>
      </c>
      <c r="BW400" s="23">
        <f t="shared" si="843"/>
        <v>3488</v>
      </c>
      <c r="BX400" s="30">
        <f t="shared" si="843"/>
        <v>1</v>
      </c>
      <c r="BY400" s="23">
        <f t="shared" si="843"/>
        <v>3196</v>
      </c>
      <c r="BZ400" s="30">
        <f t="shared" si="843"/>
        <v>1</v>
      </c>
      <c r="CA400" s="23">
        <f t="shared" si="843"/>
        <v>4182</v>
      </c>
      <c r="CB400" s="30">
        <f t="shared" si="843"/>
        <v>1</v>
      </c>
      <c r="CC400" s="23">
        <f t="shared" si="843"/>
        <v>3834</v>
      </c>
      <c r="CD400" s="30">
        <f t="shared" si="843"/>
        <v>1</v>
      </c>
      <c r="CE400" s="23">
        <f t="shared" si="843"/>
        <v>4027</v>
      </c>
      <c r="CF400" s="30">
        <f t="shared" si="843"/>
        <v>1</v>
      </c>
      <c r="CG400" s="23">
        <f t="shared" si="843"/>
        <v>3158</v>
      </c>
      <c r="CH400" s="30">
        <f t="shared" si="843"/>
        <v>1</v>
      </c>
      <c r="CI400" s="23">
        <f t="shared" si="843"/>
        <v>1898</v>
      </c>
      <c r="CJ400" s="30">
        <f t="shared" si="843"/>
        <v>1</v>
      </c>
      <c r="CK400" s="23">
        <f t="shared" si="843"/>
        <v>1056</v>
      </c>
      <c r="CL400" s="30">
        <f t="shared" si="843"/>
        <v>1</v>
      </c>
      <c r="CM400" s="23">
        <f t="shared" si="843"/>
        <v>961</v>
      </c>
      <c r="CN400" s="30">
        <f t="shared" si="843"/>
        <v>1</v>
      </c>
      <c r="CO400" s="23">
        <f t="shared" si="843"/>
        <v>810</v>
      </c>
      <c r="CP400" s="30">
        <f t="shared" si="843"/>
        <v>1</v>
      </c>
      <c r="CQ400" s="23">
        <f t="shared" si="843"/>
        <v>1296</v>
      </c>
      <c r="CR400" s="30">
        <f t="shared" si="843"/>
        <v>1</v>
      </c>
      <c r="CS400" s="23">
        <f t="shared" si="843"/>
        <v>1630</v>
      </c>
      <c r="CT400" s="30">
        <f t="shared" si="843"/>
        <v>1</v>
      </c>
      <c r="CU400" s="23">
        <f t="shared" ref="CU400:DB400" si="844">CU401+CU403</f>
        <v>1692</v>
      </c>
      <c r="CV400" s="30">
        <f t="shared" si="844"/>
        <v>1</v>
      </c>
      <c r="CW400" s="23">
        <f t="shared" si="844"/>
        <v>2348</v>
      </c>
      <c r="CX400" s="30">
        <f t="shared" si="844"/>
        <v>1</v>
      </c>
      <c r="CY400" s="23">
        <f t="shared" si="844"/>
        <v>1793</v>
      </c>
      <c r="CZ400" s="30">
        <f t="shared" si="844"/>
        <v>1</v>
      </c>
      <c r="DA400" s="23">
        <f t="shared" si="844"/>
        <v>1447</v>
      </c>
      <c r="DB400" s="30">
        <f t="shared" si="844"/>
        <v>1</v>
      </c>
      <c r="DC400" s="23">
        <f>DC401+DC403+DC402+DC404+DC405</f>
        <v>2857</v>
      </c>
      <c r="DD400" s="30">
        <f>SUM(DD401:DD405)</f>
        <v>1</v>
      </c>
      <c r="DE400" s="23">
        <f>DE401+DE403+DE402+DE404+DE405</f>
        <v>3178</v>
      </c>
      <c r="DF400" s="30">
        <f>SUM(DF401:DF405)</f>
        <v>1.0000000000000002</v>
      </c>
      <c r="DG400" s="23">
        <f>DG401+DG403+DG402+DG404+DG405</f>
        <v>3512</v>
      </c>
      <c r="DH400" s="30">
        <f>SUM(DH401:DH405)</f>
        <v>1</v>
      </c>
      <c r="DI400" s="23">
        <f>DI401+DI403+DI402+DI404+DI405</f>
        <v>3082</v>
      </c>
      <c r="DJ400" s="30">
        <f>SUM(DJ401:DJ405)</f>
        <v>1</v>
      </c>
      <c r="DK400" s="23">
        <f>DK401+DK403+DK402+DK404+DK405</f>
        <v>3168</v>
      </c>
      <c r="DL400" s="30">
        <f>SUM(DL401:DL405)</f>
        <v>1</v>
      </c>
      <c r="DM400" s="23">
        <f>DM401+DM403+DM402+DM404+DM405</f>
        <v>5299</v>
      </c>
      <c r="DN400" s="30">
        <f>SUM(DN401:DN405)</f>
        <v>1</v>
      </c>
      <c r="DO400" s="23">
        <f>DO401+DO403+DO402+DO404+DO405</f>
        <v>3703</v>
      </c>
      <c r="DP400" s="30">
        <f>SUM(DP401:DP405)</f>
        <v>1</v>
      </c>
      <c r="DQ400" s="23">
        <f>DQ401+DQ403+DQ402+DQ404+DQ405</f>
        <v>3314</v>
      </c>
      <c r="DR400" s="30">
        <f>SUM(DR401:DR405)</f>
        <v>1</v>
      </c>
      <c r="DS400" s="23">
        <f>DS401+DS403+DS402+DS404+DS405</f>
        <v>2229</v>
      </c>
      <c r="DT400" s="30">
        <f>SUM(DT401:DT405)</f>
        <v>1</v>
      </c>
      <c r="DU400" s="301"/>
      <c r="DV400" s="301"/>
      <c r="DW400" s="301"/>
      <c r="DX400" s="301"/>
      <c r="DY400" s="301"/>
      <c r="DZ400" s="301"/>
      <c r="EA400" s="301"/>
      <c r="EB400" s="301"/>
      <c r="EC400" s="301"/>
      <c r="ED400" s="301"/>
      <c r="EE400" s="301"/>
      <c r="EF400" s="301"/>
      <c r="EG400" s="301"/>
      <c r="EH400" s="301"/>
      <c r="EI400" s="301"/>
      <c r="EJ400" s="301"/>
      <c r="EK400" s="301"/>
      <c r="EL400" s="301"/>
      <c r="EM400" s="301"/>
      <c r="EN400" s="23">
        <f>EN401+EN403+EN402+EN404+EN405</f>
        <v>2031</v>
      </c>
      <c r="EO400" s="30">
        <f>SUM(EO401:EO405)</f>
        <v>1</v>
      </c>
      <c r="EP400" s="23">
        <f>EP401+EP403+EP402+EP404+EP405</f>
        <v>2239</v>
      </c>
      <c r="EQ400" s="30">
        <f>SUM(EQ401:EQ405)</f>
        <v>1</v>
      </c>
      <c r="ER400" s="23">
        <f>ER401+ER403+ER402+ER404+ER405</f>
        <v>1939</v>
      </c>
      <c r="ES400" s="30">
        <f>SUM(ES401:ES405)</f>
        <v>1</v>
      </c>
      <c r="ET400" s="23">
        <f>ET401+ET403+ET402+ET404+ET405</f>
        <v>3306</v>
      </c>
      <c r="EU400" s="30">
        <f>SUM(EU401:EU405)</f>
        <v>1</v>
      </c>
      <c r="EV400" s="23">
        <f>EV401+EV403+EV402+EV404+EV405</f>
        <v>4357</v>
      </c>
      <c r="EW400" s="30">
        <f>SUM(EW401:EW405)</f>
        <v>1</v>
      </c>
      <c r="EX400" s="23">
        <f>EX401+EX403+EX402+EX404+EX405</f>
        <v>2545</v>
      </c>
      <c r="EY400" s="30">
        <f>SUM(EY401:EY405)</f>
        <v>1</v>
      </c>
      <c r="EZ400" s="23">
        <f>EZ401+EZ403+EZ402+EZ404+EZ405</f>
        <v>2552</v>
      </c>
      <c r="FA400" s="30">
        <f>SUM(FA401:FA405)</f>
        <v>1</v>
      </c>
      <c r="FB400" s="23">
        <f>FB401+FB403+FB402+FB404+FB405</f>
        <v>2562</v>
      </c>
      <c r="FC400" s="30">
        <f>SUM(FC401:FC405)</f>
        <v>1</v>
      </c>
      <c r="FD400" s="23">
        <f>FD401+FD403+FD402+FD404+FD405</f>
        <v>2211</v>
      </c>
      <c r="FE400" s="30">
        <f>SUM(FE401:FE405)</f>
        <v>1</v>
      </c>
      <c r="FF400" s="23">
        <f>FF401+FF403+FF402+FF404+FF405</f>
        <v>2243</v>
      </c>
      <c r="FG400" s="30">
        <f>SUM(FG401:FG405)</f>
        <v>1</v>
      </c>
      <c r="FH400" s="23">
        <f>FH401+FH403+FH402+FH404+FH405</f>
        <v>2820</v>
      </c>
      <c r="FI400" s="30">
        <f>SUM(FI401:FI405)</f>
        <v>1</v>
      </c>
      <c r="FJ400" s="23">
        <f>FJ401+FJ403+FJ402+FJ404+FJ405</f>
        <v>1879</v>
      </c>
      <c r="FK400" s="30">
        <f>SUM(FK401:FK405)</f>
        <v>1</v>
      </c>
      <c r="FL400" s="23">
        <f>FL401+FL403+FL402+FL404+FL405</f>
        <v>1359</v>
      </c>
      <c r="FM400" s="30">
        <f>SUM(FM401:FM405)</f>
        <v>1</v>
      </c>
      <c r="FN400" s="23">
        <f>FN401+FN403+FN402+FN404+FN405</f>
        <v>795</v>
      </c>
      <c r="FO400" s="30">
        <f>SUM(FO401:FO405)</f>
        <v>1</v>
      </c>
      <c r="FP400" s="23">
        <v>298</v>
      </c>
      <c r="FQ400" s="30">
        <f>SUM(FQ401:FQ405)</f>
        <v>1</v>
      </c>
      <c r="FR400" s="301"/>
      <c r="FS400" s="301"/>
      <c r="FT400" s="301"/>
      <c r="FU400" s="301"/>
      <c r="FV400" s="301"/>
      <c r="FW400" s="301"/>
      <c r="FX400" s="301"/>
      <c r="FY400" s="301"/>
      <c r="FZ400" s="301"/>
      <c r="GA400" s="301"/>
      <c r="GB400" s="301"/>
      <c r="GC400" s="301"/>
      <c r="GD400" s="301"/>
      <c r="GE400" s="301"/>
      <c r="GF400" s="301"/>
      <c r="GG400" s="301"/>
    </row>
    <row r="401" spans="1:189" ht="15" customHeight="1" outlineLevel="2" x14ac:dyDescent="0.3">
      <c r="A401" s="1"/>
      <c r="B401" s="301"/>
      <c r="C401" s="301"/>
      <c r="D401" s="301"/>
      <c r="E401" s="301"/>
      <c r="F401" s="301"/>
      <c r="G401" s="5" t="s">
        <v>305</v>
      </c>
      <c r="H401" s="5"/>
      <c r="I401" s="23">
        <f t="shared" ref="I401:I405" si="845">AG401+AE401+AC401+AA401+Y401+W401+U401+S401+O401+M401+K401</f>
        <v>6599</v>
      </c>
      <c r="J401" s="30">
        <f>I401/I400</f>
        <v>0.37316218050214883</v>
      </c>
      <c r="K401" s="23">
        <v>229</v>
      </c>
      <c r="L401" s="30">
        <f>K401/K400</f>
        <v>0.45800000000000002</v>
      </c>
      <c r="M401" s="23">
        <v>328</v>
      </c>
      <c r="N401" s="30">
        <f>M401/M400</f>
        <v>0.43271767810026385</v>
      </c>
      <c r="O401" s="23">
        <v>468</v>
      </c>
      <c r="P401" s="30">
        <f>O401/O400</f>
        <v>0.34260614934114203</v>
      </c>
      <c r="Q401" s="23">
        <v>483</v>
      </c>
      <c r="R401" s="30">
        <f>Q401/Q400</f>
        <v>0.28328445747800585</v>
      </c>
      <c r="S401" s="23">
        <v>2354</v>
      </c>
      <c r="T401" s="30">
        <f>S401/S400</f>
        <v>0.5519343493552169</v>
      </c>
      <c r="U401" s="23">
        <v>711</v>
      </c>
      <c r="V401" s="30">
        <f>U401/U400</f>
        <v>0.30462724935732649</v>
      </c>
      <c r="W401" s="23">
        <v>706</v>
      </c>
      <c r="X401" s="30">
        <f>W401/W400</f>
        <v>0.29877274650867541</v>
      </c>
      <c r="Y401" s="23">
        <v>458</v>
      </c>
      <c r="Z401" s="30">
        <f>Y401/Y400</f>
        <v>0.23343527013251783</v>
      </c>
      <c r="AA401" s="23">
        <v>392</v>
      </c>
      <c r="AB401" s="30">
        <f>AA401/AA400</f>
        <v>0.28060128847530424</v>
      </c>
      <c r="AC401" s="23">
        <v>315</v>
      </c>
      <c r="AD401" s="30">
        <f>AC401/AC400</f>
        <v>0.24590163934426229</v>
      </c>
      <c r="AE401" s="23">
        <v>276</v>
      </c>
      <c r="AF401" s="30">
        <f>AE401/AE400</f>
        <v>0.34543178973717148</v>
      </c>
      <c r="AG401" s="23">
        <v>362</v>
      </c>
      <c r="AH401" s="30">
        <f>AG401/AG400</f>
        <v>0.54931714719271618</v>
      </c>
      <c r="AI401" s="23">
        <v>147</v>
      </c>
      <c r="AJ401" s="30">
        <f>AI401/AI400</f>
        <v>0.328125</v>
      </c>
      <c r="AK401" s="23">
        <v>173</v>
      </c>
      <c r="AL401" s="30">
        <f>AK401/AK400</f>
        <v>0.30404217926186294</v>
      </c>
      <c r="AM401" s="23">
        <v>75</v>
      </c>
      <c r="AN401" s="30">
        <f>AM401/AM400</f>
        <v>0.20604395604395603</v>
      </c>
      <c r="AO401" s="23">
        <v>21</v>
      </c>
      <c r="AP401" s="30">
        <f>AO401/AO400</f>
        <v>0.36842105263157893</v>
      </c>
      <c r="AQ401" s="23">
        <v>3</v>
      </c>
      <c r="AR401" s="30">
        <f>AQ401/AQ400</f>
        <v>5.4545454545454543E-2</v>
      </c>
      <c r="AS401" s="23">
        <v>609</v>
      </c>
      <c r="AT401" s="30">
        <f>AS401/AS400</f>
        <v>0.41740918437285812</v>
      </c>
      <c r="AU401" s="23">
        <v>189</v>
      </c>
      <c r="AV401" s="30">
        <f>AU401/AU400</f>
        <v>0.10327868852459017</v>
      </c>
      <c r="AW401" s="23">
        <v>201</v>
      </c>
      <c r="AX401" s="30">
        <f>AW401/AW400</f>
        <v>8.7239583333333329E-2</v>
      </c>
      <c r="AY401" s="23">
        <v>291</v>
      </c>
      <c r="AZ401" s="30">
        <f>AY401/AY400</f>
        <v>0.11743341404358354</v>
      </c>
      <c r="BA401" s="23">
        <v>229</v>
      </c>
      <c r="BB401" s="30">
        <f>BA401/BA400</f>
        <v>0.11707566462167689</v>
      </c>
      <c r="BC401" s="23">
        <v>278</v>
      </c>
      <c r="BD401" s="30">
        <f>BC401/BC400</f>
        <v>0.13276026743075453</v>
      </c>
      <c r="BE401" s="23">
        <v>192</v>
      </c>
      <c r="BF401" s="30">
        <f>BE401/BE400</f>
        <v>0.11228070175438597</v>
      </c>
      <c r="BG401" s="23">
        <v>153</v>
      </c>
      <c r="BH401" s="30">
        <f>BG401/BG400</f>
        <v>0.14153561517113783</v>
      </c>
      <c r="BI401" s="23">
        <v>206</v>
      </c>
      <c r="BJ401" s="30">
        <f>BI401/BI400</f>
        <v>0.1641434262948207</v>
      </c>
      <c r="BK401" s="23">
        <v>199</v>
      </c>
      <c r="BL401" s="30">
        <f>BK401/BK400</f>
        <v>0.15030211480362538</v>
      </c>
      <c r="BM401" s="23">
        <v>133</v>
      </c>
      <c r="BN401" s="30">
        <f>BM401/BM400</f>
        <v>0.1239515377446412</v>
      </c>
      <c r="BO401" s="23">
        <v>254</v>
      </c>
      <c r="BP401" s="30">
        <f>BO401/BO400</f>
        <v>0.14853801169590644</v>
      </c>
      <c r="BQ401" s="23">
        <v>314</v>
      </c>
      <c r="BR401" s="30">
        <f>BQ401/BQ400</f>
        <v>0.20284237726098192</v>
      </c>
      <c r="BS401" s="23">
        <v>402</v>
      </c>
      <c r="BT401" s="30">
        <f>BS401/BS400</f>
        <v>0.14209968186638389</v>
      </c>
      <c r="BU401" s="23">
        <v>461</v>
      </c>
      <c r="BV401" s="30">
        <f>BU401/BU400</f>
        <v>0.15310528063766191</v>
      </c>
      <c r="BW401" s="23">
        <v>403</v>
      </c>
      <c r="BX401" s="30">
        <f>BW401/BW400</f>
        <v>0.11553899082568807</v>
      </c>
      <c r="BY401" s="23">
        <v>452</v>
      </c>
      <c r="BZ401" s="30">
        <f>BY401/BY400</f>
        <v>0.1414267834793492</v>
      </c>
      <c r="CA401" s="23">
        <v>634</v>
      </c>
      <c r="CB401" s="30">
        <f>CA401/CA400</f>
        <v>0.15160210425633669</v>
      </c>
      <c r="CC401" s="23">
        <v>597</v>
      </c>
      <c r="CD401" s="30">
        <f>CC401/CC400</f>
        <v>0.15571205007824726</v>
      </c>
      <c r="CE401" s="28">
        <v>377</v>
      </c>
      <c r="CF401" s="30">
        <f>CE401/CE400</f>
        <v>9.3618077973677674E-2</v>
      </c>
      <c r="CG401" s="28">
        <v>934</v>
      </c>
      <c r="CH401" s="30">
        <f>CG401/CG400</f>
        <v>0.29575680810639643</v>
      </c>
      <c r="CI401" s="28">
        <v>304</v>
      </c>
      <c r="CJ401" s="30">
        <f>CI401/CI400</f>
        <v>0.1601685985247629</v>
      </c>
      <c r="CK401" s="28">
        <v>141</v>
      </c>
      <c r="CL401" s="30">
        <f>CK401/CK400</f>
        <v>0.13352272727272727</v>
      </c>
      <c r="CM401" s="28">
        <v>124</v>
      </c>
      <c r="CN401" s="30">
        <f>CM401/CM400</f>
        <v>0.12903225806451613</v>
      </c>
      <c r="CO401" s="28">
        <v>102</v>
      </c>
      <c r="CP401" s="30">
        <f>CO401/CO400</f>
        <v>0.12592592592592591</v>
      </c>
      <c r="CQ401" s="28">
        <v>135</v>
      </c>
      <c r="CR401" s="30">
        <f>CQ401/CQ400</f>
        <v>0.10416666666666667</v>
      </c>
      <c r="CS401" s="28">
        <v>183</v>
      </c>
      <c r="CT401" s="30">
        <f>CS401/CS400</f>
        <v>0.11226993865030675</v>
      </c>
      <c r="CU401" s="28">
        <v>201</v>
      </c>
      <c r="CV401" s="30">
        <f>CU401/CU400</f>
        <v>0.11879432624113476</v>
      </c>
      <c r="CW401" s="96">
        <f>AVERAGE(CQ401,CS401,CU401)</f>
        <v>173</v>
      </c>
      <c r="CX401" s="30">
        <f>CW401/CW400</f>
        <v>7.3679727427597957E-2</v>
      </c>
      <c r="CY401" s="177">
        <v>241</v>
      </c>
      <c r="CZ401" s="30">
        <f>CY401/CY400</f>
        <v>0.13441160066926938</v>
      </c>
      <c r="DA401" s="177">
        <v>158</v>
      </c>
      <c r="DB401" s="30">
        <f>DA401/DA400</f>
        <v>0.10919143054595715</v>
      </c>
      <c r="DC401" s="177">
        <v>133</v>
      </c>
      <c r="DD401" s="30">
        <f>DC401/DC400</f>
        <v>4.6552327616380819E-2</v>
      </c>
      <c r="DE401" s="177">
        <v>142</v>
      </c>
      <c r="DF401" s="30">
        <f>DE401/DE400</f>
        <v>4.4682190056639398E-2</v>
      </c>
      <c r="DG401" s="177">
        <v>167</v>
      </c>
      <c r="DH401" s="30">
        <f>DG401/DG400</f>
        <v>4.7551252847380411E-2</v>
      </c>
      <c r="DI401" s="177">
        <v>160</v>
      </c>
      <c r="DJ401" s="30">
        <f>DI401/DI400</f>
        <v>5.191434133679429E-2</v>
      </c>
      <c r="DK401" s="177">
        <v>234</v>
      </c>
      <c r="DL401" s="30">
        <f>DK401/DK400</f>
        <v>7.3863636363636367E-2</v>
      </c>
      <c r="DM401" s="177">
        <v>349</v>
      </c>
      <c r="DN401" s="30">
        <f>DM401/DM400</f>
        <v>6.5861483298735604E-2</v>
      </c>
      <c r="DO401" s="177">
        <v>274</v>
      </c>
      <c r="DP401" s="30">
        <f>DO401/DO400</f>
        <v>7.3994058871185528E-2</v>
      </c>
      <c r="DQ401" s="177">
        <v>223</v>
      </c>
      <c r="DR401" s="30">
        <f>DQ401/DQ400</f>
        <v>6.7290283645141821E-2</v>
      </c>
      <c r="DS401" s="177">
        <v>131</v>
      </c>
      <c r="DT401" s="30">
        <f>DS401/DS400</f>
        <v>5.8770749214894571E-2</v>
      </c>
      <c r="DU401" s="301"/>
      <c r="DV401" s="301"/>
      <c r="DW401" s="301"/>
      <c r="DX401" s="301"/>
      <c r="DY401" s="301"/>
      <c r="DZ401" s="301"/>
      <c r="EA401" s="301"/>
      <c r="EB401" s="301"/>
      <c r="EC401" s="301"/>
      <c r="ED401" s="301"/>
      <c r="EE401" s="301"/>
      <c r="EF401" s="301"/>
      <c r="EG401" s="301"/>
      <c r="EH401" s="301"/>
      <c r="EI401" s="301"/>
      <c r="EJ401" s="301"/>
      <c r="EK401" s="301"/>
      <c r="EL401" s="301"/>
      <c r="EM401" s="301"/>
      <c r="EN401" s="177">
        <v>118</v>
      </c>
      <c r="EO401" s="30">
        <f>EN401/EN400</f>
        <v>5.8099458394879372E-2</v>
      </c>
      <c r="EP401" s="177">
        <v>137</v>
      </c>
      <c r="EQ401" s="30">
        <f>EP401/EP400</f>
        <v>6.1188030370701203E-2</v>
      </c>
      <c r="ER401" s="177">
        <v>114</v>
      </c>
      <c r="ES401" s="30">
        <f>ER401/ER400</f>
        <v>5.8793192367199584E-2</v>
      </c>
      <c r="ET401" s="177">
        <v>149</v>
      </c>
      <c r="EU401" s="30">
        <f>ET401/ET400</f>
        <v>4.5069570477918937E-2</v>
      </c>
      <c r="EV401" s="177">
        <v>320</v>
      </c>
      <c r="EW401" s="30">
        <f>EV401/EV400</f>
        <v>7.3445030984622448E-2</v>
      </c>
      <c r="EX401" s="177"/>
      <c r="EY401" s="30">
        <f>EX401/EX400</f>
        <v>0</v>
      </c>
      <c r="EZ401" s="177"/>
      <c r="FA401" s="30">
        <f>EZ401/EZ400</f>
        <v>0</v>
      </c>
      <c r="FB401" s="177"/>
      <c r="FC401" s="30">
        <f>FB401/FB400</f>
        <v>0</v>
      </c>
      <c r="FD401" s="177"/>
      <c r="FE401" s="30">
        <f>FD401/FD400</f>
        <v>0</v>
      </c>
      <c r="FF401" s="177"/>
      <c r="FG401" s="30">
        <f>FF401/FF400</f>
        <v>0</v>
      </c>
      <c r="FH401" s="177"/>
      <c r="FI401" s="30">
        <f>FH401/FH400</f>
        <v>0</v>
      </c>
      <c r="FJ401" s="177"/>
      <c r="FK401" s="30">
        <f>FJ401/FJ400</f>
        <v>0</v>
      </c>
      <c r="FL401" s="177"/>
      <c r="FM401" s="30">
        <f>FL401/FL400</f>
        <v>0</v>
      </c>
      <c r="FN401" s="177"/>
      <c r="FO401" s="30">
        <f>FN401/FN400</f>
        <v>0</v>
      </c>
      <c r="FP401" s="177"/>
      <c r="FQ401" s="30">
        <f>FP401/FP400</f>
        <v>0</v>
      </c>
      <c r="FR401" s="301"/>
      <c r="FS401" s="301"/>
      <c r="FT401" s="301"/>
      <c r="FU401" s="301"/>
      <c r="FV401" s="301"/>
      <c r="FW401" s="301"/>
      <c r="FX401" s="301"/>
      <c r="FY401" s="301"/>
      <c r="FZ401" s="301"/>
      <c r="GA401" s="301"/>
      <c r="GB401" s="301"/>
      <c r="GC401" s="301"/>
      <c r="GD401" s="301"/>
      <c r="GE401" s="301"/>
      <c r="GF401" s="301"/>
      <c r="GG401" s="301"/>
    </row>
    <row r="402" spans="1:189" ht="15" customHeight="1" outlineLevel="2" x14ac:dyDescent="0.3">
      <c r="A402" s="1"/>
      <c r="B402" s="322"/>
      <c r="C402" s="322"/>
      <c r="D402" s="322"/>
      <c r="E402" s="322"/>
      <c r="F402" s="322"/>
      <c r="G402" s="5" t="s">
        <v>396</v>
      </c>
      <c r="H402" s="5"/>
      <c r="I402" s="23"/>
      <c r="J402" s="30"/>
      <c r="K402" s="23"/>
      <c r="L402" s="30"/>
      <c r="M402" s="23"/>
      <c r="N402" s="30"/>
      <c r="O402" s="23"/>
      <c r="P402" s="30"/>
      <c r="Q402" s="23"/>
      <c r="R402" s="30"/>
      <c r="S402" s="23"/>
      <c r="T402" s="30"/>
      <c r="U402" s="23"/>
      <c r="V402" s="30"/>
      <c r="W402" s="23"/>
      <c r="X402" s="30"/>
      <c r="Y402" s="23"/>
      <c r="Z402" s="30"/>
      <c r="AA402" s="23"/>
      <c r="AB402" s="30"/>
      <c r="AC402" s="23"/>
      <c r="AD402" s="30"/>
      <c r="AE402" s="23"/>
      <c r="AF402" s="30"/>
      <c r="AG402" s="23"/>
      <c r="AH402" s="30"/>
      <c r="AI402" s="23"/>
      <c r="AJ402" s="30"/>
      <c r="AK402" s="23"/>
      <c r="AL402" s="30"/>
      <c r="AM402" s="23"/>
      <c r="AN402" s="30"/>
      <c r="AO402" s="23"/>
      <c r="AP402" s="30"/>
      <c r="AQ402" s="23"/>
      <c r="AR402" s="30"/>
      <c r="AS402" s="23"/>
      <c r="AT402" s="30"/>
      <c r="AU402" s="23"/>
      <c r="AV402" s="30"/>
      <c r="AW402" s="23"/>
      <c r="AX402" s="30"/>
      <c r="AY402" s="23"/>
      <c r="AZ402" s="30"/>
      <c r="BA402" s="23"/>
      <c r="BB402" s="30"/>
      <c r="BC402" s="23"/>
      <c r="BD402" s="30"/>
      <c r="BE402" s="23"/>
      <c r="BF402" s="30"/>
      <c r="BG402" s="23"/>
      <c r="BH402" s="30"/>
      <c r="BI402" s="23"/>
      <c r="BJ402" s="30"/>
      <c r="BK402" s="23"/>
      <c r="BL402" s="30"/>
      <c r="BM402" s="23"/>
      <c r="BN402" s="30"/>
      <c r="BO402" s="23"/>
      <c r="BP402" s="30"/>
      <c r="BQ402" s="23"/>
      <c r="BR402" s="30"/>
      <c r="BS402" s="23"/>
      <c r="BT402" s="30"/>
      <c r="BU402" s="23"/>
      <c r="BV402" s="30"/>
      <c r="BW402" s="23"/>
      <c r="BX402" s="30"/>
      <c r="BY402" s="23"/>
      <c r="BZ402" s="30"/>
      <c r="CA402" s="23"/>
      <c r="CB402" s="30"/>
      <c r="CC402" s="23"/>
      <c r="CD402" s="30"/>
      <c r="CE402" s="28"/>
      <c r="CF402" s="30"/>
      <c r="CG402" s="28"/>
      <c r="CH402" s="30"/>
      <c r="CI402" s="28"/>
      <c r="CJ402" s="30"/>
      <c r="CK402" s="28"/>
      <c r="CL402" s="30"/>
      <c r="CM402" s="28"/>
      <c r="CN402" s="30"/>
      <c r="CO402" s="28"/>
      <c r="CP402" s="30"/>
      <c r="CQ402" s="28"/>
      <c r="CR402" s="30"/>
      <c r="CS402" s="28"/>
      <c r="CT402" s="30"/>
      <c r="CU402" s="28"/>
      <c r="CV402" s="30"/>
      <c r="CW402" s="96"/>
      <c r="CX402" s="30"/>
      <c r="CY402" s="177"/>
      <c r="CZ402" s="30"/>
      <c r="DA402" s="177"/>
      <c r="DB402" s="30"/>
      <c r="DC402" s="177">
        <v>1571</v>
      </c>
      <c r="DD402" s="30">
        <f>DC402/DC400</f>
        <v>0.54987749387469376</v>
      </c>
      <c r="DE402" s="177">
        <v>1679</v>
      </c>
      <c r="DF402" s="30">
        <f>DE402/DE400</f>
        <v>0.5283196979232222</v>
      </c>
      <c r="DG402" s="177">
        <v>1719</v>
      </c>
      <c r="DH402" s="30">
        <f>DG402/DG400</f>
        <v>0.48946469248291574</v>
      </c>
      <c r="DI402" s="177">
        <v>1663</v>
      </c>
      <c r="DJ402" s="30">
        <f>DI402/DI400</f>
        <v>0.5395846852693057</v>
      </c>
      <c r="DK402" s="177">
        <v>1380</v>
      </c>
      <c r="DL402" s="30">
        <f>DK402/DK400</f>
        <v>0.43560606060606061</v>
      </c>
      <c r="DM402" s="177">
        <v>2270</v>
      </c>
      <c r="DN402" s="30">
        <f>DM402/DM400</f>
        <v>0.42838271371956971</v>
      </c>
      <c r="DO402" s="177">
        <v>1456</v>
      </c>
      <c r="DP402" s="30">
        <f>DO402/DO400</f>
        <v>0.3931947069943289</v>
      </c>
      <c r="DQ402" s="177">
        <v>1269</v>
      </c>
      <c r="DR402" s="30">
        <f>DQ402/DQ400</f>
        <v>0.38292094146047073</v>
      </c>
      <c r="DS402" s="177">
        <v>977</v>
      </c>
      <c r="DT402" s="30">
        <f>DS402/DS400</f>
        <v>0.43831314490803053</v>
      </c>
      <c r="DU402" s="322"/>
      <c r="DV402" s="322"/>
      <c r="DW402" s="322"/>
      <c r="DX402" s="322"/>
      <c r="DY402" s="322"/>
      <c r="DZ402" s="322"/>
      <c r="EA402" s="322"/>
      <c r="EB402" s="322"/>
      <c r="EC402" s="322"/>
      <c r="ED402" s="322"/>
      <c r="EE402" s="322"/>
      <c r="EF402" s="322"/>
      <c r="EG402" s="322"/>
      <c r="EH402" s="322"/>
      <c r="EI402" s="322"/>
      <c r="EJ402" s="322"/>
      <c r="EK402" s="322"/>
      <c r="EL402" s="322"/>
      <c r="EM402" s="322"/>
      <c r="EN402" s="177">
        <v>772</v>
      </c>
      <c r="EO402" s="30">
        <f>EN402/EN400</f>
        <v>0.38010832102412606</v>
      </c>
      <c r="EP402" s="177">
        <v>768</v>
      </c>
      <c r="EQ402" s="30">
        <f>EP402/EP400</f>
        <v>0.34301027244305493</v>
      </c>
      <c r="ER402" s="177">
        <v>740</v>
      </c>
      <c r="ES402" s="30">
        <f>ER402/ER400</f>
        <v>0.38164002062919028</v>
      </c>
      <c r="ET402" s="177">
        <v>1897</v>
      </c>
      <c r="EU402" s="30">
        <f>ET402/ET400</f>
        <v>0.573805202661827</v>
      </c>
      <c r="EV402" s="177">
        <v>2184</v>
      </c>
      <c r="EW402" s="30">
        <f>EV402/EV400</f>
        <v>0.50126233647004825</v>
      </c>
      <c r="EX402" s="177">
        <v>1271</v>
      </c>
      <c r="EY402" s="30">
        <f>EX402/EX400</f>
        <v>0.49941060903732809</v>
      </c>
      <c r="EZ402" s="177">
        <v>1209</v>
      </c>
      <c r="FA402" s="30">
        <f>EZ402/EZ400</f>
        <v>0.47374608150470221</v>
      </c>
      <c r="FB402" s="177">
        <v>1135</v>
      </c>
      <c r="FC402" s="30">
        <f>FB402/FB400</f>
        <v>0.44301327088212333</v>
      </c>
      <c r="FD402" s="177">
        <v>931</v>
      </c>
      <c r="FE402" s="30">
        <f>FD402/FD400</f>
        <v>0.42107643600180916</v>
      </c>
      <c r="FF402" s="177">
        <v>766</v>
      </c>
      <c r="FG402" s="30">
        <f>FF402/FF400</f>
        <v>0.3415069103878734</v>
      </c>
      <c r="FH402" s="177">
        <v>848</v>
      </c>
      <c r="FI402" s="30">
        <f>FH402/FH400</f>
        <v>0.30070921985815602</v>
      </c>
      <c r="FJ402" s="177">
        <v>528</v>
      </c>
      <c r="FK402" s="30">
        <f>FJ402/FJ400</f>
        <v>0.28100053219797766</v>
      </c>
      <c r="FL402" s="177">
        <v>432</v>
      </c>
      <c r="FM402" s="30">
        <f>FL402/FL400</f>
        <v>0.31788079470198677</v>
      </c>
      <c r="FN402" s="177">
        <v>216</v>
      </c>
      <c r="FO402" s="30">
        <f>FN402/FN400</f>
        <v>0.27169811320754716</v>
      </c>
      <c r="FP402" s="177">
        <v>86</v>
      </c>
      <c r="FQ402" s="30">
        <f>FP402/FP400</f>
        <v>0.28859060402684567</v>
      </c>
      <c r="FR402" s="322"/>
      <c r="FS402" s="322"/>
      <c r="FT402" s="322"/>
      <c r="FU402" s="322"/>
      <c r="FV402" s="322"/>
      <c r="FW402" s="322"/>
      <c r="FX402" s="322"/>
      <c r="FY402" s="322"/>
      <c r="FZ402" s="322"/>
      <c r="GA402" s="322"/>
      <c r="GB402" s="322"/>
      <c r="GC402" s="322"/>
      <c r="GD402" s="322"/>
      <c r="GE402" s="322"/>
      <c r="GF402" s="322"/>
      <c r="GG402" s="322"/>
    </row>
    <row r="403" spans="1:189" ht="15" customHeight="1" outlineLevel="2" x14ac:dyDescent="0.3">
      <c r="A403" s="1"/>
      <c r="B403" s="301"/>
      <c r="C403" s="301"/>
      <c r="D403" s="301"/>
      <c r="E403" s="301"/>
      <c r="F403" s="301"/>
      <c r="G403" s="5" t="s">
        <v>407</v>
      </c>
      <c r="H403" s="5"/>
      <c r="I403" s="23">
        <f t="shared" si="845"/>
        <v>11085</v>
      </c>
      <c r="J403" s="30">
        <f>I403/I400</f>
        <v>0.62683781949785111</v>
      </c>
      <c r="K403" s="23">
        <v>271</v>
      </c>
      <c r="L403" s="30">
        <f>K403/K400</f>
        <v>0.54200000000000004</v>
      </c>
      <c r="M403" s="23">
        <v>430</v>
      </c>
      <c r="N403" s="30">
        <f>M403/M400</f>
        <v>0.56728232189973615</v>
      </c>
      <c r="O403" s="23">
        <v>898</v>
      </c>
      <c r="P403" s="30">
        <f>O403/O400</f>
        <v>0.65739385065885803</v>
      </c>
      <c r="Q403" s="23">
        <v>1222</v>
      </c>
      <c r="R403" s="30">
        <f>Q403/Q400</f>
        <v>0.7167155425219941</v>
      </c>
      <c r="S403" s="23">
        <v>1911</v>
      </c>
      <c r="T403" s="30">
        <f>S403/S400</f>
        <v>0.4480656506447831</v>
      </c>
      <c r="U403" s="23">
        <v>1623</v>
      </c>
      <c r="V403" s="30">
        <f>U403/U400</f>
        <v>0.69537275064267356</v>
      </c>
      <c r="W403" s="23">
        <v>1657</v>
      </c>
      <c r="X403" s="30">
        <f>W403/W400</f>
        <v>0.70122725349132464</v>
      </c>
      <c r="Y403" s="23">
        <v>1504</v>
      </c>
      <c r="Z403" s="30">
        <f>Y403/Y400</f>
        <v>0.76656472986748214</v>
      </c>
      <c r="AA403" s="23">
        <v>1005</v>
      </c>
      <c r="AB403" s="30">
        <f>AA403/AA400</f>
        <v>0.71939871152469581</v>
      </c>
      <c r="AC403" s="23">
        <v>966</v>
      </c>
      <c r="AD403" s="30">
        <f>AC403/AC400</f>
        <v>0.75409836065573765</v>
      </c>
      <c r="AE403" s="23">
        <v>523</v>
      </c>
      <c r="AF403" s="30">
        <f>AE403/AE400</f>
        <v>0.65456821026282852</v>
      </c>
      <c r="AG403" s="23">
        <v>297</v>
      </c>
      <c r="AH403" s="30">
        <f>AG403/AG400</f>
        <v>0.45068285280728376</v>
      </c>
      <c r="AI403" s="23">
        <v>301</v>
      </c>
      <c r="AJ403" s="30">
        <f>AI403/AI400</f>
        <v>0.671875</v>
      </c>
      <c r="AK403" s="23">
        <v>396</v>
      </c>
      <c r="AL403" s="30">
        <f>AK403/AK400</f>
        <v>0.69595782073813706</v>
      </c>
      <c r="AM403" s="23">
        <v>289</v>
      </c>
      <c r="AN403" s="30">
        <f>AM403/AM400</f>
        <v>0.79395604395604391</v>
      </c>
      <c r="AO403" s="23">
        <v>36</v>
      </c>
      <c r="AP403" s="30">
        <f>AO403/AO400</f>
        <v>0.63157894736842102</v>
      </c>
      <c r="AQ403" s="23">
        <v>52</v>
      </c>
      <c r="AR403" s="30">
        <f>AQ403/AQ400</f>
        <v>0.94545454545454544</v>
      </c>
      <c r="AS403" s="23">
        <v>850</v>
      </c>
      <c r="AT403" s="30">
        <f>AS403/AS400</f>
        <v>0.58259081562714188</v>
      </c>
      <c r="AU403" s="23">
        <v>1641</v>
      </c>
      <c r="AV403" s="30">
        <f>AU403/AU400</f>
        <v>0.89672131147540979</v>
      </c>
      <c r="AW403" s="23">
        <v>2103</v>
      </c>
      <c r="AX403" s="30">
        <f>AW403/AW400</f>
        <v>0.91276041666666663</v>
      </c>
      <c r="AY403" s="23">
        <v>2187</v>
      </c>
      <c r="AZ403" s="30">
        <f>AY403/AY400</f>
        <v>0.88256658595641646</v>
      </c>
      <c r="BA403" s="23">
        <v>1727</v>
      </c>
      <c r="BB403" s="30">
        <f>BA403/BA400</f>
        <v>0.88292433537832316</v>
      </c>
      <c r="BC403" s="23">
        <v>1816</v>
      </c>
      <c r="BD403" s="30">
        <f>BC403/BC400</f>
        <v>0.86723973256924547</v>
      </c>
      <c r="BE403" s="23">
        <v>1518</v>
      </c>
      <c r="BF403" s="30">
        <f>BE403/BE400</f>
        <v>0.88771929824561402</v>
      </c>
      <c r="BG403" s="23">
        <v>928</v>
      </c>
      <c r="BH403" s="30">
        <f>BG403/BG400</f>
        <v>0.85846438482886211</v>
      </c>
      <c r="BI403" s="23">
        <v>1049</v>
      </c>
      <c r="BJ403" s="30">
        <f>BI403/BI400</f>
        <v>0.8358565737051793</v>
      </c>
      <c r="BK403" s="23">
        <v>1125</v>
      </c>
      <c r="BL403" s="30">
        <f>BK403/BK400</f>
        <v>0.84969788519637457</v>
      </c>
      <c r="BM403" s="23">
        <v>940</v>
      </c>
      <c r="BN403" s="30">
        <f>BM403/BM400</f>
        <v>0.87604846225535882</v>
      </c>
      <c r="BO403" s="23">
        <v>1456</v>
      </c>
      <c r="BP403" s="30">
        <f>BO403/BO400</f>
        <v>0.85146198830409359</v>
      </c>
      <c r="BQ403" s="23">
        <v>1234</v>
      </c>
      <c r="BR403" s="30">
        <f>BQ403/BQ400</f>
        <v>0.79715762273901813</v>
      </c>
      <c r="BS403" s="23">
        <v>2427</v>
      </c>
      <c r="BT403" s="30">
        <f>BS403/BS400</f>
        <v>0.85790031813361611</v>
      </c>
      <c r="BU403" s="23">
        <v>2550</v>
      </c>
      <c r="BV403" s="30">
        <f>BU403/BU400</f>
        <v>0.84689471936233807</v>
      </c>
      <c r="BW403" s="23">
        <v>3085</v>
      </c>
      <c r="BX403" s="30">
        <f>BW403/BW400</f>
        <v>0.88446100917431192</v>
      </c>
      <c r="BY403" s="23">
        <v>2744</v>
      </c>
      <c r="BZ403" s="30">
        <f>BY403/BY400</f>
        <v>0.85857321652065077</v>
      </c>
      <c r="CA403" s="23">
        <v>3548</v>
      </c>
      <c r="CB403" s="30">
        <f>CA403/CA400</f>
        <v>0.84839789574366331</v>
      </c>
      <c r="CC403" s="23">
        <v>3237</v>
      </c>
      <c r="CD403" s="30">
        <f>CC403/CC400</f>
        <v>0.84428794992175271</v>
      </c>
      <c r="CE403" s="28">
        <v>3650</v>
      </c>
      <c r="CF403" s="30">
        <f>CE403/CE400</f>
        <v>0.90638192202632228</v>
      </c>
      <c r="CG403" s="28">
        <v>2224</v>
      </c>
      <c r="CH403" s="30">
        <f>CG403/CG400</f>
        <v>0.70424319189360352</v>
      </c>
      <c r="CI403" s="28">
        <v>1594</v>
      </c>
      <c r="CJ403" s="30">
        <f>CI403/CI400</f>
        <v>0.83983140147523705</v>
      </c>
      <c r="CK403" s="28">
        <v>915</v>
      </c>
      <c r="CL403" s="30">
        <f>CK403/CK400</f>
        <v>0.86647727272727271</v>
      </c>
      <c r="CM403" s="28">
        <v>837</v>
      </c>
      <c r="CN403" s="30">
        <f>CM403/CM400</f>
        <v>0.87096774193548387</v>
      </c>
      <c r="CO403" s="28">
        <v>708</v>
      </c>
      <c r="CP403" s="30">
        <f>CO403/CO400</f>
        <v>0.87407407407407411</v>
      </c>
      <c r="CQ403" s="28">
        <v>1161</v>
      </c>
      <c r="CR403" s="30">
        <f>CQ403/CQ400</f>
        <v>0.89583333333333337</v>
      </c>
      <c r="CS403" s="28">
        <v>1447</v>
      </c>
      <c r="CT403" s="30">
        <f>CS403/CS400</f>
        <v>0.88773006134969323</v>
      </c>
      <c r="CU403" s="28">
        <v>1491</v>
      </c>
      <c r="CV403" s="30">
        <f>CU403/CU400</f>
        <v>0.88120567375886527</v>
      </c>
      <c r="CW403" s="28">
        <v>2175</v>
      </c>
      <c r="CX403" s="30">
        <f>CW403/CW400</f>
        <v>0.92632027257240201</v>
      </c>
      <c r="CY403" s="28">
        <v>1552</v>
      </c>
      <c r="CZ403" s="30">
        <f>CY403/CY400</f>
        <v>0.86558839933073062</v>
      </c>
      <c r="DA403" s="28">
        <v>1289</v>
      </c>
      <c r="DB403" s="30">
        <f>DA403/DA400</f>
        <v>0.89080856945404285</v>
      </c>
      <c r="DC403" s="28">
        <v>1123</v>
      </c>
      <c r="DD403" s="30">
        <f>DC403/DC400</f>
        <v>0.39306965348267414</v>
      </c>
      <c r="DE403" s="28">
        <v>1334</v>
      </c>
      <c r="DF403" s="30">
        <f>DE403/DE400</f>
        <v>0.41976085588420392</v>
      </c>
      <c r="DG403" s="28">
        <v>1584</v>
      </c>
      <c r="DH403" s="30">
        <f>DG403/DG400</f>
        <v>0.45102505694760819</v>
      </c>
      <c r="DI403" s="28">
        <v>1228</v>
      </c>
      <c r="DJ403" s="30">
        <f>DI403/DI400</f>
        <v>0.39844256975989617</v>
      </c>
      <c r="DK403" s="28">
        <v>1503</v>
      </c>
      <c r="DL403" s="30">
        <f>DK403/DK400</f>
        <v>0.47443181818181818</v>
      </c>
      <c r="DM403" s="28">
        <v>2655</v>
      </c>
      <c r="DN403" s="30">
        <f>DM403/DM400</f>
        <v>0.50103793168522359</v>
      </c>
      <c r="DO403" s="28">
        <v>1948</v>
      </c>
      <c r="DP403" s="30">
        <f>DO403/DO400</f>
        <v>0.52605995139076422</v>
      </c>
      <c r="DQ403" s="28">
        <v>1790</v>
      </c>
      <c r="DR403" s="30">
        <f>DQ403/DQ400</f>
        <v>0.54013277006638505</v>
      </c>
      <c r="DS403" s="28">
        <v>1112</v>
      </c>
      <c r="DT403" s="30">
        <f>DS403/DS400</f>
        <v>0.49887842081650963</v>
      </c>
      <c r="DU403" s="301"/>
      <c r="DV403" s="301"/>
      <c r="DW403" s="301"/>
      <c r="DX403" s="301"/>
      <c r="DY403" s="301"/>
      <c r="DZ403" s="301"/>
      <c r="EA403" s="301"/>
      <c r="EB403" s="301"/>
      <c r="EC403" s="301"/>
      <c r="ED403" s="301"/>
      <c r="EE403" s="301"/>
      <c r="EF403" s="301"/>
      <c r="EG403" s="301"/>
      <c r="EH403" s="301"/>
      <c r="EI403" s="301"/>
      <c r="EJ403" s="301"/>
      <c r="EK403" s="301"/>
      <c r="EL403" s="301"/>
      <c r="EM403" s="301"/>
      <c r="EN403" s="28">
        <v>1141</v>
      </c>
      <c r="EO403" s="30">
        <f>EN403/EN400</f>
        <v>0.56179222058099454</v>
      </c>
      <c r="EP403" s="28">
        <v>1334</v>
      </c>
      <c r="EQ403" s="30">
        <f>EP403/EP400</f>
        <v>0.59580169718624387</v>
      </c>
      <c r="ER403" s="28">
        <v>1085</v>
      </c>
      <c r="ES403" s="30">
        <f>ER403/ER400</f>
        <v>0.55956678700361007</v>
      </c>
      <c r="ET403" s="28">
        <v>1260</v>
      </c>
      <c r="EU403" s="30">
        <f>ET403/ET400</f>
        <v>0.38112522686025407</v>
      </c>
      <c r="EV403" s="28">
        <f>EV168</f>
        <v>1853</v>
      </c>
      <c r="EW403" s="30">
        <f>EV403/EV400</f>
        <v>0.42529263254532934</v>
      </c>
      <c r="EX403" s="28">
        <f>EX168</f>
        <v>1274</v>
      </c>
      <c r="EY403" s="30">
        <f>EX403/EX400</f>
        <v>0.50058939096267185</v>
      </c>
      <c r="EZ403" s="28">
        <f>EZ168</f>
        <v>1343</v>
      </c>
      <c r="FA403" s="30">
        <f>EZ403/EZ400</f>
        <v>0.52625391849529779</v>
      </c>
      <c r="FB403" s="28">
        <f>FB168</f>
        <v>1427</v>
      </c>
      <c r="FC403" s="30">
        <f>FB403/FB400</f>
        <v>0.55698672911787661</v>
      </c>
      <c r="FD403" s="28">
        <f>FD168</f>
        <v>1280</v>
      </c>
      <c r="FE403" s="30">
        <f>FD403/FD400</f>
        <v>0.57892356399819089</v>
      </c>
      <c r="FF403" s="28">
        <f>FF169</f>
        <v>1477</v>
      </c>
      <c r="FG403" s="30">
        <f>FF403/FF400</f>
        <v>0.6584930896121266</v>
      </c>
      <c r="FH403" s="28">
        <f>FH169</f>
        <v>1972</v>
      </c>
      <c r="FI403" s="30">
        <f>FH403/FH400</f>
        <v>0.69929078014184398</v>
      </c>
      <c r="FJ403" s="28">
        <f>FJ169</f>
        <v>1351</v>
      </c>
      <c r="FK403" s="30">
        <f>FJ403/FJ400</f>
        <v>0.7189994678020224</v>
      </c>
      <c r="FL403" s="28">
        <f>FL169</f>
        <v>927</v>
      </c>
      <c r="FM403" s="30">
        <f>FL403/FL400</f>
        <v>0.68211920529801329</v>
      </c>
      <c r="FN403" s="28">
        <v>579</v>
      </c>
      <c r="FO403" s="30">
        <f>FN403/FN400</f>
        <v>0.72830188679245278</v>
      </c>
      <c r="FP403" s="28">
        <v>212</v>
      </c>
      <c r="FQ403" s="30">
        <f>FP403/FP400</f>
        <v>0.71140939597315433</v>
      </c>
      <c r="FR403" s="301"/>
      <c r="FS403" s="301"/>
      <c r="FT403" s="301"/>
      <c r="FU403" s="301"/>
      <c r="FV403" s="301"/>
      <c r="FW403" s="301"/>
      <c r="FX403" s="301"/>
      <c r="FY403" s="301"/>
      <c r="FZ403" s="301"/>
      <c r="GA403" s="301"/>
      <c r="GB403" s="301"/>
      <c r="GC403" s="301"/>
      <c r="GD403" s="301"/>
      <c r="GE403" s="301"/>
      <c r="GF403" s="301"/>
      <c r="GG403" s="301"/>
    </row>
    <row r="404" spans="1:189" ht="15" customHeight="1" outlineLevel="2" x14ac:dyDescent="0.3">
      <c r="A404" s="80"/>
      <c r="B404" s="301"/>
      <c r="C404" s="301"/>
      <c r="D404" s="301"/>
      <c r="E404" s="301"/>
      <c r="F404" s="301"/>
      <c r="G404" s="146" t="s">
        <v>386</v>
      </c>
      <c r="H404" s="71"/>
      <c r="I404" s="81">
        <f t="shared" si="845"/>
        <v>5297</v>
      </c>
      <c r="J404" s="125" t="s">
        <v>306</v>
      </c>
      <c r="K404" s="160"/>
      <c r="L404" s="125"/>
      <c r="M404" s="81"/>
      <c r="N404" s="125"/>
      <c r="O404" s="160"/>
      <c r="P404" s="125"/>
      <c r="Q404" s="160"/>
      <c r="R404" s="125"/>
      <c r="S404" s="160">
        <v>1191</v>
      </c>
      <c r="T404" s="161" t="s">
        <v>307</v>
      </c>
      <c r="U404" s="160">
        <v>848</v>
      </c>
      <c r="V404" s="162" t="s">
        <v>308</v>
      </c>
      <c r="W404" s="160">
        <v>761</v>
      </c>
      <c r="X404" s="125" t="s">
        <v>309</v>
      </c>
      <c r="Y404" s="160">
        <v>1009</v>
      </c>
      <c r="Z404" s="125" t="s">
        <v>310</v>
      </c>
      <c r="AA404" s="160">
        <v>517</v>
      </c>
      <c r="AB404" s="125" t="s">
        <v>311</v>
      </c>
      <c r="AC404" s="160">
        <v>507</v>
      </c>
      <c r="AD404" s="125" t="s">
        <v>312</v>
      </c>
      <c r="AE404" s="160">
        <v>280</v>
      </c>
      <c r="AF404" s="125" t="s">
        <v>313</v>
      </c>
      <c r="AG404" s="160">
        <v>184</v>
      </c>
      <c r="AH404" s="125" t="s">
        <v>314</v>
      </c>
      <c r="AI404" s="160">
        <v>168</v>
      </c>
      <c r="AJ404" s="125" t="s">
        <v>315</v>
      </c>
      <c r="AK404" s="160">
        <v>142</v>
      </c>
      <c r="AL404" s="125" t="s">
        <v>316</v>
      </c>
      <c r="AM404" s="160">
        <v>106</v>
      </c>
      <c r="AN404" s="125" t="s">
        <v>317</v>
      </c>
      <c r="AO404" s="160">
        <v>48</v>
      </c>
      <c r="AP404" s="125" t="s">
        <v>318</v>
      </c>
      <c r="AQ404" s="160">
        <v>73</v>
      </c>
      <c r="AR404" s="125" t="s">
        <v>319</v>
      </c>
      <c r="AS404" s="160">
        <v>109</v>
      </c>
      <c r="AT404" s="81">
        <v>43</v>
      </c>
      <c r="AU404" s="160">
        <v>162</v>
      </c>
      <c r="AV404" s="81">
        <v>61</v>
      </c>
      <c r="AW404" s="160">
        <v>110</v>
      </c>
      <c r="AX404" s="81">
        <v>59</v>
      </c>
      <c r="AY404" s="160"/>
      <c r="AZ404" s="81"/>
      <c r="BA404" s="160"/>
      <c r="BB404" s="81"/>
      <c r="BC404" s="160"/>
      <c r="BD404" s="81"/>
      <c r="BE404" s="160">
        <v>18</v>
      </c>
      <c r="BF404" s="81" t="s">
        <v>320</v>
      </c>
      <c r="BG404" s="160">
        <v>25</v>
      </c>
      <c r="BH404" s="81" t="s">
        <v>321</v>
      </c>
      <c r="BI404" s="160">
        <v>22</v>
      </c>
      <c r="BJ404" s="81" t="s">
        <v>322</v>
      </c>
      <c r="BK404" s="160">
        <v>20</v>
      </c>
      <c r="BL404" s="81" t="s">
        <v>323</v>
      </c>
      <c r="BM404" s="163">
        <v>30</v>
      </c>
      <c r="BN404" s="164">
        <f>13/30</f>
        <v>0.43333333333333335</v>
      </c>
      <c r="BO404" s="163">
        <v>75</v>
      </c>
      <c r="BP404" s="164">
        <f>13/30</f>
        <v>0.43333333333333335</v>
      </c>
      <c r="BQ404" s="160">
        <v>21</v>
      </c>
      <c r="BR404" s="30">
        <f>BQ404/BQ400</f>
        <v>1.3565891472868217E-2</v>
      </c>
      <c r="BS404" s="160">
        <v>31</v>
      </c>
      <c r="BT404" s="30">
        <f>BS404/BS400</f>
        <v>1.0957935666313185E-2</v>
      </c>
      <c r="BU404" s="160">
        <v>23</v>
      </c>
      <c r="BV404" s="30">
        <f>BU404/BU400</f>
        <v>7.6386582530720689E-3</v>
      </c>
      <c r="BW404" s="160">
        <v>20</v>
      </c>
      <c r="BX404" s="30">
        <f>BW404/BW400</f>
        <v>5.7339449541284407E-3</v>
      </c>
      <c r="BY404" s="160">
        <v>14</v>
      </c>
      <c r="BZ404" s="30">
        <f>BY404/BY400</f>
        <v>4.3804755944931162E-3</v>
      </c>
      <c r="CA404" s="160">
        <v>27</v>
      </c>
      <c r="CB404" s="30">
        <f>CA404/CA400</f>
        <v>6.4562410329985654E-3</v>
      </c>
      <c r="CC404" s="160">
        <v>20</v>
      </c>
      <c r="CD404" s="30">
        <f>CC404/CC400</f>
        <v>5.2164840897235268E-3</v>
      </c>
      <c r="CE404" s="160">
        <v>27</v>
      </c>
      <c r="CF404" s="30">
        <f>CE404/CE400</f>
        <v>6.7047429848522471E-3</v>
      </c>
      <c r="CG404" s="160">
        <v>67</v>
      </c>
      <c r="CH404" s="30">
        <f>CG404/CG400</f>
        <v>2.1215959468017732E-2</v>
      </c>
      <c r="CI404" s="160">
        <v>47</v>
      </c>
      <c r="CJ404" s="30">
        <f>CI404/CI400</f>
        <v>2.476290832455216E-2</v>
      </c>
      <c r="CK404" s="160">
        <v>17</v>
      </c>
      <c r="CL404" s="30">
        <f>CK404/CK400</f>
        <v>1.6098484848484848E-2</v>
      </c>
      <c r="CM404" s="160">
        <v>17</v>
      </c>
      <c r="CN404" s="30">
        <f>CM404/CM400</f>
        <v>1.7689906347554629E-2</v>
      </c>
      <c r="CO404" s="160">
        <v>25</v>
      </c>
      <c r="CP404" s="30">
        <f>CO404/CO400</f>
        <v>3.0864197530864196E-2</v>
      </c>
      <c r="CQ404" s="160">
        <v>73</v>
      </c>
      <c r="CR404" s="30">
        <f>CQ404/CQ400</f>
        <v>5.6327160493827161E-2</v>
      </c>
      <c r="CS404" s="160">
        <f>57+17</f>
        <v>74</v>
      </c>
      <c r="CT404" s="30">
        <f>CS404/CS400</f>
        <v>4.5398773006134971E-2</v>
      </c>
      <c r="CU404" s="160">
        <v>25</v>
      </c>
      <c r="CV404" s="30">
        <f>CU404/CU400</f>
        <v>1.4775413711583925E-2</v>
      </c>
      <c r="CW404" s="160">
        <f>36+14</f>
        <v>50</v>
      </c>
      <c r="CX404" s="30">
        <f>CW404/CW400</f>
        <v>2.1294718909710391E-2</v>
      </c>
      <c r="CY404" s="160">
        <v>54</v>
      </c>
      <c r="CZ404" s="30">
        <f>CY404/CY400</f>
        <v>3.0117122141662019E-2</v>
      </c>
      <c r="DA404" s="160">
        <v>19</v>
      </c>
      <c r="DB404" s="30">
        <f>DA404/DA400</f>
        <v>1.3130615065653075E-2</v>
      </c>
      <c r="DC404" s="160">
        <v>19</v>
      </c>
      <c r="DD404" s="30">
        <f>DC404/DC400</f>
        <v>6.6503325166258316E-3</v>
      </c>
      <c r="DE404" s="160">
        <v>19</v>
      </c>
      <c r="DF404" s="30">
        <f>DE404/DE400</f>
        <v>5.9786028949024546E-3</v>
      </c>
      <c r="DG404" s="160">
        <v>25</v>
      </c>
      <c r="DH404" s="30">
        <f>DG404/DG400</f>
        <v>7.1184510250569474E-3</v>
      </c>
      <c r="DI404" s="160">
        <v>17</v>
      </c>
      <c r="DJ404" s="30">
        <f>DI404/DI400</f>
        <v>5.5158987670343934E-3</v>
      </c>
      <c r="DK404" s="160">
        <v>20</v>
      </c>
      <c r="DL404" s="30">
        <f>DK404/DK400</f>
        <v>6.313131313131313E-3</v>
      </c>
      <c r="DM404" s="160">
        <v>15</v>
      </c>
      <c r="DN404" s="30">
        <f>DM404/DM400</f>
        <v>2.8307227778826194E-3</v>
      </c>
      <c r="DO404" s="160">
        <v>17</v>
      </c>
      <c r="DP404" s="30">
        <f>DO404/DO400</f>
        <v>4.590872265730489E-3</v>
      </c>
      <c r="DQ404" s="160">
        <v>25</v>
      </c>
      <c r="DR404" s="30">
        <f>DQ404/DQ400</f>
        <v>7.5437537718768856E-3</v>
      </c>
      <c r="DS404" s="160">
        <v>8</v>
      </c>
      <c r="DT404" s="30">
        <f>DS404/DS400</f>
        <v>3.589053387169134E-3</v>
      </c>
      <c r="DU404" s="301"/>
      <c r="DV404" s="301"/>
      <c r="DW404" s="301"/>
      <c r="DX404" s="301"/>
      <c r="DY404" s="301"/>
      <c r="DZ404" s="301"/>
      <c r="EA404" s="301"/>
      <c r="EB404" s="301"/>
      <c r="EC404" s="301"/>
      <c r="ED404" s="301"/>
      <c r="EE404" s="301"/>
      <c r="EF404" s="301"/>
      <c r="EG404" s="301"/>
      <c r="EH404" s="301"/>
      <c r="EI404" s="301"/>
      <c r="EJ404" s="301"/>
      <c r="EK404" s="301"/>
      <c r="EL404" s="301"/>
      <c r="EM404" s="301"/>
      <c r="EN404" s="160">
        <v>0</v>
      </c>
      <c r="EO404" s="30">
        <f>EN404/EN400</f>
        <v>0</v>
      </c>
      <c r="EP404" s="160">
        <v>0</v>
      </c>
      <c r="EQ404" s="30">
        <f>EP404/EP400</f>
        <v>0</v>
      </c>
      <c r="ER404" s="160">
        <v>0</v>
      </c>
      <c r="ES404" s="30">
        <f>ER404/ER400</f>
        <v>0</v>
      </c>
      <c r="ET404" s="160">
        <v>0</v>
      </c>
      <c r="EU404" s="30">
        <f>ET404/ET400</f>
        <v>0</v>
      </c>
      <c r="EV404" s="160">
        <v>0</v>
      </c>
      <c r="EW404" s="30">
        <f>EV404/EV400</f>
        <v>0</v>
      </c>
      <c r="EX404" s="160">
        <v>0</v>
      </c>
      <c r="EY404" s="30">
        <f>EX404/EX400</f>
        <v>0</v>
      </c>
      <c r="EZ404" s="160">
        <v>0</v>
      </c>
      <c r="FA404" s="30">
        <f>EZ404/EZ400</f>
        <v>0</v>
      </c>
      <c r="FB404" s="160">
        <v>0</v>
      </c>
      <c r="FC404" s="30">
        <f>FB404/FB400</f>
        <v>0</v>
      </c>
      <c r="FD404" s="160">
        <v>0</v>
      </c>
      <c r="FE404" s="30">
        <f>FD404/FD400</f>
        <v>0</v>
      </c>
      <c r="FF404" s="160">
        <v>0</v>
      </c>
      <c r="FG404" s="30">
        <f>FF404/FF400</f>
        <v>0</v>
      </c>
      <c r="FH404" s="160">
        <v>0</v>
      </c>
      <c r="FI404" s="30">
        <f>FH404/FH400</f>
        <v>0</v>
      </c>
      <c r="FJ404" s="160">
        <v>0</v>
      </c>
      <c r="FK404" s="30">
        <f>FJ404/FJ400</f>
        <v>0</v>
      </c>
      <c r="FL404" s="160">
        <v>0</v>
      </c>
      <c r="FM404" s="30">
        <f>FL404/FL400</f>
        <v>0</v>
      </c>
      <c r="FN404" s="160">
        <v>0</v>
      </c>
      <c r="FO404" s="30">
        <f>FN404/FN400</f>
        <v>0</v>
      </c>
      <c r="FP404" s="160">
        <v>0</v>
      </c>
      <c r="FQ404" s="30">
        <f>FP404/FP400</f>
        <v>0</v>
      </c>
      <c r="FR404" s="301"/>
      <c r="FS404" s="301"/>
      <c r="FT404" s="301"/>
      <c r="FU404" s="301"/>
      <c r="FV404" s="301"/>
      <c r="FW404" s="301"/>
      <c r="FX404" s="301"/>
      <c r="FY404" s="301"/>
      <c r="FZ404" s="301"/>
      <c r="GA404" s="301"/>
      <c r="GB404" s="301"/>
      <c r="GC404" s="301"/>
      <c r="GD404" s="301"/>
      <c r="GE404" s="301"/>
      <c r="GF404" s="301"/>
      <c r="GG404" s="301"/>
    </row>
    <row r="405" spans="1:189" ht="15" customHeight="1" outlineLevel="2" x14ac:dyDescent="0.3">
      <c r="A405" s="80"/>
      <c r="B405" s="302"/>
      <c r="C405" s="301"/>
      <c r="D405" s="301"/>
      <c r="E405" s="301"/>
      <c r="F405" s="301"/>
      <c r="G405" s="146" t="s">
        <v>387</v>
      </c>
      <c r="H405" s="71"/>
      <c r="I405" s="81">
        <f t="shared" si="845"/>
        <v>142</v>
      </c>
      <c r="J405" s="125" t="s">
        <v>324</v>
      </c>
      <c r="K405" s="160"/>
      <c r="L405" s="125"/>
      <c r="M405" s="81"/>
      <c r="N405" s="125"/>
      <c r="O405" s="160"/>
      <c r="P405" s="125"/>
      <c r="Q405" s="160"/>
      <c r="R405" s="125"/>
      <c r="S405" s="160">
        <v>0</v>
      </c>
      <c r="T405" s="125">
        <v>0</v>
      </c>
      <c r="U405" s="160">
        <v>0</v>
      </c>
      <c r="V405" s="125">
        <v>0</v>
      </c>
      <c r="W405" s="160">
        <v>12</v>
      </c>
      <c r="X405" s="125" t="s">
        <v>325</v>
      </c>
      <c r="Y405" s="160">
        <v>41</v>
      </c>
      <c r="Z405" s="125" t="s">
        <v>326</v>
      </c>
      <c r="AA405" s="160">
        <v>26</v>
      </c>
      <c r="AB405" s="125" t="s">
        <v>327</v>
      </c>
      <c r="AC405" s="160">
        <v>34</v>
      </c>
      <c r="AD405" s="125" t="s">
        <v>328</v>
      </c>
      <c r="AE405" s="160">
        <v>16</v>
      </c>
      <c r="AF405" s="125" t="s">
        <v>329</v>
      </c>
      <c r="AG405" s="160">
        <v>13</v>
      </c>
      <c r="AH405" s="125" t="s">
        <v>330</v>
      </c>
      <c r="AI405" s="160">
        <v>43</v>
      </c>
      <c r="AJ405" s="125" t="s">
        <v>331</v>
      </c>
      <c r="AK405" s="160">
        <v>8</v>
      </c>
      <c r="AL405" s="125" t="s">
        <v>332</v>
      </c>
      <c r="AM405" s="160">
        <v>21</v>
      </c>
      <c r="AN405" s="125" t="s">
        <v>333</v>
      </c>
      <c r="AO405" s="160">
        <v>15</v>
      </c>
      <c r="AP405" s="125" t="s">
        <v>334</v>
      </c>
      <c r="AQ405" s="160">
        <v>23</v>
      </c>
      <c r="AR405" s="125" t="s">
        <v>335</v>
      </c>
      <c r="AS405" s="160">
        <v>28</v>
      </c>
      <c r="AT405" s="81">
        <v>13</v>
      </c>
      <c r="AU405" s="160">
        <v>22</v>
      </c>
      <c r="AV405" s="81">
        <v>6</v>
      </c>
      <c r="AW405" s="160">
        <v>12</v>
      </c>
      <c r="AX405" s="81">
        <v>5</v>
      </c>
      <c r="AY405" s="160"/>
      <c r="AZ405" s="81"/>
      <c r="BA405" s="160"/>
      <c r="BB405" s="81"/>
      <c r="BC405" s="160"/>
      <c r="BD405" s="81"/>
      <c r="BE405" s="160">
        <v>7</v>
      </c>
      <c r="BF405" s="81">
        <v>0</v>
      </c>
      <c r="BG405" s="160">
        <v>6</v>
      </c>
      <c r="BH405" s="81" t="s">
        <v>336</v>
      </c>
      <c r="BI405" s="160">
        <v>13</v>
      </c>
      <c r="BJ405" s="81" t="s">
        <v>337</v>
      </c>
      <c r="BK405" s="160">
        <v>20</v>
      </c>
      <c r="BL405" s="81" t="s">
        <v>338</v>
      </c>
      <c r="BM405" s="163">
        <v>16</v>
      </c>
      <c r="BN405" s="164">
        <f>8/16</f>
        <v>0.5</v>
      </c>
      <c r="BO405" s="163">
        <v>32</v>
      </c>
      <c r="BP405" s="164">
        <f>8/16</f>
        <v>0.5</v>
      </c>
      <c r="BQ405" s="160">
        <v>14</v>
      </c>
      <c r="BR405" s="30">
        <f>BQ405/BQ400</f>
        <v>9.0439276485788107E-3</v>
      </c>
      <c r="BS405" s="160">
        <v>16</v>
      </c>
      <c r="BT405" s="30">
        <f>BS405/BS400</f>
        <v>5.6557087310003537E-3</v>
      </c>
      <c r="BU405" s="160">
        <v>13</v>
      </c>
      <c r="BV405" s="30">
        <f>BU405/BU400</f>
        <v>4.317502490866822E-3</v>
      </c>
      <c r="BW405" s="160">
        <v>10</v>
      </c>
      <c r="BX405" s="30">
        <f>BW405/BW400</f>
        <v>2.8669724770642203E-3</v>
      </c>
      <c r="BY405" s="160">
        <v>22</v>
      </c>
      <c r="BZ405" s="30">
        <f>BY405/BY400</f>
        <v>6.8836045056320403E-3</v>
      </c>
      <c r="CA405" s="160">
        <v>10</v>
      </c>
      <c r="CB405" s="30">
        <f>CA405/CA400</f>
        <v>2.3912003825920613E-3</v>
      </c>
      <c r="CC405" s="160">
        <v>12</v>
      </c>
      <c r="CD405" s="30">
        <f>CC405/CC400</f>
        <v>3.1298904538341159E-3</v>
      </c>
      <c r="CE405" s="160">
        <v>48</v>
      </c>
      <c r="CF405" s="30">
        <f>CE405/CE400</f>
        <v>1.1919543084181774E-2</v>
      </c>
      <c r="CG405" s="160">
        <v>11</v>
      </c>
      <c r="CH405" s="30">
        <f>CG405/CG400</f>
        <v>3.4832172260924636E-3</v>
      </c>
      <c r="CI405" s="160">
        <v>10</v>
      </c>
      <c r="CJ405" s="30">
        <f>CI405/CI400</f>
        <v>5.268703898840885E-3</v>
      </c>
      <c r="CK405" s="160">
        <v>12</v>
      </c>
      <c r="CL405" s="30">
        <f>CK405/CK400</f>
        <v>1.1363636363636364E-2</v>
      </c>
      <c r="CM405" s="160">
        <v>10</v>
      </c>
      <c r="CN405" s="30">
        <f>CM405/CM400</f>
        <v>1.040582726326743E-2</v>
      </c>
      <c r="CO405" s="160">
        <v>10</v>
      </c>
      <c r="CP405" s="30">
        <f>CO405/CO400</f>
        <v>1.2345679012345678E-2</v>
      </c>
      <c r="CQ405" s="160">
        <v>9</v>
      </c>
      <c r="CR405" s="30">
        <f>CQ405/CQ400</f>
        <v>6.9444444444444441E-3</v>
      </c>
      <c r="CS405" s="160">
        <v>16</v>
      </c>
      <c r="CT405" s="30">
        <f>CS405/CS400</f>
        <v>9.8159509202453993E-3</v>
      </c>
      <c r="CU405" s="160">
        <v>11</v>
      </c>
      <c r="CV405" s="30">
        <f>CU405/CU400</f>
        <v>6.5011820330969266E-3</v>
      </c>
      <c r="CW405" s="160">
        <v>5</v>
      </c>
      <c r="CX405" s="30">
        <f>CW405/CW400</f>
        <v>2.1294718909710391E-3</v>
      </c>
      <c r="CY405" s="160">
        <v>11</v>
      </c>
      <c r="CZ405" s="30">
        <f>CY405/CY400</f>
        <v>6.1349693251533744E-3</v>
      </c>
      <c r="DA405" s="160">
        <v>7</v>
      </c>
      <c r="DB405" s="30">
        <f>DA405/DA400</f>
        <v>4.8375950241879755E-3</v>
      </c>
      <c r="DC405" s="160">
        <v>11</v>
      </c>
      <c r="DD405" s="30">
        <f>DC405/DC400</f>
        <v>3.8501925096254812E-3</v>
      </c>
      <c r="DE405" s="160">
        <v>4</v>
      </c>
      <c r="DF405" s="30">
        <f>DE405/DE400</f>
        <v>1.2586532410320957E-3</v>
      </c>
      <c r="DG405" s="160">
        <v>17</v>
      </c>
      <c r="DH405" s="30">
        <f>DG405/DG400</f>
        <v>4.8405466970387247E-3</v>
      </c>
      <c r="DI405" s="160">
        <v>14</v>
      </c>
      <c r="DJ405" s="30">
        <f>DI405/DI400</f>
        <v>4.5425048669695007E-3</v>
      </c>
      <c r="DK405" s="160">
        <v>31</v>
      </c>
      <c r="DL405" s="30">
        <f>DK405/DK400</f>
        <v>9.7853535353535359E-3</v>
      </c>
      <c r="DM405" s="160">
        <v>10</v>
      </c>
      <c r="DN405" s="30">
        <f>DM405/DM400</f>
        <v>1.8871485185884128E-3</v>
      </c>
      <c r="DO405" s="160">
        <v>8</v>
      </c>
      <c r="DP405" s="30">
        <f>DO405/DO400</f>
        <v>2.1604104779908181E-3</v>
      </c>
      <c r="DQ405" s="160">
        <v>7</v>
      </c>
      <c r="DR405" s="30">
        <f>DQ405/DQ400</f>
        <v>2.1122510561255282E-3</v>
      </c>
      <c r="DS405" s="160">
        <v>1</v>
      </c>
      <c r="DT405" s="30">
        <f>DS405/DS400</f>
        <v>4.4863167339614175E-4</v>
      </c>
      <c r="DU405" s="322"/>
      <c r="DV405" s="322"/>
      <c r="DW405" s="322"/>
      <c r="DX405" s="322"/>
      <c r="DY405" s="322"/>
      <c r="DZ405" s="322"/>
      <c r="EA405" s="322"/>
      <c r="EB405" s="322"/>
      <c r="EC405" s="322"/>
      <c r="ED405" s="322"/>
      <c r="EE405" s="322"/>
      <c r="EF405" s="322"/>
      <c r="EG405" s="322"/>
      <c r="EH405" s="322"/>
      <c r="EI405" s="322"/>
      <c r="EJ405" s="322"/>
      <c r="EK405" s="322"/>
      <c r="EL405" s="322"/>
      <c r="EM405" s="322"/>
      <c r="EN405" s="160">
        <v>0</v>
      </c>
      <c r="EO405" s="30">
        <f>EN405/EN400</f>
        <v>0</v>
      </c>
      <c r="EP405" s="160">
        <v>0</v>
      </c>
      <c r="EQ405" s="30">
        <f>EP405/EP400</f>
        <v>0</v>
      </c>
      <c r="ER405" s="160">
        <v>0</v>
      </c>
      <c r="ES405" s="30">
        <f>ER405/ER400</f>
        <v>0</v>
      </c>
      <c r="ET405" s="160">
        <v>0</v>
      </c>
      <c r="EU405" s="30">
        <f>ET405/ET400</f>
        <v>0</v>
      </c>
      <c r="EV405" s="160">
        <v>0</v>
      </c>
      <c r="EW405" s="30">
        <f>EV405/EV400</f>
        <v>0</v>
      </c>
      <c r="EX405" s="160">
        <v>0</v>
      </c>
      <c r="EY405" s="30">
        <f>EX405/EX400</f>
        <v>0</v>
      </c>
      <c r="EZ405" s="160">
        <v>0</v>
      </c>
      <c r="FA405" s="30">
        <f>EZ405/EZ400</f>
        <v>0</v>
      </c>
      <c r="FB405" s="160">
        <v>0</v>
      </c>
      <c r="FC405" s="30">
        <f>FB405/FB400</f>
        <v>0</v>
      </c>
      <c r="FD405" s="160">
        <v>0</v>
      </c>
      <c r="FE405" s="30">
        <f>FD405/FD400</f>
        <v>0</v>
      </c>
      <c r="FF405" s="160">
        <v>0</v>
      </c>
      <c r="FG405" s="30">
        <f>FF405/FF400</f>
        <v>0</v>
      </c>
      <c r="FH405" s="160">
        <v>0</v>
      </c>
      <c r="FI405" s="30">
        <f>FH405/FH400</f>
        <v>0</v>
      </c>
      <c r="FJ405" s="160">
        <v>0</v>
      </c>
      <c r="FK405" s="30">
        <f>FJ405/FJ400</f>
        <v>0</v>
      </c>
      <c r="FL405" s="160">
        <v>0</v>
      </c>
      <c r="FM405" s="30">
        <f>FL405/FL400</f>
        <v>0</v>
      </c>
      <c r="FN405" s="160">
        <v>0</v>
      </c>
      <c r="FO405" s="30">
        <f>FN405/FN400</f>
        <v>0</v>
      </c>
      <c r="FP405" s="160">
        <v>0</v>
      </c>
      <c r="FQ405" s="30">
        <f>FP405/FP400</f>
        <v>0</v>
      </c>
      <c r="FR405" s="322"/>
      <c r="FS405" s="322"/>
      <c r="FT405" s="322"/>
      <c r="FU405" s="322"/>
      <c r="FV405" s="322"/>
      <c r="FW405" s="322"/>
      <c r="FX405" s="322"/>
      <c r="FY405" s="322"/>
      <c r="FZ405" s="322"/>
      <c r="GA405" s="322"/>
      <c r="GB405" s="322"/>
      <c r="GC405" s="322"/>
      <c r="GD405" s="322"/>
      <c r="GE405" s="322"/>
      <c r="GF405" s="322"/>
      <c r="GG405" s="322"/>
    </row>
    <row r="406" spans="1:189" ht="12.75" customHeight="1" outlineLevel="1" x14ac:dyDescent="0.3">
      <c r="A406" s="1"/>
      <c r="B406" s="2"/>
      <c r="C406" s="2"/>
      <c r="D406" s="2"/>
      <c r="E406" s="2"/>
      <c r="F406" s="2"/>
      <c r="G406" s="3"/>
      <c r="H406" s="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</row>
    <row r="407" spans="1:189" ht="12.75" customHeight="1" outlineLevel="1" x14ac:dyDescent="0.3">
      <c r="A407" s="1"/>
      <c r="B407" s="2"/>
      <c r="C407" s="2"/>
      <c r="D407" s="2"/>
      <c r="E407" s="2"/>
      <c r="F407" s="2"/>
      <c r="G407" s="3"/>
      <c r="H407" s="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26"/>
      <c r="AI407" s="4"/>
      <c r="AJ407" s="26"/>
      <c r="AK407" s="4"/>
      <c r="AL407" s="26"/>
      <c r="AM407" s="4"/>
      <c r="AN407" s="26"/>
      <c r="AO407" s="4"/>
      <c r="AP407" s="26"/>
      <c r="AQ407" s="4"/>
      <c r="AR407" s="26"/>
      <c r="AS407" s="4"/>
      <c r="AT407" s="26"/>
      <c r="AU407" s="4"/>
      <c r="AV407" s="26"/>
      <c r="AW407" s="4"/>
      <c r="AX407" s="26"/>
      <c r="AY407" s="4"/>
      <c r="AZ407" s="26"/>
      <c r="BA407" s="4"/>
      <c r="BB407" s="26"/>
      <c r="BC407" s="4"/>
      <c r="BD407" s="26"/>
      <c r="BE407" s="4"/>
      <c r="BF407" s="26"/>
      <c r="BG407" s="4"/>
      <c r="BH407" s="26"/>
      <c r="BI407" s="4"/>
      <c r="BJ407" s="26"/>
      <c r="BK407" s="4"/>
      <c r="BL407" s="26"/>
      <c r="BM407" s="4"/>
      <c r="BN407" s="26"/>
      <c r="BO407" s="4"/>
      <c r="BP407" s="26"/>
      <c r="BQ407" s="4"/>
      <c r="BR407" s="26"/>
      <c r="BS407" s="4"/>
      <c r="BT407" s="26"/>
      <c r="BU407" s="4"/>
      <c r="BV407" s="26"/>
      <c r="BW407" s="4"/>
      <c r="BX407" s="26"/>
      <c r="BY407" s="4"/>
      <c r="BZ407" s="26"/>
      <c r="CA407" s="4"/>
      <c r="CB407" s="26"/>
      <c r="CC407" s="4"/>
      <c r="CD407" s="26"/>
      <c r="CE407" s="4"/>
      <c r="CF407" s="26"/>
      <c r="CG407" s="4"/>
      <c r="CH407" s="26"/>
      <c r="CI407" s="4"/>
      <c r="CJ407" s="26"/>
      <c r="CK407" s="4"/>
      <c r="CL407" s="26"/>
      <c r="CM407" s="4"/>
      <c r="CN407" s="26"/>
      <c r="CO407" s="4"/>
      <c r="CP407" s="26"/>
      <c r="CQ407" s="4"/>
      <c r="CR407" s="26"/>
      <c r="CS407" s="4"/>
      <c r="CT407" s="26"/>
      <c r="CU407" s="4"/>
      <c r="CV407" s="26"/>
      <c r="CW407" s="4"/>
      <c r="CX407" s="26"/>
      <c r="CY407" s="4"/>
      <c r="CZ407" s="26"/>
      <c r="DA407" s="4"/>
      <c r="DB407" s="26"/>
      <c r="DC407" s="4"/>
      <c r="DD407" s="26"/>
      <c r="DE407" s="4"/>
      <c r="DF407" s="26"/>
      <c r="DG407" s="4"/>
      <c r="DH407" s="26"/>
      <c r="DI407" s="4"/>
      <c r="DJ407" s="26"/>
      <c r="DK407" s="4"/>
      <c r="DL407" s="26"/>
      <c r="DM407" s="4"/>
      <c r="DN407" s="26"/>
      <c r="DO407" s="4"/>
      <c r="DP407" s="26"/>
      <c r="DQ407" s="4"/>
      <c r="DR407" s="26"/>
      <c r="DS407" s="4"/>
      <c r="DT407" s="26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4"/>
      <c r="EO407" s="26"/>
      <c r="EP407" s="4"/>
      <c r="EQ407" s="26"/>
      <c r="ER407" s="4"/>
      <c r="ES407" s="26"/>
      <c r="ET407" s="4"/>
      <c r="EU407" s="26"/>
      <c r="EV407" s="4"/>
      <c r="EW407" s="26"/>
      <c r="EX407" s="4"/>
      <c r="EY407" s="26"/>
      <c r="EZ407" s="4"/>
      <c r="FA407" s="26"/>
      <c r="FB407" s="4"/>
      <c r="FC407" s="26"/>
      <c r="FD407" s="4"/>
      <c r="FE407" s="26"/>
      <c r="FF407" s="4"/>
      <c r="FG407" s="26"/>
      <c r="FH407" s="4"/>
      <c r="FI407" s="26"/>
      <c r="FJ407" s="4"/>
      <c r="FK407" s="26"/>
      <c r="FL407" s="4"/>
      <c r="FM407" s="26"/>
      <c r="FN407" s="4"/>
      <c r="FO407" s="26"/>
      <c r="FP407" s="4"/>
      <c r="FQ407" s="26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</row>
    <row r="408" spans="1:189" ht="12.75" customHeight="1" outlineLevel="1" x14ac:dyDescent="0.3">
      <c r="A408" s="1"/>
      <c r="B408" s="2"/>
      <c r="C408" s="2"/>
      <c r="D408" s="2"/>
      <c r="E408" s="2"/>
      <c r="F408" s="2"/>
      <c r="G408" s="3"/>
      <c r="H408" s="3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8"/>
      <c r="FS408" s="8"/>
      <c r="FT408" s="8"/>
      <c r="FU408" s="8"/>
      <c r="FV408" s="8"/>
      <c r="FW408" s="8"/>
      <c r="FX408" s="8"/>
      <c r="FY408" s="8"/>
      <c r="FZ408" s="8"/>
      <c r="GA408" s="8"/>
      <c r="GB408" s="8"/>
      <c r="GC408" s="8"/>
      <c r="GD408" s="8"/>
      <c r="GE408" s="8"/>
      <c r="GF408" s="8"/>
      <c r="GG408" s="8"/>
    </row>
    <row r="409" spans="1:189" ht="12.75" customHeight="1" x14ac:dyDescent="0.3">
      <c r="A409" s="1"/>
      <c r="B409" s="2"/>
      <c r="C409" s="2"/>
      <c r="D409" s="2"/>
      <c r="E409" s="2"/>
      <c r="F409" s="2"/>
      <c r="G409" s="3"/>
      <c r="H409" s="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8"/>
      <c r="FS409" s="8"/>
      <c r="FT409" s="8"/>
      <c r="FU409" s="8"/>
      <c r="FV409" s="8"/>
      <c r="FW409" s="8"/>
      <c r="FX409" s="8"/>
      <c r="FY409" s="8"/>
      <c r="FZ409" s="8"/>
      <c r="GA409" s="8"/>
      <c r="GB409" s="8"/>
      <c r="GC409" s="8"/>
      <c r="GD409" s="8"/>
      <c r="GE409" s="8"/>
      <c r="GF409" s="8"/>
      <c r="GG409" s="8"/>
    </row>
  </sheetData>
  <mergeCells count="18248">
    <mergeCell ref="GG396:GG405"/>
    <mergeCell ref="GF334:GF339"/>
    <mergeCell ref="GG334:GG339"/>
    <mergeCell ref="FP356:FQ356"/>
    <mergeCell ref="FP357:FQ357"/>
    <mergeCell ref="FP358:FQ358"/>
    <mergeCell ref="FP359:FQ359"/>
    <mergeCell ref="FP360:FQ360"/>
    <mergeCell ref="FP362:FQ362"/>
    <mergeCell ref="FP363:FQ363"/>
    <mergeCell ref="FP364:FQ364"/>
    <mergeCell ref="FP365:FQ365"/>
    <mergeCell ref="FP366:FQ366"/>
    <mergeCell ref="FP367:FQ367"/>
    <mergeCell ref="FP369:FQ369"/>
    <mergeCell ref="FP370:FQ370"/>
    <mergeCell ref="FP371:FQ371"/>
    <mergeCell ref="FP372:FQ372"/>
    <mergeCell ref="FP374:FQ374"/>
    <mergeCell ref="FP375:FQ375"/>
    <mergeCell ref="FP376:FQ376"/>
    <mergeCell ref="FP378:FQ378"/>
    <mergeCell ref="FP379:FQ379"/>
    <mergeCell ref="FP380:FQ380"/>
    <mergeCell ref="FP387:FQ387"/>
    <mergeCell ref="FP388:FQ388"/>
    <mergeCell ref="FP389:FQ389"/>
    <mergeCell ref="FP396:FQ396"/>
    <mergeCell ref="FP397:FQ397"/>
    <mergeCell ref="FP398:FQ398"/>
    <mergeCell ref="FP399:FQ399"/>
    <mergeCell ref="GG9:GG14"/>
    <mergeCell ref="GG16:GG22"/>
    <mergeCell ref="GG30:GG34"/>
    <mergeCell ref="GG37:GG41"/>
    <mergeCell ref="GG43:GG54"/>
    <mergeCell ref="GG61:GG65"/>
    <mergeCell ref="GG94:GG97"/>
    <mergeCell ref="GG99:GG103"/>
    <mergeCell ref="GG105:GG109"/>
    <mergeCell ref="GG113:GG120"/>
    <mergeCell ref="GG124:GG131"/>
    <mergeCell ref="GG135:GG138"/>
    <mergeCell ref="GG140:GG145"/>
    <mergeCell ref="GG147:GG151"/>
    <mergeCell ref="GG153:GG157"/>
    <mergeCell ref="GG159:GG163"/>
    <mergeCell ref="GG165:GG169"/>
    <mergeCell ref="GG171:GG179"/>
    <mergeCell ref="GG181:GG187"/>
    <mergeCell ref="GG190:GG196"/>
    <mergeCell ref="GG198:GG204"/>
    <mergeCell ref="GG208:GG209"/>
    <mergeCell ref="GG211:GG219"/>
    <mergeCell ref="GG265:GG266"/>
    <mergeCell ref="GG268:GG275"/>
    <mergeCell ref="GG323:GG327"/>
    <mergeCell ref="GG329:GG332"/>
    <mergeCell ref="GG341:GG346"/>
    <mergeCell ref="GG348:GG353"/>
    <mergeCell ref="GG355:GG360"/>
    <mergeCell ref="GG362:GG367"/>
    <mergeCell ref="GG369:GG372"/>
    <mergeCell ref="GG374:GG376"/>
    <mergeCell ref="GG378:GG385"/>
    <mergeCell ref="GG387:GG394"/>
    <mergeCell ref="FP310:FQ310"/>
    <mergeCell ref="FP313:FQ313"/>
    <mergeCell ref="FP314:FQ314"/>
    <mergeCell ref="FP315:FQ315"/>
    <mergeCell ref="FP316:FQ316"/>
    <mergeCell ref="FP318:FQ318"/>
    <mergeCell ref="FP319:FQ319"/>
    <mergeCell ref="FP321:FQ321"/>
    <mergeCell ref="FP323:FQ323"/>
    <mergeCell ref="FP324:FQ324"/>
    <mergeCell ref="FP325:FQ325"/>
    <mergeCell ref="FP326:FQ326"/>
    <mergeCell ref="FP327:FQ327"/>
    <mergeCell ref="FP329:FQ329"/>
    <mergeCell ref="FP330:FQ330"/>
    <mergeCell ref="FP331:FQ331"/>
    <mergeCell ref="FP332:FQ332"/>
    <mergeCell ref="FP334:FQ334"/>
    <mergeCell ref="FP335:FQ335"/>
    <mergeCell ref="FP336:FQ336"/>
    <mergeCell ref="FP338:FQ338"/>
    <mergeCell ref="FP339:FQ339"/>
    <mergeCell ref="FP341:FQ341"/>
    <mergeCell ref="FP342:FQ342"/>
    <mergeCell ref="FP343:FQ343"/>
    <mergeCell ref="FP345:FQ345"/>
    <mergeCell ref="FP346:FQ346"/>
    <mergeCell ref="FP348:FQ348"/>
    <mergeCell ref="FP349:FQ349"/>
    <mergeCell ref="FP350:FQ350"/>
    <mergeCell ref="FP352:FQ352"/>
    <mergeCell ref="FP353:FQ353"/>
    <mergeCell ref="FP355:FQ355"/>
    <mergeCell ref="GE378:GE385"/>
    <mergeCell ref="GE387:GE394"/>
    <mergeCell ref="FP254:FQ254"/>
    <mergeCell ref="FP255:FQ255"/>
    <mergeCell ref="FP256:FQ256"/>
    <mergeCell ref="FP257:FQ257"/>
    <mergeCell ref="FP259:FQ259"/>
    <mergeCell ref="FP261:FQ261"/>
    <mergeCell ref="FP262:FQ262"/>
    <mergeCell ref="FP263:FQ263"/>
    <mergeCell ref="FP265:FQ265"/>
    <mergeCell ref="FP268:FQ268"/>
    <mergeCell ref="FP269:FQ269"/>
    <mergeCell ref="FP270:FQ270"/>
    <mergeCell ref="FP271:FQ271"/>
    <mergeCell ref="FP277:FQ277"/>
    <mergeCell ref="FP278:FQ278"/>
    <mergeCell ref="FP279:FQ279"/>
    <mergeCell ref="FP288:FQ288"/>
    <mergeCell ref="FP291:FQ291"/>
    <mergeCell ref="FP292:FQ292"/>
    <mergeCell ref="FP293:FQ293"/>
    <mergeCell ref="FP294:FQ294"/>
    <mergeCell ref="FP295:FQ295"/>
    <mergeCell ref="FP296:FQ296"/>
    <mergeCell ref="FP297:FQ297"/>
    <mergeCell ref="FP298:FQ298"/>
    <mergeCell ref="FP299:FQ299"/>
    <mergeCell ref="FP301:FQ301"/>
    <mergeCell ref="FP302:FQ302"/>
    <mergeCell ref="FP303:FQ303"/>
    <mergeCell ref="FP304:FQ304"/>
    <mergeCell ref="FP306:FQ306"/>
    <mergeCell ref="FP307:FQ307"/>
    <mergeCell ref="FP309:FQ309"/>
    <mergeCell ref="FP212:FQ212"/>
    <mergeCell ref="FP213:FQ213"/>
    <mergeCell ref="FP214:FQ214"/>
    <mergeCell ref="FP221:FQ221"/>
    <mergeCell ref="FP222:FQ222"/>
    <mergeCell ref="FP223:FQ223"/>
    <mergeCell ref="FP224:FQ224"/>
    <mergeCell ref="FP225:FQ225"/>
    <mergeCell ref="FP226:FQ226"/>
    <mergeCell ref="FP227:FQ227"/>
    <mergeCell ref="FP228:FQ228"/>
    <mergeCell ref="FP229:FQ229"/>
    <mergeCell ref="FP230:FQ230"/>
    <mergeCell ref="FP231:FQ231"/>
    <mergeCell ref="FP232:FQ232"/>
    <mergeCell ref="FP234:FQ234"/>
    <mergeCell ref="FP235:FQ235"/>
    <mergeCell ref="FP236:FQ236"/>
    <mergeCell ref="FP237:FQ237"/>
    <mergeCell ref="FP238:FQ238"/>
    <mergeCell ref="FP239:FQ239"/>
    <mergeCell ref="FP240:FQ240"/>
    <mergeCell ref="FP241:FQ241"/>
    <mergeCell ref="FP242:FQ242"/>
    <mergeCell ref="FP243:FQ243"/>
    <mergeCell ref="FP244:FQ244"/>
    <mergeCell ref="FP246:FQ246"/>
    <mergeCell ref="FP247:FQ247"/>
    <mergeCell ref="FP248:FQ248"/>
    <mergeCell ref="FP249:FQ249"/>
    <mergeCell ref="FP250:FQ250"/>
    <mergeCell ref="FP251:FQ251"/>
    <mergeCell ref="FP252:FQ252"/>
    <mergeCell ref="FP149:FQ149"/>
    <mergeCell ref="FP151:FQ151"/>
    <mergeCell ref="FP153:FQ153"/>
    <mergeCell ref="FP154:FQ154"/>
    <mergeCell ref="FP155:FQ155"/>
    <mergeCell ref="FP157:FQ157"/>
    <mergeCell ref="FP159:FQ159"/>
    <mergeCell ref="FP160:FQ160"/>
    <mergeCell ref="FP161:FQ161"/>
    <mergeCell ref="FP163:FQ163"/>
    <mergeCell ref="FP165:FQ165"/>
    <mergeCell ref="FP166:FQ166"/>
    <mergeCell ref="FP167:FQ167"/>
    <mergeCell ref="FP168:FQ168"/>
    <mergeCell ref="FP169:FQ169"/>
    <mergeCell ref="FP172:FQ172"/>
    <mergeCell ref="FP176:FQ176"/>
    <mergeCell ref="FP177:FQ177"/>
    <mergeCell ref="FP178:FQ178"/>
    <mergeCell ref="FP179:FQ179"/>
    <mergeCell ref="FP181:FQ181"/>
    <mergeCell ref="FP182:FQ182"/>
    <mergeCell ref="FP183:FQ183"/>
    <mergeCell ref="FP190:FQ190"/>
    <mergeCell ref="FP191:FQ191"/>
    <mergeCell ref="FP192:FQ192"/>
    <mergeCell ref="FP198:FQ198"/>
    <mergeCell ref="FP199:FQ199"/>
    <mergeCell ref="FP200:FQ200"/>
    <mergeCell ref="FP206:FQ206"/>
    <mergeCell ref="FP207:FQ207"/>
    <mergeCell ref="FP208:FQ208"/>
    <mergeCell ref="FP211:FQ211"/>
    <mergeCell ref="FP94:FQ94"/>
    <mergeCell ref="FP95:FQ95"/>
    <mergeCell ref="FP96:FQ96"/>
    <mergeCell ref="FP97:FQ97"/>
    <mergeCell ref="FP99:FQ99"/>
    <mergeCell ref="FP100:FQ100"/>
    <mergeCell ref="FP101:FQ101"/>
    <mergeCell ref="FP102:FQ102"/>
    <mergeCell ref="FP103:FQ103"/>
    <mergeCell ref="FP105:FQ105"/>
    <mergeCell ref="FP106:FQ106"/>
    <mergeCell ref="FP107:FQ107"/>
    <mergeCell ref="FP108:FQ108"/>
    <mergeCell ref="FP109:FQ109"/>
    <mergeCell ref="FP110:FQ110"/>
    <mergeCell ref="FP111:FQ111"/>
    <mergeCell ref="FP113:FQ113"/>
    <mergeCell ref="FP114:FQ114"/>
    <mergeCell ref="FP122:FQ122"/>
    <mergeCell ref="FP124:FQ124"/>
    <mergeCell ref="FP125:FQ125"/>
    <mergeCell ref="FP133:FQ133"/>
    <mergeCell ref="FP135:FQ135"/>
    <mergeCell ref="FP136:FQ136"/>
    <mergeCell ref="FP137:FQ137"/>
    <mergeCell ref="FP138:FQ138"/>
    <mergeCell ref="FP140:FQ140"/>
    <mergeCell ref="FP141:FQ141"/>
    <mergeCell ref="FP142:FQ142"/>
    <mergeCell ref="FP144:FQ144"/>
    <mergeCell ref="FP145:FQ145"/>
    <mergeCell ref="FP147:FQ147"/>
    <mergeCell ref="FP148:FQ148"/>
    <mergeCell ref="FP2:FQ2"/>
    <mergeCell ref="FP3:FQ3"/>
    <mergeCell ref="FP4:FQ4"/>
    <mergeCell ref="FP5:FQ5"/>
    <mergeCell ref="FP7:FQ7"/>
    <mergeCell ref="FP9:FQ9"/>
    <mergeCell ref="FP10:FQ10"/>
    <mergeCell ref="FP11:FQ11"/>
    <mergeCell ref="FP16:FQ16"/>
    <mergeCell ref="FP37:FQ37"/>
    <mergeCell ref="FP43:FQ43"/>
    <mergeCell ref="FP44:FQ44"/>
    <mergeCell ref="FP45:FQ45"/>
    <mergeCell ref="FP46:FQ46"/>
    <mergeCell ref="FP47:FQ47"/>
    <mergeCell ref="FP48:FQ48"/>
    <mergeCell ref="FP50:FQ50"/>
    <mergeCell ref="FP51:FQ51"/>
    <mergeCell ref="FP52:FQ52"/>
    <mergeCell ref="FP53:FQ53"/>
    <mergeCell ref="FP61:FQ61"/>
    <mergeCell ref="FP62:FQ62"/>
    <mergeCell ref="FP63:FQ63"/>
    <mergeCell ref="FP64:FQ64"/>
    <mergeCell ref="FP65:FQ65"/>
    <mergeCell ref="FP67:FQ67"/>
    <mergeCell ref="FP68:FQ68"/>
    <mergeCell ref="FP69:FQ69"/>
    <mergeCell ref="FP70:FQ70"/>
    <mergeCell ref="FP71:FQ71"/>
    <mergeCell ref="FP72:FQ72"/>
    <mergeCell ref="FP73:FQ73"/>
    <mergeCell ref="FP74:FQ74"/>
    <mergeCell ref="GE396:GE405"/>
    <mergeCell ref="FL356:FM356"/>
    <mergeCell ref="GE9:GE14"/>
    <mergeCell ref="GE16:GE22"/>
    <mergeCell ref="GE30:GE34"/>
    <mergeCell ref="GE37:GE41"/>
    <mergeCell ref="GE43:GE54"/>
    <mergeCell ref="GE61:GE65"/>
    <mergeCell ref="GE94:GE97"/>
    <mergeCell ref="GE99:GE103"/>
    <mergeCell ref="GE105:GE109"/>
    <mergeCell ref="GE113:GE120"/>
    <mergeCell ref="GE124:GE131"/>
    <mergeCell ref="GE135:GE138"/>
    <mergeCell ref="GE140:GE145"/>
    <mergeCell ref="GE147:GE151"/>
    <mergeCell ref="GE153:GE157"/>
    <mergeCell ref="GE159:GE163"/>
    <mergeCell ref="GE165:GE169"/>
    <mergeCell ref="GE171:GE179"/>
    <mergeCell ref="GE181:GE187"/>
    <mergeCell ref="GE190:GE196"/>
    <mergeCell ref="GE198:GE204"/>
    <mergeCell ref="GE208:GE209"/>
    <mergeCell ref="GE265:GE266"/>
    <mergeCell ref="GE268:GE275"/>
    <mergeCell ref="GE323:GE327"/>
    <mergeCell ref="GE329:GE332"/>
    <mergeCell ref="GE334:GE338"/>
    <mergeCell ref="GE341:GE346"/>
    <mergeCell ref="GE348:GE353"/>
    <mergeCell ref="GE355:GE360"/>
    <mergeCell ref="GE362:GE367"/>
    <mergeCell ref="GE369:GE372"/>
    <mergeCell ref="GE374:GE376"/>
    <mergeCell ref="FL357:FM357"/>
    <mergeCell ref="FL358:FM358"/>
    <mergeCell ref="FL359:FM359"/>
    <mergeCell ref="FL360:FM360"/>
    <mergeCell ref="FL362:FM362"/>
    <mergeCell ref="FL363:FM363"/>
    <mergeCell ref="FL364:FM364"/>
    <mergeCell ref="FL365:FM365"/>
    <mergeCell ref="FL366:FM366"/>
    <mergeCell ref="FL367:FM367"/>
    <mergeCell ref="FL369:FM369"/>
    <mergeCell ref="FL370:FM370"/>
    <mergeCell ref="FL371:FM371"/>
    <mergeCell ref="FL372:FM372"/>
    <mergeCell ref="FL374:FM374"/>
    <mergeCell ref="FL375:FM375"/>
    <mergeCell ref="FL376:FM376"/>
    <mergeCell ref="FL378:FM378"/>
    <mergeCell ref="FL379:FM379"/>
    <mergeCell ref="FL380:FM380"/>
    <mergeCell ref="FL387:FM387"/>
    <mergeCell ref="FL388:FM388"/>
    <mergeCell ref="FL389:FM389"/>
    <mergeCell ref="FL396:FM396"/>
    <mergeCell ref="FL397:FM397"/>
    <mergeCell ref="FL398:FM398"/>
    <mergeCell ref="FL399:FM399"/>
    <mergeCell ref="GD9:GD14"/>
    <mergeCell ref="GD16:GD22"/>
    <mergeCell ref="FJ357:FK357"/>
    <mergeCell ref="FJ358:FK358"/>
    <mergeCell ref="FJ359:FK359"/>
    <mergeCell ref="FJ360:FK360"/>
    <mergeCell ref="FJ362:FK362"/>
    <mergeCell ref="FJ363:FK363"/>
    <mergeCell ref="FJ364:FK364"/>
    <mergeCell ref="FJ365:FK365"/>
    <mergeCell ref="FJ366:FK366"/>
    <mergeCell ref="FJ367:FK367"/>
    <mergeCell ref="FJ369:FK369"/>
    <mergeCell ref="FJ370:FK370"/>
    <mergeCell ref="FJ371:FK371"/>
    <mergeCell ref="FJ372:FK372"/>
    <mergeCell ref="FJ374:FK374"/>
    <mergeCell ref="FJ375:FK375"/>
    <mergeCell ref="FJ376:FK376"/>
    <mergeCell ref="FJ378:FK378"/>
    <mergeCell ref="FJ379:FK379"/>
    <mergeCell ref="FJ380:FK380"/>
    <mergeCell ref="FJ387:FK387"/>
    <mergeCell ref="FJ388:FK388"/>
    <mergeCell ref="FJ389:FK389"/>
    <mergeCell ref="FJ396:FK396"/>
    <mergeCell ref="FJ397:FK397"/>
    <mergeCell ref="FJ398:FK398"/>
    <mergeCell ref="FJ399:FK399"/>
    <mergeCell ref="FJ313:FK313"/>
    <mergeCell ref="FJ314:FK314"/>
    <mergeCell ref="FJ315:FK315"/>
    <mergeCell ref="FJ316:FK316"/>
    <mergeCell ref="FJ318:FK318"/>
    <mergeCell ref="FJ319:FK319"/>
    <mergeCell ref="FJ321:FK321"/>
    <mergeCell ref="FJ323:FK323"/>
    <mergeCell ref="FJ324:FK324"/>
    <mergeCell ref="FJ325:FK325"/>
    <mergeCell ref="FJ326:FK326"/>
    <mergeCell ref="FJ327:FK327"/>
    <mergeCell ref="FJ329:FK329"/>
    <mergeCell ref="FJ330:FK330"/>
    <mergeCell ref="FJ331:FK331"/>
    <mergeCell ref="FJ332:FK332"/>
    <mergeCell ref="FJ334:FK334"/>
    <mergeCell ref="FJ335:FK335"/>
    <mergeCell ref="FJ336:FK336"/>
    <mergeCell ref="FJ338:FK338"/>
    <mergeCell ref="FJ339:FK339"/>
    <mergeCell ref="FJ341:FK341"/>
    <mergeCell ref="FJ342:FK342"/>
    <mergeCell ref="FJ343:FK343"/>
    <mergeCell ref="FJ345:FK345"/>
    <mergeCell ref="FJ346:FK346"/>
    <mergeCell ref="FJ348:FK348"/>
    <mergeCell ref="FJ349:FK349"/>
    <mergeCell ref="FJ350:FK350"/>
    <mergeCell ref="FJ352:FK352"/>
    <mergeCell ref="FJ353:FK353"/>
    <mergeCell ref="FJ355:FK355"/>
    <mergeCell ref="FJ356:FK356"/>
    <mergeCell ref="FJ254:FK254"/>
    <mergeCell ref="FJ255:FK255"/>
    <mergeCell ref="FJ256:FK256"/>
    <mergeCell ref="FJ257:FK257"/>
    <mergeCell ref="FJ259:FK259"/>
    <mergeCell ref="FJ261:FK261"/>
    <mergeCell ref="FJ262:FK262"/>
    <mergeCell ref="FJ263:FK263"/>
    <mergeCell ref="FJ265:FK265"/>
    <mergeCell ref="FJ268:FK268"/>
    <mergeCell ref="FJ269:FK269"/>
    <mergeCell ref="FJ270:FK270"/>
    <mergeCell ref="FJ271:FK271"/>
    <mergeCell ref="FJ277:FK277"/>
    <mergeCell ref="FJ278:FK278"/>
    <mergeCell ref="FJ279:FK279"/>
    <mergeCell ref="FJ288:FK288"/>
    <mergeCell ref="FJ291:FK291"/>
    <mergeCell ref="FJ292:FK292"/>
    <mergeCell ref="FJ293:FK293"/>
    <mergeCell ref="FJ294:FK294"/>
    <mergeCell ref="FJ295:FK295"/>
    <mergeCell ref="FJ296:FK296"/>
    <mergeCell ref="FJ297:FK297"/>
    <mergeCell ref="FJ298:FK298"/>
    <mergeCell ref="FJ299:FK299"/>
    <mergeCell ref="FJ301:FK301"/>
    <mergeCell ref="FJ302:FK302"/>
    <mergeCell ref="FJ303:FK303"/>
    <mergeCell ref="FJ304:FK304"/>
    <mergeCell ref="FJ306:FK306"/>
    <mergeCell ref="FJ309:FK309"/>
    <mergeCell ref="FJ310:FK310"/>
    <mergeCell ref="FJ307:FK307"/>
    <mergeCell ref="FJ212:FK212"/>
    <mergeCell ref="FJ213:FK213"/>
    <mergeCell ref="FJ214:FK214"/>
    <mergeCell ref="FJ221:FK221"/>
    <mergeCell ref="FJ222:FK222"/>
    <mergeCell ref="FJ223:FK223"/>
    <mergeCell ref="FJ224:FK224"/>
    <mergeCell ref="FJ225:FK225"/>
    <mergeCell ref="FJ226:FK226"/>
    <mergeCell ref="FJ227:FK227"/>
    <mergeCell ref="FJ228:FK228"/>
    <mergeCell ref="FJ229:FK229"/>
    <mergeCell ref="FJ230:FK230"/>
    <mergeCell ref="FJ231:FK231"/>
    <mergeCell ref="FJ232:FK232"/>
    <mergeCell ref="FJ234:FK234"/>
    <mergeCell ref="FJ235:FK235"/>
    <mergeCell ref="FJ236:FK236"/>
    <mergeCell ref="FJ237:FK237"/>
    <mergeCell ref="FJ238:FK238"/>
    <mergeCell ref="FJ239:FK239"/>
    <mergeCell ref="FJ240:FK240"/>
    <mergeCell ref="FJ241:FK241"/>
    <mergeCell ref="FJ242:FK242"/>
    <mergeCell ref="FJ243:FK243"/>
    <mergeCell ref="FJ244:FK244"/>
    <mergeCell ref="FJ246:FK246"/>
    <mergeCell ref="FJ247:FK247"/>
    <mergeCell ref="FJ248:FK248"/>
    <mergeCell ref="FJ249:FK249"/>
    <mergeCell ref="FJ250:FK250"/>
    <mergeCell ref="FJ251:FK251"/>
    <mergeCell ref="FJ252:FK252"/>
    <mergeCell ref="FJ149:FK149"/>
    <mergeCell ref="FJ151:FK151"/>
    <mergeCell ref="FJ153:FK153"/>
    <mergeCell ref="FJ154:FK154"/>
    <mergeCell ref="FJ155:FK155"/>
    <mergeCell ref="FJ157:FK157"/>
    <mergeCell ref="FJ159:FK159"/>
    <mergeCell ref="FJ160:FK160"/>
    <mergeCell ref="FJ161:FK161"/>
    <mergeCell ref="FJ163:FK163"/>
    <mergeCell ref="FJ165:FK165"/>
    <mergeCell ref="FJ166:FK166"/>
    <mergeCell ref="FJ167:FK167"/>
    <mergeCell ref="FJ168:FK168"/>
    <mergeCell ref="FJ169:FK169"/>
    <mergeCell ref="FJ172:FK172"/>
    <mergeCell ref="FJ176:FK176"/>
    <mergeCell ref="FJ177:FK177"/>
    <mergeCell ref="FJ178:FK178"/>
    <mergeCell ref="FJ179:FK179"/>
    <mergeCell ref="FJ181:FK181"/>
    <mergeCell ref="FJ182:FK182"/>
    <mergeCell ref="FJ183:FK183"/>
    <mergeCell ref="FJ190:FK190"/>
    <mergeCell ref="FJ191:FK191"/>
    <mergeCell ref="FJ192:FK192"/>
    <mergeCell ref="FJ198:FK198"/>
    <mergeCell ref="FJ199:FK199"/>
    <mergeCell ref="FJ200:FK200"/>
    <mergeCell ref="FJ206:FK206"/>
    <mergeCell ref="FJ207:FK207"/>
    <mergeCell ref="FJ208:FK208"/>
    <mergeCell ref="FJ211:FK211"/>
    <mergeCell ref="FJ94:FK94"/>
    <mergeCell ref="FJ95:FK95"/>
    <mergeCell ref="FJ96:FK96"/>
    <mergeCell ref="FJ97:FK97"/>
    <mergeCell ref="FJ99:FK99"/>
    <mergeCell ref="FJ100:FK100"/>
    <mergeCell ref="FJ101:FK101"/>
    <mergeCell ref="FJ102:FK102"/>
    <mergeCell ref="FJ103:FK103"/>
    <mergeCell ref="FJ105:FK105"/>
    <mergeCell ref="FJ106:FK106"/>
    <mergeCell ref="FJ107:FK107"/>
    <mergeCell ref="FJ108:FK108"/>
    <mergeCell ref="FJ109:FK109"/>
    <mergeCell ref="FJ110:FK110"/>
    <mergeCell ref="FJ111:FK111"/>
    <mergeCell ref="FJ113:FK113"/>
    <mergeCell ref="FJ114:FK114"/>
    <mergeCell ref="FJ122:FK122"/>
    <mergeCell ref="FJ124:FK124"/>
    <mergeCell ref="FJ125:FK125"/>
    <mergeCell ref="FJ133:FK133"/>
    <mergeCell ref="FJ135:FK135"/>
    <mergeCell ref="FJ136:FK136"/>
    <mergeCell ref="FJ137:FK137"/>
    <mergeCell ref="FJ138:FK138"/>
    <mergeCell ref="FJ140:FK140"/>
    <mergeCell ref="FJ141:FK141"/>
    <mergeCell ref="FJ142:FK142"/>
    <mergeCell ref="FJ144:FK144"/>
    <mergeCell ref="FJ145:FK145"/>
    <mergeCell ref="FJ147:FK147"/>
    <mergeCell ref="FJ148:FK148"/>
    <mergeCell ref="FJ2:FK2"/>
    <mergeCell ref="FJ3:FK3"/>
    <mergeCell ref="FJ4:FK4"/>
    <mergeCell ref="FJ5:FK5"/>
    <mergeCell ref="FJ7:FK7"/>
    <mergeCell ref="FJ9:FK9"/>
    <mergeCell ref="FJ10:FK10"/>
    <mergeCell ref="FJ11:FK11"/>
    <mergeCell ref="FJ16:FK16"/>
    <mergeCell ref="FJ37:FK37"/>
    <mergeCell ref="FJ43:FK43"/>
    <mergeCell ref="FJ44:FK44"/>
    <mergeCell ref="FJ45:FK45"/>
    <mergeCell ref="FJ46:FK46"/>
    <mergeCell ref="FJ47:FK47"/>
    <mergeCell ref="FJ48:FK48"/>
    <mergeCell ref="FJ50:FK50"/>
    <mergeCell ref="FJ51:FK51"/>
    <mergeCell ref="FJ52:FK52"/>
    <mergeCell ref="FJ53:FK53"/>
    <mergeCell ref="FJ61:FK61"/>
    <mergeCell ref="FJ62:FK62"/>
    <mergeCell ref="FJ63:FK63"/>
    <mergeCell ref="FJ64:FK64"/>
    <mergeCell ref="FJ65:FK65"/>
    <mergeCell ref="FJ67:FK67"/>
    <mergeCell ref="FJ68:FK68"/>
    <mergeCell ref="FJ69:FK69"/>
    <mergeCell ref="FJ70:FK70"/>
    <mergeCell ref="FJ71:FK71"/>
    <mergeCell ref="FJ72:FK72"/>
    <mergeCell ref="FJ73:FK73"/>
    <mergeCell ref="FJ74:FK74"/>
    <mergeCell ref="GD30:GD34"/>
    <mergeCell ref="GD37:GD41"/>
    <mergeCell ref="GD43:GD54"/>
    <mergeCell ref="GD61:GD65"/>
    <mergeCell ref="GD94:GD97"/>
    <mergeCell ref="GD99:GD103"/>
    <mergeCell ref="GD105:GD109"/>
    <mergeCell ref="GD113:GD120"/>
    <mergeCell ref="GD124:GD131"/>
    <mergeCell ref="GD135:GD138"/>
    <mergeCell ref="GD140:GD145"/>
    <mergeCell ref="GD147:GD151"/>
    <mergeCell ref="GD153:GD157"/>
    <mergeCell ref="GD159:GD163"/>
    <mergeCell ref="GD165:GD169"/>
    <mergeCell ref="GD171:GD179"/>
    <mergeCell ref="GD181:GD187"/>
    <mergeCell ref="GD190:GD196"/>
    <mergeCell ref="GD198:GD204"/>
    <mergeCell ref="GD208:GD209"/>
    <mergeCell ref="GD265:GD266"/>
    <mergeCell ref="GD268:GD275"/>
    <mergeCell ref="GD323:GD327"/>
    <mergeCell ref="GD329:GD332"/>
    <mergeCell ref="GD334:GD338"/>
    <mergeCell ref="GD341:GD346"/>
    <mergeCell ref="GD348:GD353"/>
    <mergeCell ref="GD355:GD360"/>
    <mergeCell ref="GD362:GD367"/>
    <mergeCell ref="GD369:GD372"/>
    <mergeCell ref="GD374:GD376"/>
    <mergeCell ref="GD378:GD385"/>
    <mergeCell ref="GD387:GD394"/>
    <mergeCell ref="GD396:GD405"/>
    <mergeCell ref="FL313:FM313"/>
    <mergeCell ref="FL314:FM314"/>
    <mergeCell ref="FL315:FM315"/>
    <mergeCell ref="FL316:FM316"/>
    <mergeCell ref="FL318:FM318"/>
    <mergeCell ref="FL319:FM319"/>
    <mergeCell ref="FL321:FM321"/>
    <mergeCell ref="FL323:FM323"/>
    <mergeCell ref="FL324:FM324"/>
    <mergeCell ref="FL325:FM325"/>
    <mergeCell ref="FL326:FM326"/>
    <mergeCell ref="FL327:FM327"/>
    <mergeCell ref="FL329:FM329"/>
    <mergeCell ref="FL330:FM330"/>
    <mergeCell ref="FL331:FM331"/>
    <mergeCell ref="FL332:FM332"/>
    <mergeCell ref="FL334:FM334"/>
    <mergeCell ref="FL335:FM335"/>
    <mergeCell ref="FL336:FM336"/>
    <mergeCell ref="FL338:FM338"/>
    <mergeCell ref="FL339:FM339"/>
    <mergeCell ref="FL341:FM341"/>
    <mergeCell ref="FL342:FM342"/>
    <mergeCell ref="FL343:FM343"/>
    <mergeCell ref="FL345:FM345"/>
    <mergeCell ref="FL346:FM346"/>
    <mergeCell ref="FL348:FM348"/>
    <mergeCell ref="FL349:FM349"/>
    <mergeCell ref="FL350:FM350"/>
    <mergeCell ref="FL352:FM352"/>
    <mergeCell ref="FL353:FM353"/>
    <mergeCell ref="FL355:FM355"/>
    <mergeCell ref="FT323:FT327"/>
    <mergeCell ref="FT329:FT332"/>
    <mergeCell ref="FT334:FT338"/>
    <mergeCell ref="FT341:FT346"/>
    <mergeCell ref="FT348:FT353"/>
    <mergeCell ref="FT355:FT360"/>
    <mergeCell ref="FT362:FT367"/>
    <mergeCell ref="FT369:FT372"/>
    <mergeCell ref="FT374:FT376"/>
    <mergeCell ref="FT378:FT385"/>
    <mergeCell ref="FR387:FR394"/>
    <mergeCell ref="FR396:FR405"/>
    <mergeCell ref="FN313:FO313"/>
    <mergeCell ref="FN314:FO314"/>
    <mergeCell ref="FN315:FO315"/>
    <mergeCell ref="FN316:FO316"/>
    <mergeCell ref="FN318:FO318"/>
    <mergeCell ref="FN319:FO319"/>
    <mergeCell ref="FN321:FO321"/>
    <mergeCell ref="FN323:FO323"/>
    <mergeCell ref="FN324:FO324"/>
    <mergeCell ref="FN325:FO325"/>
    <mergeCell ref="FN326:FO326"/>
    <mergeCell ref="FN327:FO327"/>
    <mergeCell ref="FN329:FO329"/>
    <mergeCell ref="FN330:FO330"/>
    <mergeCell ref="FN331:FO331"/>
    <mergeCell ref="FN332:FO332"/>
    <mergeCell ref="FN334:FO334"/>
    <mergeCell ref="FN357:FO357"/>
    <mergeCell ref="FN358:FO358"/>
    <mergeCell ref="FL254:FM254"/>
    <mergeCell ref="FL255:FM255"/>
    <mergeCell ref="FL256:FM256"/>
    <mergeCell ref="FL257:FM257"/>
    <mergeCell ref="FL259:FM259"/>
    <mergeCell ref="FL261:FM261"/>
    <mergeCell ref="FL262:FM262"/>
    <mergeCell ref="FL263:FM263"/>
    <mergeCell ref="FL265:FM265"/>
    <mergeCell ref="FL268:FM268"/>
    <mergeCell ref="FL269:FM269"/>
    <mergeCell ref="FL270:FM270"/>
    <mergeCell ref="FL271:FM271"/>
    <mergeCell ref="FL277:FM277"/>
    <mergeCell ref="FL278:FM278"/>
    <mergeCell ref="FL279:FM279"/>
    <mergeCell ref="FL288:FM288"/>
    <mergeCell ref="FL291:FM291"/>
    <mergeCell ref="FL292:FM292"/>
    <mergeCell ref="FL293:FM293"/>
    <mergeCell ref="FL294:FM294"/>
    <mergeCell ref="FL295:FM295"/>
    <mergeCell ref="FL296:FM296"/>
    <mergeCell ref="FL297:FM297"/>
    <mergeCell ref="FL298:FM298"/>
    <mergeCell ref="FL299:FM299"/>
    <mergeCell ref="FL301:FM301"/>
    <mergeCell ref="FL302:FM302"/>
    <mergeCell ref="FL303:FM303"/>
    <mergeCell ref="FL304:FM304"/>
    <mergeCell ref="FL306:FM306"/>
    <mergeCell ref="FL309:FM309"/>
    <mergeCell ref="FL310:FM310"/>
    <mergeCell ref="FL307:FM307"/>
    <mergeCell ref="FL212:FM212"/>
    <mergeCell ref="FL213:FM213"/>
    <mergeCell ref="FL214:FM214"/>
    <mergeCell ref="FL221:FM221"/>
    <mergeCell ref="FL222:FM222"/>
    <mergeCell ref="FL223:FM223"/>
    <mergeCell ref="FL224:FM224"/>
    <mergeCell ref="FL225:FM225"/>
    <mergeCell ref="FL226:FM226"/>
    <mergeCell ref="FL227:FM227"/>
    <mergeCell ref="FL228:FM228"/>
    <mergeCell ref="FL229:FM229"/>
    <mergeCell ref="FL230:FM230"/>
    <mergeCell ref="FL231:FM231"/>
    <mergeCell ref="FL232:FM232"/>
    <mergeCell ref="FL234:FM234"/>
    <mergeCell ref="FL235:FM235"/>
    <mergeCell ref="FL236:FM236"/>
    <mergeCell ref="FL237:FM237"/>
    <mergeCell ref="FL238:FM238"/>
    <mergeCell ref="FL239:FM239"/>
    <mergeCell ref="FL240:FM240"/>
    <mergeCell ref="FL241:FM241"/>
    <mergeCell ref="FL242:FM242"/>
    <mergeCell ref="FL243:FM243"/>
    <mergeCell ref="FL244:FM244"/>
    <mergeCell ref="FL246:FM246"/>
    <mergeCell ref="FL247:FM247"/>
    <mergeCell ref="FL248:FM248"/>
    <mergeCell ref="FL249:FM249"/>
    <mergeCell ref="FL250:FM250"/>
    <mergeCell ref="FL251:FM251"/>
    <mergeCell ref="FL252:FM252"/>
    <mergeCell ref="FL149:FM149"/>
    <mergeCell ref="FL151:FM151"/>
    <mergeCell ref="FL153:FM153"/>
    <mergeCell ref="FL154:FM154"/>
    <mergeCell ref="FL155:FM155"/>
    <mergeCell ref="FL157:FM157"/>
    <mergeCell ref="FL159:FM159"/>
    <mergeCell ref="FL160:FM160"/>
    <mergeCell ref="FL161:FM161"/>
    <mergeCell ref="FL163:FM163"/>
    <mergeCell ref="FL165:FM165"/>
    <mergeCell ref="FL166:FM166"/>
    <mergeCell ref="FL167:FM167"/>
    <mergeCell ref="FL168:FM168"/>
    <mergeCell ref="FL169:FM169"/>
    <mergeCell ref="FL172:FM172"/>
    <mergeCell ref="FL176:FM176"/>
    <mergeCell ref="FL177:FM177"/>
    <mergeCell ref="FL178:FM178"/>
    <mergeCell ref="FL179:FM179"/>
    <mergeCell ref="FL181:FM181"/>
    <mergeCell ref="FL182:FM182"/>
    <mergeCell ref="FL183:FM183"/>
    <mergeCell ref="FL190:FM190"/>
    <mergeCell ref="FL191:FM191"/>
    <mergeCell ref="FL192:FM192"/>
    <mergeCell ref="FL198:FM198"/>
    <mergeCell ref="FL199:FM199"/>
    <mergeCell ref="FL200:FM200"/>
    <mergeCell ref="FL206:FM206"/>
    <mergeCell ref="FL207:FM207"/>
    <mergeCell ref="FL208:FM208"/>
    <mergeCell ref="FL211:FM211"/>
    <mergeCell ref="FL94:FM94"/>
    <mergeCell ref="FL95:FM95"/>
    <mergeCell ref="FL96:FM96"/>
    <mergeCell ref="FL97:FM97"/>
    <mergeCell ref="FL99:FM99"/>
    <mergeCell ref="FL100:FM100"/>
    <mergeCell ref="FL101:FM101"/>
    <mergeCell ref="FL102:FM102"/>
    <mergeCell ref="FL103:FM103"/>
    <mergeCell ref="FL105:FM105"/>
    <mergeCell ref="FL106:FM106"/>
    <mergeCell ref="FL107:FM107"/>
    <mergeCell ref="FL108:FM108"/>
    <mergeCell ref="FL109:FM109"/>
    <mergeCell ref="FL110:FM110"/>
    <mergeCell ref="FL111:FM111"/>
    <mergeCell ref="FL113:FM113"/>
    <mergeCell ref="FL114:FM114"/>
    <mergeCell ref="FL122:FM122"/>
    <mergeCell ref="FL124:FM124"/>
    <mergeCell ref="FL125:FM125"/>
    <mergeCell ref="FL133:FM133"/>
    <mergeCell ref="FL135:FM135"/>
    <mergeCell ref="FL136:FM136"/>
    <mergeCell ref="FL137:FM137"/>
    <mergeCell ref="FL138:FM138"/>
    <mergeCell ref="FL140:FM140"/>
    <mergeCell ref="FL141:FM141"/>
    <mergeCell ref="FL142:FM142"/>
    <mergeCell ref="FL144:FM144"/>
    <mergeCell ref="FL145:FM145"/>
    <mergeCell ref="FL147:FM147"/>
    <mergeCell ref="FL148:FM148"/>
    <mergeCell ref="FL2:FM2"/>
    <mergeCell ref="FL3:FM3"/>
    <mergeCell ref="FL4:FM4"/>
    <mergeCell ref="FL5:FM5"/>
    <mergeCell ref="FL7:FM7"/>
    <mergeCell ref="FL9:FM9"/>
    <mergeCell ref="FL10:FM10"/>
    <mergeCell ref="FL11:FM11"/>
    <mergeCell ref="FL16:FM16"/>
    <mergeCell ref="FL37:FM37"/>
    <mergeCell ref="FL43:FM43"/>
    <mergeCell ref="FL44:FM44"/>
    <mergeCell ref="FL45:FM45"/>
    <mergeCell ref="FL46:FM46"/>
    <mergeCell ref="FL47:FM47"/>
    <mergeCell ref="FL48:FM48"/>
    <mergeCell ref="FL50:FM50"/>
    <mergeCell ref="FL51:FM51"/>
    <mergeCell ref="FL52:FM52"/>
    <mergeCell ref="FL53:FM53"/>
    <mergeCell ref="FL61:FM61"/>
    <mergeCell ref="FL62:FM62"/>
    <mergeCell ref="FL63:FM63"/>
    <mergeCell ref="FL64:FM64"/>
    <mergeCell ref="FL65:FM65"/>
    <mergeCell ref="FL67:FM67"/>
    <mergeCell ref="FL68:FM68"/>
    <mergeCell ref="FL69:FM69"/>
    <mergeCell ref="FL70:FM70"/>
    <mergeCell ref="FL71:FM71"/>
    <mergeCell ref="FL72:FM72"/>
    <mergeCell ref="FL73:FM73"/>
    <mergeCell ref="FL74:FM74"/>
    <mergeCell ref="I91:J91"/>
    <mergeCell ref="K91:L91"/>
    <mergeCell ref="M91:N91"/>
    <mergeCell ref="O91:P91"/>
    <mergeCell ref="Q91:R91"/>
    <mergeCell ref="S91:T91"/>
    <mergeCell ref="U91:V91"/>
    <mergeCell ref="W91:X91"/>
    <mergeCell ref="Y91:Z91"/>
    <mergeCell ref="AA91:AB91"/>
    <mergeCell ref="AC91:AD91"/>
    <mergeCell ref="AE91:AF91"/>
    <mergeCell ref="AG91:AH91"/>
    <mergeCell ref="AI91:AJ91"/>
    <mergeCell ref="AK91:AL91"/>
    <mergeCell ref="AM91:AN91"/>
    <mergeCell ref="AO91:AP91"/>
    <mergeCell ref="AQ91:AR91"/>
    <mergeCell ref="AS91:AT91"/>
    <mergeCell ref="AU91:AV91"/>
    <mergeCell ref="AW91:AX91"/>
    <mergeCell ref="AY91:AZ91"/>
    <mergeCell ref="BA91:BB91"/>
    <mergeCell ref="BC91:BD91"/>
    <mergeCell ref="BE91:BF91"/>
    <mergeCell ref="BG91:BH91"/>
    <mergeCell ref="BI91:BJ91"/>
    <mergeCell ref="FB357:FC357"/>
    <mergeCell ref="FB358:FC358"/>
    <mergeCell ref="FB359:FC359"/>
    <mergeCell ref="FB360:FC360"/>
    <mergeCell ref="FB362:FC362"/>
    <mergeCell ref="FB363:FC363"/>
    <mergeCell ref="FB323:FC323"/>
    <mergeCell ref="FB324:FC324"/>
    <mergeCell ref="FB325:FC325"/>
    <mergeCell ref="FB326:FC326"/>
    <mergeCell ref="FB327:FC327"/>
    <mergeCell ref="FB329:FC329"/>
    <mergeCell ref="FB330:FC330"/>
    <mergeCell ref="FB331:FC331"/>
    <mergeCell ref="FB332:FC332"/>
    <mergeCell ref="FB334:FC334"/>
    <mergeCell ref="FB335:FC335"/>
    <mergeCell ref="FB336:FC336"/>
    <mergeCell ref="FB338:FC338"/>
    <mergeCell ref="FB339:FC339"/>
    <mergeCell ref="FB341:FC341"/>
    <mergeCell ref="FB342:FC342"/>
    <mergeCell ref="FB343:FC343"/>
    <mergeCell ref="FB345:FC345"/>
    <mergeCell ref="FB346:FC346"/>
    <mergeCell ref="FB348:FC348"/>
    <mergeCell ref="FB349:FC349"/>
    <mergeCell ref="FB350:FC350"/>
    <mergeCell ref="FB352:FC352"/>
    <mergeCell ref="FB353:FC353"/>
    <mergeCell ref="FB355:FC355"/>
    <mergeCell ref="FB356:FC356"/>
    <mergeCell ref="FB254:FC254"/>
    <mergeCell ref="FB255:FC255"/>
    <mergeCell ref="FB256:FC256"/>
    <mergeCell ref="FB257:FC257"/>
    <mergeCell ref="FB259:FC259"/>
    <mergeCell ref="FB364:FC364"/>
    <mergeCell ref="FB365:FC365"/>
    <mergeCell ref="FB366:FC366"/>
    <mergeCell ref="FB367:FC367"/>
    <mergeCell ref="FB369:FC369"/>
    <mergeCell ref="FB370:FC370"/>
    <mergeCell ref="FB371:FC371"/>
    <mergeCell ref="FB372:FC372"/>
    <mergeCell ref="FB374:FC374"/>
    <mergeCell ref="FB375:FC375"/>
    <mergeCell ref="FB376:FC376"/>
    <mergeCell ref="FB378:FC378"/>
    <mergeCell ref="FB379:FC379"/>
    <mergeCell ref="FB380:FC380"/>
    <mergeCell ref="FB387:FC387"/>
    <mergeCell ref="FB388:FC388"/>
    <mergeCell ref="FB389:FC389"/>
    <mergeCell ref="FB396:FC396"/>
    <mergeCell ref="FB397:FC397"/>
    <mergeCell ref="FB398:FC398"/>
    <mergeCell ref="FB399:FC399"/>
    <mergeCell ref="FZ9:FZ14"/>
    <mergeCell ref="FZ16:FZ22"/>
    <mergeCell ref="FZ30:FZ34"/>
    <mergeCell ref="FZ37:FZ41"/>
    <mergeCell ref="FZ43:FZ54"/>
    <mergeCell ref="FZ61:FZ65"/>
    <mergeCell ref="FZ94:FZ97"/>
    <mergeCell ref="FZ99:FZ103"/>
    <mergeCell ref="FZ105:FZ109"/>
    <mergeCell ref="FZ113:FZ120"/>
    <mergeCell ref="FZ124:FZ131"/>
    <mergeCell ref="FZ135:FZ138"/>
    <mergeCell ref="FZ140:FZ145"/>
    <mergeCell ref="FZ147:FZ151"/>
    <mergeCell ref="FZ153:FZ157"/>
    <mergeCell ref="FZ159:FZ163"/>
    <mergeCell ref="FZ165:FZ169"/>
    <mergeCell ref="FZ171:FZ179"/>
    <mergeCell ref="FZ181:FZ187"/>
    <mergeCell ref="FZ190:FZ196"/>
    <mergeCell ref="FZ198:FZ204"/>
    <mergeCell ref="FZ208:FZ209"/>
    <mergeCell ref="FZ265:FZ266"/>
    <mergeCell ref="FZ268:FZ275"/>
    <mergeCell ref="FZ323:FZ327"/>
    <mergeCell ref="FZ329:FZ332"/>
    <mergeCell ref="FZ334:FZ338"/>
    <mergeCell ref="FZ341:FZ346"/>
    <mergeCell ref="FZ348:FZ353"/>
    <mergeCell ref="FZ355:FZ360"/>
    <mergeCell ref="FZ362:FZ367"/>
    <mergeCell ref="FZ369:FZ372"/>
    <mergeCell ref="FZ374:FZ376"/>
    <mergeCell ref="FZ378:FZ385"/>
    <mergeCell ref="FZ387:FZ394"/>
    <mergeCell ref="FZ396:FZ405"/>
    <mergeCell ref="FB313:FC313"/>
    <mergeCell ref="FB314:FC314"/>
    <mergeCell ref="FB315:FC315"/>
    <mergeCell ref="FB316:FC316"/>
    <mergeCell ref="FB318:FC318"/>
    <mergeCell ref="FB319:FC319"/>
    <mergeCell ref="FB321:FC321"/>
    <mergeCell ref="FB261:FC261"/>
    <mergeCell ref="FB262:FC262"/>
    <mergeCell ref="FB263:FC263"/>
    <mergeCell ref="FB265:FC265"/>
    <mergeCell ref="FB268:FC268"/>
    <mergeCell ref="FB269:FC269"/>
    <mergeCell ref="FB270:FC270"/>
    <mergeCell ref="FB271:FC271"/>
    <mergeCell ref="FB277:FC277"/>
    <mergeCell ref="FB278:FC278"/>
    <mergeCell ref="FB279:FC279"/>
    <mergeCell ref="FB288:FC288"/>
    <mergeCell ref="FB291:FC291"/>
    <mergeCell ref="FB292:FC292"/>
    <mergeCell ref="FB293:FC293"/>
    <mergeCell ref="FB294:FC294"/>
    <mergeCell ref="FB295:FC295"/>
    <mergeCell ref="FB296:FC296"/>
    <mergeCell ref="FB297:FC297"/>
    <mergeCell ref="FB298:FC298"/>
    <mergeCell ref="FB299:FC299"/>
    <mergeCell ref="FB301:FC301"/>
    <mergeCell ref="FB302:FC302"/>
    <mergeCell ref="FB303:FC303"/>
    <mergeCell ref="FB304:FC304"/>
    <mergeCell ref="FB306:FC306"/>
    <mergeCell ref="FB309:FC309"/>
    <mergeCell ref="FB310:FC310"/>
    <mergeCell ref="FB212:FC212"/>
    <mergeCell ref="FB213:FC213"/>
    <mergeCell ref="FB214:FC214"/>
    <mergeCell ref="FB221:FC221"/>
    <mergeCell ref="FB222:FC222"/>
    <mergeCell ref="FB223:FC223"/>
    <mergeCell ref="FB224:FC224"/>
    <mergeCell ref="FB225:FC225"/>
    <mergeCell ref="FB226:FC226"/>
    <mergeCell ref="FB227:FC227"/>
    <mergeCell ref="FB228:FC228"/>
    <mergeCell ref="FB229:FC229"/>
    <mergeCell ref="FB230:FC230"/>
    <mergeCell ref="FB231:FC231"/>
    <mergeCell ref="FB232:FC232"/>
    <mergeCell ref="FB234:FC234"/>
    <mergeCell ref="FB235:FC235"/>
    <mergeCell ref="FB236:FC236"/>
    <mergeCell ref="FB237:FC237"/>
    <mergeCell ref="FB238:FC238"/>
    <mergeCell ref="FB239:FC239"/>
    <mergeCell ref="FB240:FC240"/>
    <mergeCell ref="FB241:FC241"/>
    <mergeCell ref="FB242:FC242"/>
    <mergeCell ref="FB243:FC243"/>
    <mergeCell ref="FB244:FC244"/>
    <mergeCell ref="FB246:FC246"/>
    <mergeCell ref="FB247:FC247"/>
    <mergeCell ref="FB248:FC248"/>
    <mergeCell ref="FB249:FC249"/>
    <mergeCell ref="FB250:FC250"/>
    <mergeCell ref="FB251:FC251"/>
    <mergeCell ref="FB252:FC252"/>
    <mergeCell ref="FB307:FC307"/>
    <mergeCell ref="FB149:FC149"/>
    <mergeCell ref="FB151:FC151"/>
    <mergeCell ref="FB153:FC153"/>
    <mergeCell ref="FB154:FC154"/>
    <mergeCell ref="FB155:FC155"/>
    <mergeCell ref="FB157:FC157"/>
    <mergeCell ref="FB159:FC159"/>
    <mergeCell ref="FB160:FC160"/>
    <mergeCell ref="FB161:FC161"/>
    <mergeCell ref="FB163:FC163"/>
    <mergeCell ref="FB165:FC165"/>
    <mergeCell ref="FB166:FC166"/>
    <mergeCell ref="FB167:FC167"/>
    <mergeCell ref="FB168:FC168"/>
    <mergeCell ref="FB169:FC169"/>
    <mergeCell ref="FB172:FC172"/>
    <mergeCell ref="FB176:FC176"/>
    <mergeCell ref="FB177:FC177"/>
    <mergeCell ref="FB178:FC178"/>
    <mergeCell ref="FB179:FC179"/>
    <mergeCell ref="FB181:FC181"/>
    <mergeCell ref="FB182:FC182"/>
    <mergeCell ref="FB183:FC183"/>
    <mergeCell ref="FB190:FC190"/>
    <mergeCell ref="FB191:FC191"/>
    <mergeCell ref="FB192:FC192"/>
    <mergeCell ref="FB198:FC198"/>
    <mergeCell ref="FB199:FC199"/>
    <mergeCell ref="FB200:FC200"/>
    <mergeCell ref="FB206:FC206"/>
    <mergeCell ref="FB207:FC207"/>
    <mergeCell ref="FB208:FC208"/>
    <mergeCell ref="FB211:FC211"/>
    <mergeCell ref="FB94:FC94"/>
    <mergeCell ref="FB95:FC95"/>
    <mergeCell ref="FB96:FC96"/>
    <mergeCell ref="FB97:FC97"/>
    <mergeCell ref="FB99:FC99"/>
    <mergeCell ref="FB100:FC100"/>
    <mergeCell ref="FB101:FC101"/>
    <mergeCell ref="FB102:FC102"/>
    <mergeCell ref="FB103:FC103"/>
    <mergeCell ref="FB105:FC105"/>
    <mergeCell ref="FB106:FC106"/>
    <mergeCell ref="FB107:FC107"/>
    <mergeCell ref="FB108:FC108"/>
    <mergeCell ref="FB109:FC109"/>
    <mergeCell ref="FB110:FC110"/>
    <mergeCell ref="FB111:FC111"/>
    <mergeCell ref="FB113:FC113"/>
    <mergeCell ref="FB114:FC114"/>
    <mergeCell ref="FB122:FC122"/>
    <mergeCell ref="FB124:FC124"/>
    <mergeCell ref="FB125:FC125"/>
    <mergeCell ref="FB133:FC133"/>
    <mergeCell ref="FB135:FC135"/>
    <mergeCell ref="FB136:FC136"/>
    <mergeCell ref="FB137:FC137"/>
    <mergeCell ref="FB138:FC138"/>
    <mergeCell ref="FB140:FC140"/>
    <mergeCell ref="FB141:FC141"/>
    <mergeCell ref="FB142:FC142"/>
    <mergeCell ref="FB144:FC144"/>
    <mergeCell ref="FB145:FC145"/>
    <mergeCell ref="FB147:FC147"/>
    <mergeCell ref="FB148:FC148"/>
    <mergeCell ref="FB2:FC2"/>
    <mergeCell ref="FB3:FC3"/>
    <mergeCell ref="FB4:FC4"/>
    <mergeCell ref="FB5:FC5"/>
    <mergeCell ref="FB7:FC7"/>
    <mergeCell ref="FB9:FC9"/>
    <mergeCell ref="FB10:FC10"/>
    <mergeCell ref="FB11:FC11"/>
    <mergeCell ref="FB16:FC16"/>
    <mergeCell ref="FB37:FC37"/>
    <mergeCell ref="FB43:FC43"/>
    <mergeCell ref="FB44:FC44"/>
    <mergeCell ref="FB45:FC45"/>
    <mergeCell ref="FB46:FC46"/>
    <mergeCell ref="FB47:FC47"/>
    <mergeCell ref="FB48:FC48"/>
    <mergeCell ref="FB50:FC50"/>
    <mergeCell ref="FB51:FC51"/>
    <mergeCell ref="FB52:FC52"/>
    <mergeCell ref="FB53:FC53"/>
    <mergeCell ref="FB61:FC61"/>
    <mergeCell ref="FB62:FC62"/>
    <mergeCell ref="FB63:FC63"/>
    <mergeCell ref="FB64:FC64"/>
    <mergeCell ref="FB65:FC65"/>
    <mergeCell ref="FB67:FC67"/>
    <mergeCell ref="FB68:FC68"/>
    <mergeCell ref="FB69:FC69"/>
    <mergeCell ref="FB70:FC70"/>
    <mergeCell ref="FB71:FC71"/>
    <mergeCell ref="FB72:FC72"/>
    <mergeCell ref="FB73:FC73"/>
    <mergeCell ref="FB74:FC74"/>
    <mergeCell ref="FV30:FV34"/>
    <mergeCell ref="FW30:FW34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I90:AJ90"/>
    <mergeCell ref="AK90:AL90"/>
    <mergeCell ref="AM90:AN90"/>
    <mergeCell ref="AO90:AP90"/>
    <mergeCell ref="AQ90:AR90"/>
    <mergeCell ref="AS90:AT90"/>
    <mergeCell ref="AU90:AV90"/>
    <mergeCell ref="AW90:AX90"/>
    <mergeCell ref="AY90:AZ90"/>
    <mergeCell ref="BA90:BB90"/>
    <mergeCell ref="BC90:BD90"/>
    <mergeCell ref="BE90:BF90"/>
    <mergeCell ref="BG90:BH90"/>
    <mergeCell ref="BI90:BJ90"/>
    <mergeCell ref="EZ357:FA357"/>
    <mergeCell ref="EZ359:FA359"/>
    <mergeCell ref="EZ360:FA360"/>
    <mergeCell ref="EZ362:FA362"/>
    <mergeCell ref="EZ254:FA254"/>
    <mergeCell ref="EZ255:FA255"/>
    <mergeCell ref="EZ256:FA256"/>
    <mergeCell ref="EZ257:FA257"/>
    <mergeCell ref="EZ259:FA259"/>
    <mergeCell ref="EZ261:FA261"/>
    <mergeCell ref="EZ262:FA262"/>
    <mergeCell ref="EZ263:FA263"/>
    <mergeCell ref="EZ265:FA265"/>
    <mergeCell ref="EZ268:FA268"/>
    <mergeCell ref="EZ269:FA269"/>
    <mergeCell ref="EZ270:FA270"/>
    <mergeCell ref="EZ271:FA271"/>
    <mergeCell ref="EZ277:FA277"/>
    <mergeCell ref="EZ278:FA278"/>
    <mergeCell ref="EZ279:FA279"/>
    <mergeCell ref="EZ288:FA288"/>
    <mergeCell ref="EZ291:FA291"/>
    <mergeCell ref="EZ292:FA292"/>
    <mergeCell ref="EZ293:FA293"/>
    <mergeCell ref="EZ294:FA294"/>
    <mergeCell ref="EZ295:FA295"/>
    <mergeCell ref="EZ296:FA296"/>
    <mergeCell ref="EZ297:FA297"/>
    <mergeCell ref="EZ298:FA298"/>
    <mergeCell ref="EZ299:FA299"/>
    <mergeCell ref="EZ301:FA301"/>
    <mergeCell ref="EZ302:FA302"/>
    <mergeCell ref="EZ303:FA303"/>
    <mergeCell ref="EZ304:FA304"/>
    <mergeCell ref="EZ306:FA306"/>
    <mergeCell ref="EZ363:FA363"/>
    <mergeCell ref="EZ364:FA364"/>
    <mergeCell ref="EZ365:FA365"/>
    <mergeCell ref="EZ366:FA366"/>
    <mergeCell ref="EZ367:FA367"/>
    <mergeCell ref="EZ369:FA369"/>
    <mergeCell ref="EZ370:FA370"/>
    <mergeCell ref="EZ371:FA371"/>
    <mergeCell ref="EZ372:FA372"/>
    <mergeCell ref="EZ374:FA374"/>
    <mergeCell ref="EZ375:FA375"/>
    <mergeCell ref="EZ376:FA376"/>
    <mergeCell ref="EZ378:FA378"/>
    <mergeCell ref="EZ379:FA379"/>
    <mergeCell ref="EZ380:FA380"/>
    <mergeCell ref="EZ387:FA387"/>
    <mergeCell ref="EZ388:FA388"/>
    <mergeCell ref="EZ389:FA389"/>
    <mergeCell ref="EZ396:FA396"/>
    <mergeCell ref="EZ397:FA397"/>
    <mergeCell ref="EZ398:FA398"/>
    <mergeCell ref="EZ399:FA399"/>
    <mergeCell ref="EZ313:FA313"/>
    <mergeCell ref="EZ314:FA314"/>
    <mergeCell ref="EZ315:FA315"/>
    <mergeCell ref="EZ316:FA316"/>
    <mergeCell ref="EZ318:FA318"/>
    <mergeCell ref="EZ319:FA319"/>
    <mergeCell ref="EZ321:FA321"/>
    <mergeCell ref="EZ323:FA323"/>
    <mergeCell ref="EZ324:FA324"/>
    <mergeCell ref="EZ325:FA325"/>
    <mergeCell ref="EZ326:FA326"/>
    <mergeCell ref="EZ327:FA327"/>
    <mergeCell ref="EZ329:FA329"/>
    <mergeCell ref="EZ330:FA330"/>
    <mergeCell ref="EZ331:FA331"/>
    <mergeCell ref="EZ332:FA332"/>
    <mergeCell ref="EZ334:FA334"/>
    <mergeCell ref="EZ335:FA335"/>
    <mergeCell ref="EZ336:FA336"/>
    <mergeCell ref="EZ338:FA338"/>
    <mergeCell ref="EZ339:FA339"/>
    <mergeCell ref="EZ341:FA341"/>
    <mergeCell ref="EZ342:FA342"/>
    <mergeCell ref="EZ343:FA343"/>
    <mergeCell ref="EZ345:FA345"/>
    <mergeCell ref="EZ346:FA346"/>
    <mergeCell ref="EZ348:FA348"/>
    <mergeCell ref="EZ349:FA349"/>
    <mergeCell ref="EZ350:FA350"/>
    <mergeCell ref="EZ352:FA352"/>
    <mergeCell ref="EZ353:FA353"/>
    <mergeCell ref="EZ355:FA355"/>
    <mergeCell ref="EZ356:FA356"/>
    <mergeCell ref="EZ309:FA309"/>
    <mergeCell ref="EZ310:FA310"/>
    <mergeCell ref="EZ212:FA212"/>
    <mergeCell ref="EZ213:FA213"/>
    <mergeCell ref="EZ214:FA214"/>
    <mergeCell ref="EZ221:FA221"/>
    <mergeCell ref="EZ222:FA222"/>
    <mergeCell ref="EZ223:FA223"/>
    <mergeCell ref="EZ224:FA224"/>
    <mergeCell ref="EZ225:FA225"/>
    <mergeCell ref="EZ226:FA226"/>
    <mergeCell ref="EZ227:FA227"/>
    <mergeCell ref="EZ228:FA228"/>
    <mergeCell ref="EZ229:FA229"/>
    <mergeCell ref="EZ230:FA230"/>
    <mergeCell ref="EZ231:FA231"/>
    <mergeCell ref="EZ232:FA232"/>
    <mergeCell ref="EZ234:FA234"/>
    <mergeCell ref="EZ235:FA235"/>
    <mergeCell ref="EZ236:FA236"/>
    <mergeCell ref="EZ237:FA237"/>
    <mergeCell ref="EZ238:FA238"/>
    <mergeCell ref="EZ239:FA239"/>
    <mergeCell ref="EZ240:FA240"/>
    <mergeCell ref="EZ241:FA241"/>
    <mergeCell ref="EZ242:FA242"/>
    <mergeCell ref="EZ243:FA243"/>
    <mergeCell ref="EZ244:FA244"/>
    <mergeCell ref="EZ246:FA246"/>
    <mergeCell ref="EZ247:FA247"/>
    <mergeCell ref="EZ248:FA248"/>
    <mergeCell ref="EZ249:FA249"/>
    <mergeCell ref="EZ250:FA250"/>
    <mergeCell ref="EZ251:FA251"/>
    <mergeCell ref="EZ252:FA252"/>
    <mergeCell ref="EZ307:FA307"/>
    <mergeCell ref="EZ149:FA149"/>
    <mergeCell ref="EZ151:FA151"/>
    <mergeCell ref="EZ153:FA153"/>
    <mergeCell ref="EZ154:FA154"/>
    <mergeCell ref="EZ155:FA155"/>
    <mergeCell ref="EZ157:FA157"/>
    <mergeCell ref="EZ159:FA159"/>
    <mergeCell ref="EZ160:FA160"/>
    <mergeCell ref="EZ161:FA161"/>
    <mergeCell ref="EZ163:FA163"/>
    <mergeCell ref="EZ165:FA165"/>
    <mergeCell ref="EZ166:FA166"/>
    <mergeCell ref="EZ167:FA167"/>
    <mergeCell ref="EZ168:FA168"/>
    <mergeCell ref="EZ169:FA169"/>
    <mergeCell ref="EZ172:FA172"/>
    <mergeCell ref="EZ176:FA176"/>
    <mergeCell ref="EZ177:FA177"/>
    <mergeCell ref="EZ178:FA178"/>
    <mergeCell ref="EZ179:FA179"/>
    <mergeCell ref="EZ181:FA181"/>
    <mergeCell ref="EZ182:FA182"/>
    <mergeCell ref="EZ183:FA183"/>
    <mergeCell ref="EZ190:FA190"/>
    <mergeCell ref="EZ191:FA191"/>
    <mergeCell ref="EZ192:FA192"/>
    <mergeCell ref="EZ198:FA198"/>
    <mergeCell ref="EZ199:FA199"/>
    <mergeCell ref="EZ200:FA200"/>
    <mergeCell ref="EZ206:FA206"/>
    <mergeCell ref="EZ207:FA207"/>
    <mergeCell ref="EZ208:FA208"/>
    <mergeCell ref="EZ211:FA211"/>
    <mergeCell ref="EZ94:FA94"/>
    <mergeCell ref="EZ95:FA95"/>
    <mergeCell ref="EZ96:FA96"/>
    <mergeCell ref="EZ97:FA97"/>
    <mergeCell ref="EZ99:FA99"/>
    <mergeCell ref="EZ100:FA100"/>
    <mergeCell ref="EZ101:FA101"/>
    <mergeCell ref="EZ102:FA102"/>
    <mergeCell ref="EZ103:FA103"/>
    <mergeCell ref="EZ105:FA105"/>
    <mergeCell ref="EZ106:FA106"/>
    <mergeCell ref="EZ107:FA107"/>
    <mergeCell ref="EZ108:FA108"/>
    <mergeCell ref="EZ109:FA109"/>
    <mergeCell ref="EZ110:FA110"/>
    <mergeCell ref="EZ111:FA111"/>
    <mergeCell ref="EZ113:FA113"/>
    <mergeCell ref="EZ114:FA114"/>
    <mergeCell ref="EZ122:FA122"/>
    <mergeCell ref="EZ124:FA124"/>
    <mergeCell ref="EZ125:FA125"/>
    <mergeCell ref="EZ133:FA133"/>
    <mergeCell ref="EZ135:FA135"/>
    <mergeCell ref="EZ136:FA136"/>
    <mergeCell ref="EZ137:FA137"/>
    <mergeCell ref="EZ138:FA138"/>
    <mergeCell ref="EZ140:FA140"/>
    <mergeCell ref="EZ141:FA141"/>
    <mergeCell ref="EZ142:FA142"/>
    <mergeCell ref="EZ144:FA144"/>
    <mergeCell ref="EZ145:FA145"/>
    <mergeCell ref="EZ147:FA147"/>
    <mergeCell ref="EZ148:FA148"/>
    <mergeCell ref="EZ2:FA2"/>
    <mergeCell ref="EZ3:FA3"/>
    <mergeCell ref="EZ4:FA4"/>
    <mergeCell ref="EZ5:FA5"/>
    <mergeCell ref="EZ7:FA7"/>
    <mergeCell ref="EZ9:FA9"/>
    <mergeCell ref="EZ10:FA10"/>
    <mergeCell ref="EZ11:FA11"/>
    <mergeCell ref="EZ16:FA16"/>
    <mergeCell ref="EZ37:FA37"/>
    <mergeCell ref="EZ43:FA43"/>
    <mergeCell ref="EZ44:FA44"/>
    <mergeCell ref="EZ45:FA45"/>
    <mergeCell ref="EZ46:FA46"/>
    <mergeCell ref="EZ47:FA47"/>
    <mergeCell ref="EZ48:FA48"/>
    <mergeCell ref="EZ50:FA50"/>
    <mergeCell ref="EZ51:FA51"/>
    <mergeCell ref="EZ52:FA52"/>
    <mergeCell ref="EZ53:FA53"/>
    <mergeCell ref="EZ61:FA61"/>
    <mergeCell ref="EZ62:FA62"/>
    <mergeCell ref="EZ63:FA63"/>
    <mergeCell ref="EZ64:FA64"/>
    <mergeCell ref="EZ65:FA65"/>
    <mergeCell ref="EZ67:FA67"/>
    <mergeCell ref="EZ68:FA68"/>
    <mergeCell ref="EZ69:FA69"/>
    <mergeCell ref="EZ70:FA70"/>
    <mergeCell ref="EZ71:FA71"/>
    <mergeCell ref="EZ72:FA72"/>
    <mergeCell ref="EZ73:FA73"/>
    <mergeCell ref="EZ74:FA74"/>
    <mergeCell ref="EX357:EY357"/>
    <mergeCell ref="EX359:EY359"/>
    <mergeCell ref="EX360:EY360"/>
    <mergeCell ref="EX362:EY362"/>
    <mergeCell ref="EX363:EY363"/>
    <mergeCell ref="EX364:EY364"/>
    <mergeCell ref="EX365:EY365"/>
    <mergeCell ref="EX366:EY366"/>
    <mergeCell ref="EX367:EY367"/>
    <mergeCell ref="EX369:EY369"/>
    <mergeCell ref="EX370:EY370"/>
    <mergeCell ref="EX371:EY371"/>
    <mergeCell ref="EX372:EY372"/>
    <mergeCell ref="EX374:EY374"/>
    <mergeCell ref="EX375:EY375"/>
    <mergeCell ref="EX376:EY376"/>
    <mergeCell ref="EX378:EY378"/>
    <mergeCell ref="EX379:EY379"/>
    <mergeCell ref="EX380:EY380"/>
    <mergeCell ref="EX387:EY387"/>
    <mergeCell ref="EX388:EY388"/>
    <mergeCell ref="EX389:EY389"/>
    <mergeCell ref="EX396:EY396"/>
    <mergeCell ref="EX397:EY397"/>
    <mergeCell ref="EX398:EY398"/>
    <mergeCell ref="EX399:EY399"/>
    <mergeCell ref="FX9:FX14"/>
    <mergeCell ref="FX16:FX22"/>
    <mergeCell ref="FX37:FX41"/>
    <mergeCell ref="FX43:FX54"/>
    <mergeCell ref="FX61:FX65"/>
    <mergeCell ref="FX94:FX97"/>
    <mergeCell ref="FX99:FX103"/>
    <mergeCell ref="FX105:FX109"/>
    <mergeCell ref="FX113:FX120"/>
    <mergeCell ref="FX124:FX131"/>
    <mergeCell ref="FX135:FX138"/>
    <mergeCell ref="FX140:FX145"/>
    <mergeCell ref="FX147:FX151"/>
    <mergeCell ref="FX153:FX157"/>
    <mergeCell ref="FX159:FX163"/>
    <mergeCell ref="FX165:FX169"/>
    <mergeCell ref="FX171:FX179"/>
    <mergeCell ref="FX181:FX187"/>
    <mergeCell ref="FX190:FX196"/>
    <mergeCell ref="FX198:FX204"/>
    <mergeCell ref="FX208:FX209"/>
    <mergeCell ref="FX265:FX266"/>
    <mergeCell ref="FX268:FX275"/>
    <mergeCell ref="FX323:FX327"/>
    <mergeCell ref="FX329:FX332"/>
    <mergeCell ref="FX334:FX338"/>
    <mergeCell ref="FX341:FX346"/>
    <mergeCell ref="FX348:FX353"/>
    <mergeCell ref="FX355:FX360"/>
    <mergeCell ref="FX362:FX367"/>
    <mergeCell ref="FX369:FX372"/>
    <mergeCell ref="FX374:FX376"/>
    <mergeCell ref="FX378:FX385"/>
    <mergeCell ref="FX387:FX394"/>
    <mergeCell ref="FX396:FX405"/>
    <mergeCell ref="EX313:EY313"/>
    <mergeCell ref="EX314:EY314"/>
    <mergeCell ref="EX315:EY315"/>
    <mergeCell ref="EX316:EY316"/>
    <mergeCell ref="EX318:EY318"/>
    <mergeCell ref="EX319:EY319"/>
    <mergeCell ref="EX321:EY321"/>
    <mergeCell ref="EX323:EY323"/>
    <mergeCell ref="EX324:EY324"/>
    <mergeCell ref="EX325:EY325"/>
    <mergeCell ref="EX326:EY326"/>
    <mergeCell ref="EX327:EY327"/>
    <mergeCell ref="EX329:EY329"/>
    <mergeCell ref="EX330:EY330"/>
    <mergeCell ref="EX331:EY331"/>
    <mergeCell ref="EX332:EY332"/>
    <mergeCell ref="EX334:EY334"/>
    <mergeCell ref="EX335:EY335"/>
    <mergeCell ref="EX336:EY336"/>
    <mergeCell ref="EX338:EY338"/>
    <mergeCell ref="EX339:EY339"/>
    <mergeCell ref="EX341:EY341"/>
    <mergeCell ref="EX342:EY342"/>
    <mergeCell ref="EX343:EY343"/>
    <mergeCell ref="EX345:EY345"/>
    <mergeCell ref="EX346:EY346"/>
    <mergeCell ref="EX348:EY348"/>
    <mergeCell ref="EX349:EY349"/>
    <mergeCell ref="EX350:EY350"/>
    <mergeCell ref="EX352:EY352"/>
    <mergeCell ref="EX353:EY353"/>
    <mergeCell ref="EX355:EY355"/>
    <mergeCell ref="EX356:EY356"/>
    <mergeCell ref="EX254:EY254"/>
    <mergeCell ref="EX255:EY255"/>
    <mergeCell ref="EX256:EY256"/>
    <mergeCell ref="EX257:EY257"/>
    <mergeCell ref="EX259:EY259"/>
    <mergeCell ref="EX261:EY261"/>
    <mergeCell ref="EX262:EY262"/>
    <mergeCell ref="EX263:EY263"/>
    <mergeCell ref="EX265:EY265"/>
    <mergeCell ref="EX268:EY268"/>
    <mergeCell ref="EX269:EY269"/>
    <mergeCell ref="EX270:EY270"/>
    <mergeCell ref="EX271:EY271"/>
    <mergeCell ref="EX277:EY277"/>
    <mergeCell ref="EX278:EY278"/>
    <mergeCell ref="EX279:EY279"/>
    <mergeCell ref="EX288:EY288"/>
    <mergeCell ref="EX291:EY291"/>
    <mergeCell ref="EX292:EY292"/>
    <mergeCell ref="EX293:EY293"/>
    <mergeCell ref="EX294:EY294"/>
    <mergeCell ref="EX295:EY295"/>
    <mergeCell ref="EX296:EY296"/>
    <mergeCell ref="EX297:EY297"/>
    <mergeCell ref="EX298:EY298"/>
    <mergeCell ref="EX299:EY299"/>
    <mergeCell ref="EX301:EY301"/>
    <mergeCell ref="EX302:EY302"/>
    <mergeCell ref="EX303:EY303"/>
    <mergeCell ref="EX304:EY304"/>
    <mergeCell ref="EX306:EY306"/>
    <mergeCell ref="EX309:EY309"/>
    <mergeCell ref="EX310:EY310"/>
    <mergeCell ref="EX307:EY307"/>
    <mergeCell ref="EX212:EY212"/>
    <mergeCell ref="EX213:EY213"/>
    <mergeCell ref="EX214:EY214"/>
    <mergeCell ref="EX221:EY221"/>
    <mergeCell ref="EX222:EY222"/>
    <mergeCell ref="EX223:EY223"/>
    <mergeCell ref="EX224:EY224"/>
    <mergeCell ref="EX225:EY225"/>
    <mergeCell ref="EX226:EY226"/>
    <mergeCell ref="EX227:EY227"/>
    <mergeCell ref="EX228:EY228"/>
    <mergeCell ref="EX229:EY229"/>
    <mergeCell ref="EX230:EY230"/>
    <mergeCell ref="EX231:EY231"/>
    <mergeCell ref="EX232:EY232"/>
    <mergeCell ref="EX234:EY234"/>
    <mergeCell ref="EX235:EY235"/>
    <mergeCell ref="EX236:EY236"/>
    <mergeCell ref="EX237:EY237"/>
    <mergeCell ref="EX238:EY238"/>
    <mergeCell ref="EX239:EY239"/>
    <mergeCell ref="EX240:EY240"/>
    <mergeCell ref="EX241:EY241"/>
    <mergeCell ref="EX242:EY242"/>
    <mergeCell ref="EX243:EY243"/>
    <mergeCell ref="EX244:EY244"/>
    <mergeCell ref="EX246:EY246"/>
    <mergeCell ref="EX247:EY247"/>
    <mergeCell ref="EX248:EY248"/>
    <mergeCell ref="EX249:EY249"/>
    <mergeCell ref="EX250:EY250"/>
    <mergeCell ref="EX251:EY251"/>
    <mergeCell ref="EX252:EY252"/>
    <mergeCell ref="EX149:EY149"/>
    <mergeCell ref="EX151:EY151"/>
    <mergeCell ref="EX153:EY153"/>
    <mergeCell ref="EX154:EY154"/>
    <mergeCell ref="EX155:EY155"/>
    <mergeCell ref="EX157:EY157"/>
    <mergeCell ref="EX159:EY159"/>
    <mergeCell ref="EX160:EY160"/>
    <mergeCell ref="EX161:EY161"/>
    <mergeCell ref="EX163:EY163"/>
    <mergeCell ref="EX165:EY165"/>
    <mergeCell ref="EX166:EY166"/>
    <mergeCell ref="EX167:EY167"/>
    <mergeCell ref="EX168:EY168"/>
    <mergeCell ref="EX169:EY169"/>
    <mergeCell ref="EX172:EY172"/>
    <mergeCell ref="EX176:EY176"/>
    <mergeCell ref="EX177:EY177"/>
    <mergeCell ref="EX178:EY178"/>
    <mergeCell ref="EX179:EY179"/>
    <mergeCell ref="EX181:EY181"/>
    <mergeCell ref="EX182:EY182"/>
    <mergeCell ref="EX183:EY183"/>
    <mergeCell ref="EX190:EY190"/>
    <mergeCell ref="EX191:EY191"/>
    <mergeCell ref="EX192:EY192"/>
    <mergeCell ref="EX198:EY198"/>
    <mergeCell ref="EX199:EY199"/>
    <mergeCell ref="EX200:EY200"/>
    <mergeCell ref="EX206:EY206"/>
    <mergeCell ref="EX207:EY207"/>
    <mergeCell ref="EX208:EY208"/>
    <mergeCell ref="EX211:EY211"/>
    <mergeCell ref="EX94:EY94"/>
    <mergeCell ref="EX95:EY95"/>
    <mergeCell ref="EX96:EY96"/>
    <mergeCell ref="EX97:EY97"/>
    <mergeCell ref="EX99:EY99"/>
    <mergeCell ref="EX100:EY100"/>
    <mergeCell ref="EX101:EY101"/>
    <mergeCell ref="EX102:EY102"/>
    <mergeCell ref="EX103:EY103"/>
    <mergeCell ref="EX105:EY105"/>
    <mergeCell ref="EX106:EY106"/>
    <mergeCell ref="EX107:EY107"/>
    <mergeCell ref="EX108:EY108"/>
    <mergeCell ref="EX109:EY109"/>
    <mergeCell ref="EX110:EY110"/>
    <mergeCell ref="EX111:EY111"/>
    <mergeCell ref="EX113:EY113"/>
    <mergeCell ref="EX114:EY114"/>
    <mergeCell ref="EX122:EY122"/>
    <mergeCell ref="EX124:EY124"/>
    <mergeCell ref="EX125:EY125"/>
    <mergeCell ref="EX133:EY133"/>
    <mergeCell ref="EX135:EY135"/>
    <mergeCell ref="EX136:EY136"/>
    <mergeCell ref="EX137:EY137"/>
    <mergeCell ref="EX138:EY138"/>
    <mergeCell ref="EX140:EY140"/>
    <mergeCell ref="EX141:EY141"/>
    <mergeCell ref="EX142:EY142"/>
    <mergeCell ref="EX144:EY144"/>
    <mergeCell ref="EX145:EY145"/>
    <mergeCell ref="EX147:EY147"/>
    <mergeCell ref="EX148:EY148"/>
    <mergeCell ref="EX2:EY2"/>
    <mergeCell ref="EX3:EY3"/>
    <mergeCell ref="EX4:EY4"/>
    <mergeCell ref="EX5:EY5"/>
    <mergeCell ref="EX7:EY7"/>
    <mergeCell ref="EX9:EY9"/>
    <mergeCell ref="EX10:EY10"/>
    <mergeCell ref="EX11:EY11"/>
    <mergeCell ref="EX16:EY16"/>
    <mergeCell ref="EX37:EY37"/>
    <mergeCell ref="EX43:EY43"/>
    <mergeCell ref="EX44:EY44"/>
    <mergeCell ref="EX45:EY45"/>
    <mergeCell ref="EX46:EY46"/>
    <mergeCell ref="EX47:EY47"/>
    <mergeCell ref="EX48:EY48"/>
    <mergeCell ref="EX50:EY50"/>
    <mergeCell ref="EX51:EY51"/>
    <mergeCell ref="EX52:EY52"/>
    <mergeCell ref="EX53:EY53"/>
    <mergeCell ref="EX61:EY61"/>
    <mergeCell ref="EX62:EY62"/>
    <mergeCell ref="EX63:EY63"/>
    <mergeCell ref="EX64:EY64"/>
    <mergeCell ref="EX65:EY65"/>
    <mergeCell ref="EX67:EY67"/>
    <mergeCell ref="EX68:EY68"/>
    <mergeCell ref="EX69:EY69"/>
    <mergeCell ref="EX70:EY70"/>
    <mergeCell ref="EX71:EY71"/>
    <mergeCell ref="EX72:EY72"/>
    <mergeCell ref="EX73:EY73"/>
    <mergeCell ref="EX74:EY74"/>
    <mergeCell ref="EV357:EW357"/>
    <mergeCell ref="EV359:EW359"/>
    <mergeCell ref="EV360:EW360"/>
    <mergeCell ref="EV362:EW362"/>
    <mergeCell ref="EV363:EW363"/>
    <mergeCell ref="EV364:EW364"/>
    <mergeCell ref="EV365:EW365"/>
    <mergeCell ref="EV366:EW366"/>
    <mergeCell ref="EV367:EW367"/>
    <mergeCell ref="EV369:EW369"/>
    <mergeCell ref="EV370:EW370"/>
    <mergeCell ref="EV371:EW371"/>
    <mergeCell ref="EV372:EW372"/>
    <mergeCell ref="EV374:EW374"/>
    <mergeCell ref="EV375:EW375"/>
    <mergeCell ref="EV376:EW376"/>
    <mergeCell ref="EV378:EW378"/>
    <mergeCell ref="EV379:EW379"/>
    <mergeCell ref="EV380:EW380"/>
    <mergeCell ref="EV387:EW387"/>
    <mergeCell ref="EV388:EW388"/>
    <mergeCell ref="EV389:EW389"/>
    <mergeCell ref="EV396:EW396"/>
    <mergeCell ref="EV397:EW397"/>
    <mergeCell ref="EV398:EW398"/>
    <mergeCell ref="EV399:EW399"/>
    <mergeCell ref="FW9:FW14"/>
    <mergeCell ref="FW16:FW22"/>
    <mergeCell ref="FW37:FW41"/>
    <mergeCell ref="FW43:FW54"/>
    <mergeCell ref="FW61:FW65"/>
    <mergeCell ref="FW94:FW97"/>
    <mergeCell ref="FW99:FW103"/>
    <mergeCell ref="FW105:FW109"/>
    <mergeCell ref="FW113:FW120"/>
    <mergeCell ref="FW124:FW131"/>
    <mergeCell ref="FW135:FW138"/>
    <mergeCell ref="FW140:FW145"/>
    <mergeCell ref="FW147:FW151"/>
    <mergeCell ref="FW153:FW157"/>
    <mergeCell ref="FW159:FW163"/>
    <mergeCell ref="FW165:FW169"/>
    <mergeCell ref="FW171:FW179"/>
    <mergeCell ref="FW181:FW187"/>
    <mergeCell ref="FW190:FW196"/>
    <mergeCell ref="FW198:FW204"/>
    <mergeCell ref="FW208:FW209"/>
    <mergeCell ref="FW265:FW266"/>
    <mergeCell ref="FW268:FW275"/>
    <mergeCell ref="FW323:FW327"/>
    <mergeCell ref="FW329:FW332"/>
    <mergeCell ref="FW334:FW338"/>
    <mergeCell ref="FW341:FW346"/>
    <mergeCell ref="FW348:FW353"/>
    <mergeCell ref="FW355:FW360"/>
    <mergeCell ref="FW362:FW367"/>
    <mergeCell ref="FW369:FW372"/>
    <mergeCell ref="FW374:FW376"/>
    <mergeCell ref="FW378:FW385"/>
    <mergeCell ref="FW387:FW394"/>
    <mergeCell ref="FW396:FW405"/>
    <mergeCell ref="EV313:EW313"/>
    <mergeCell ref="EV314:EW314"/>
    <mergeCell ref="EV315:EW315"/>
    <mergeCell ref="EV316:EW316"/>
    <mergeCell ref="EV318:EW318"/>
    <mergeCell ref="EV319:EW319"/>
    <mergeCell ref="EV321:EW321"/>
    <mergeCell ref="EV323:EW323"/>
    <mergeCell ref="EV324:EW324"/>
    <mergeCell ref="EV325:EW325"/>
    <mergeCell ref="EV326:EW326"/>
    <mergeCell ref="EV327:EW327"/>
    <mergeCell ref="EV329:EW329"/>
    <mergeCell ref="EV330:EW330"/>
    <mergeCell ref="EV331:EW331"/>
    <mergeCell ref="EV332:EW332"/>
    <mergeCell ref="EV334:EW334"/>
    <mergeCell ref="EV335:EW335"/>
    <mergeCell ref="EV336:EW336"/>
    <mergeCell ref="EV338:EW338"/>
    <mergeCell ref="EV339:EW339"/>
    <mergeCell ref="EV341:EW341"/>
    <mergeCell ref="EV342:EW342"/>
    <mergeCell ref="EV343:EW343"/>
    <mergeCell ref="EV345:EW345"/>
    <mergeCell ref="EV346:EW346"/>
    <mergeCell ref="EV348:EW348"/>
    <mergeCell ref="EV349:EW349"/>
    <mergeCell ref="EV350:EW350"/>
    <mergeCell ref="EV352:EW352"/>
    <mergeCell ref="EV353:EW353"/>
    <mergeCell ref="EV355:EW355"/>
    <mergeCell ref="EV356:EW356"/>
    <mergeCell ref="EV254:EW254"/>
    <mergeCell ref="EV255:EW255"/>
    <mergeCell ref="EV256:EW256"/>
    <mergeCell ref="EV257:EW257"/>
    <mergeCell ref="EV259:EW259"/>
    <mergeCell ref="EV261:EW261"/>
    <mergeCell ref="EV262:EW262"/>
    <mergeCell ref="EV263:EW263"/>
    <mergeCell ref="EV265:EW265"/>
    <mergeCell ref="EV268:EW268"/>
    <mergeCell ref="EV269:EW269"/>
    <mergeCell ref="EV270:EW270"/>
    <mergeCell ref="EV271:EW271"/>
    <mergeCell ref="EV277:EW277"/>
    <mergeCell ref="EV278:EW278"/>
    <mergeCell ref="EV279:EW279"/>
    <mergeCell ref="EV288:EW288"/>
    <mergeCell ref="EV291:EW291"/>
    <mergeCell ref="EV292:EW292"/>
    <mergeCell ref="EV293:EW293"/>
    <mergeCell ref="EV294:EW294"/>
    <mergeCell ref="EV295:EW295"/>
    <mergeCell ref="EV296:EW296"/>
    <mergeCell ref="EV297:EW297"/>
    <mergeCell ref="EV298:EW298"/>
    <mergeCell ref="EV299:EW299"/>
    <mergeCell ref="EV301:EW301"/>
    <mergeCell ref="EV302:EW302"/>
    <mergeCell ref="EV303:EW303"/>
    <mergeCell ref="EV304:EW304"/>
    <mergeCell ref="EV306:EW306"/>
    <mergeCell ref="EV309:EW309"/>
    <mergeCell ref="EV310:EW310"/>
    <mergeCell ref="EV307:EW307"/>
    <mergeCell ref="EV212:EW212"/>
    <mergeCell ref="EV213:EW213"/>
    <mergeCell ref="EV214:EW214"/>
    <mergeCell ref="EV221:EW221"/>
    <mergeCell ref="EV222:EW222"/>
    <mergeCell ref="EV223:EW223"/>
    <mergeCell ref="EV224:EW224"/>
    <mergeCell ref="EV225:EW225"/>
    <mergeCell ref="EV226:EW226"/>
    <mergeCell ref="EV227:EW227"/>
    <mergeCell ref="EV228:EW228"/>
    <mergeCell ref="EV229:EW229"/>
    <mergeCell ref="EV230:EW230"/>
    <mergeCell ref="EV231:EW231"/>
    <mergeCell ref="EV232:EW232"/>
    <mergeCell ref="EV234:EW234"/>
    <mergeCell ref="EV235:EW235"/>
    <mergeCell ref="EV236:EW236"/>
    <mergeCell ref="EV237:EW237"/>
    <mergeCell ref="EV238:EW238"/>
    <mergeCell ref="EV239:EW239"/>
    <mergeCell ref="EV240:EW240"/>
    <mergeCell ref="EV241:EW241"/>
    <mergeCell ref="EV242:EW242"/>
    <mergeCell ref="EV243:EW243"/>
    <mergeCell ref="EV244:EW244"/>
    <mergeCell ref="EV246:EW246"/>
    <mergeCell ref="EV247:EW247"/>
    <mergeCell ref="EV248:EW248"/>
    <mergeCell ref="EV249:EW249"/>
    <mergeCell ref="EV250:EW250"/>
    <mergeCell ref="EV251:EW251"/>
    <mergeCell ref="EV252:EW252"/>
    <mergeCell ref="EV149:EW149"/>
    <mergeCell ref="EV151:EW151"/>
    <mergeCell ref="EV153:EW153"/>
    <mergeCell ref="EV154:EW154"/>
    <mergeCell ref="EV155:EW155"/>
    <mergeCell ref="EV157:EW157"/>
    <mergeCell ref="EV159:EW159"/>
    <mergeCell ref="EV160:EW160"/>
    <mergeCell ref="EV161:EW161"/>
    <mergeCell ref="EV163:EW163"/>
    <mergeCell ref="EV165:EW165"/>
    <mergeCell ref="EV166:EW166"/>
    <mergeCell ref="EV167:EW167"/>
    <mergeCell ref="EV168:EW168"/>
    <mergeCell ref="EV169:EW169"/>
    <mergeCell ref="EV172:EW172"/>
    <mergeCell ref="EV176:EW176"/>
    <mergeCell ref="EV177:EW177"/>
    <mergeCell ref="EV178:EW178"/>
    <mergeCell ref="EV179:EW179"/>
    <mergeCell ref="EV181:EW181"/>
    <mergeCell ref="EV182:EW182"/>
    <mergeCell ref="EV183:EW183"/>
    <mergeCell ref="EV190:EW190"/>
    <mergeCell ref="EV191:EW191"/>
    <mergeCell ref="EV192:EW192"/>
    <mergeCell ref="EV198:EW198"/>
    <mergeCell ref="EV199:EW199"/>
    <mergeCell ref="EV200:EW200"/>
    <mergeCell ref="EV206:EW206"/>
    <mergeCell ref="EV207:EW207"/>
    <mergeCell ref="EV208:EW208"/>
    <mergeCell ref="EV211:EW211"/>
    <mergeCell ref="EV94:EW94"/>
    <mergeCell ref="EV95:EW95"/>
    <mergeCell ref="EV96:EW96"/>
    <mergeCell ref="EV97:EW97"/>
    <mergeCell ref="EV99:EW99"/>
    <mergeCell ref="EV100:EW100"/>
    <mergeCell ref="EV101:EW101"/>
    <mergeCell ref="EV102:EW102"/>
    <mergeCell ref="EV103:EW103"/>
    <mergeCell ref="EV105:EW105"/>
    <mergeCell ref="EV106:EW106"/>
    <mergeCell ref="EV107:EW107"/>
    <mergeCell ref="EV108:EW108"/>
    <mergeCell ref="EV109:EW109"/>
    <mergeCell ref="EV110:EW110"/>
    <mergeCell ref="EV111:EW111"/>
    <mergeCell ref="EV113:EW113"/>
    <mergeCell ref="EV114:EW114"/>
    <mergeCell ref="EV122:EW122"/>
    <mergeCell ref="EV124:EW124"/>
    <mergeCell ref="EV125:EW125"/>
    <mergeCell ref="EV133:EW133"/>
    <mergeCell ref="EV135:EW135"/>
    <mergeCell ref="EV136:EW136"/>
    <mergeCell ref="EV137:EW137"/>
    <mergeCell ref="EV138:EW138"/>
    <mergeCell ref="EV140:EW140"/>
    <mergeCell ref="EV141:EW141"/>
    <mergeCell ref="EV142:EW142"/>
    <mergeCell ref="EV144:EW144"/>
    <mergeCell ref="EV145:EW145"/>
    <mergeCell ref="EV147:EW147"/>
    <mergeCell ref="EV148:EW148"/>
    <mergeCell ref="EV2:EW2"/>
    <mergeCell ref="EV3:EW3"/>
    <mergeCell ref="EV4:EW4"/>
    <mergeCell ref="EV5:EW5"/>
    <mergeCell ref="EV7:EW7"/>
    <mergeCell ref="EV9:EW9"/>
    <mergeCell ref="EV10:EW10"/>
    <mergeCell ref="EV11:EW11"/>
    <mergeCell ref="EV16:EW16"/>
    <mergeCell ref="EV37:EW37"/>
    <mergeCell ref="EV43:EW43"/>
    <mergeCell ref="EV44:EW44"/>
    <mergeCell ref="EV45:EW45"/>
    <mergeCell ref="EV46:EW46"/>
    <mergeCell ref="EV47:EW47"/>
    <mergeCell ref="EV48:EW48"/>
    <mergeCell ref="EV50:EW50"/>
    <mergeCell ref="EV51:EW51"/>
    <mergeCell ref="EV52:EW52"/>
    <mergeCell ref="EV53:EW53"/>
    <mergeCell ref="EV61:EW61"/>
    <mergeCell ref="EV62:EW62"/>
    <mergeCell ref="EV63:EW63"/>
    <mergeCell ref="EV64:EW64"/>
    <mergeCell ref="EV65:EW65"/>
    <mergeCell ref="EV67:EW67"/>
    <mergeCell ref="EV68:EW68"/>
    <mergeCell ref="EV69:EW69"/>
    <mergeCell ref="EV70:EW70"/>
    <mergeCell ref="EV71:EW71"/>
    <mergeCell ref="EV72:EW72"/>
    <mergeCell ref="EV73:EW73"/>
    <mergeCell ref="EV74:EW74"/>
    <mergeCell ref="ER357:ES357"/>
    <mergeCell ref="ER359:ES359"/>
    <mergeCell ref="ER360:ES360"/>
    <mergeCell ref="ER362:ES362"/>
    <mergeCell ref="ER363:ES363"/>
    <mergeCell ref="ER364:ES364"/>
    <mergeCell ref="ER365:ES365"/>
    <mergeCell ref="ER366:ES366"/>
    <mergeCell ref="ER367:ES367"/>
    <mergeCell ref="ER369:ES369"/>
    <mergeCell ref="ER370:ES370"/>
    <mergeCell ref="ER371:ES371"/>
    <mergeCell ref="ER372:ES372"/>
    <mergeCell ref="ER374:ES374"/>
    <mergeCell ref="ER375:ES375"/>
    <mergeCell ref="ER376:ES376"/>
    <mergeCell ref="ER378:ES378"/>
    <mergeCell ref="ER379:ES379"/>
    <mergeCell ref="ER380:ES380"/>
    <mergeCell ref="ER387:ES387"/>
    <mergeCell ref="ER388:ES388"/>
    <mergeCell ref="ER389:ES389"/>
    <mergeCell ref="ER396:ES396"/>
    <mergeCell ref="ER397:ES397"/>
    <mergeCell ref="ER398:ES398"/>
    <mergeCell ref="ER399:ES399"/>
    <mergeCell ref="FU9:FU14"/>
    <mergeCell ref="FU16:FU22"/>
    <mergeCell ref="FU37:FU41"/>
    <mergeCell ref="FU43:FU54"/>
    <mergeCell ref="FU61:FU65"/>
    <mergeCell ref="FU94:FU97"/>
    <mergeCell ref="FU99:FU103"/>
    <mergeCell ref="FU105:FU109"/>
    <mergeCell ref="FU113:FU120"/>
    <mergeCell ref="FU124:FU131"/>
    <mergeCell ref="FU135:FU138"/>
    <mergeCell ref="FU140:FU145"/>
    <mergeCell ref="FU147:FU151"/>
    <mergeCell ref="FU153:FU157"/>
    <mergeCell ref="FU159:FU163"/>
    <mergeCell ref="FU165:FU169"/>
    <mergeCell ref="FU171:FU179"/>
    <mergeCell ref="FU181:FU187"/>
    <mergeCell ref="FU190:FU196"/>
    <mergeCell ref="FU198:FU204"/>
    <mergeCell ref="FU208:FU209"/>
    <mergeCell ref="FU265:FU266"/>
    <mergeCell ref="FU268:FU275"/>
    <mergeCell ref="FU323:FU327"/>
    <mergeCell ref="FU329:FU332"/>
    <mergeCell ref="FU334:FU338"/>
    <mergeCell ref="FU341:FU346"/>
    <mergeCell ref="FU348:FU353"/>
    <mergeCell ref="FU355:FU360"/>
    <mergeCell ref="FU362:FU367"/>
    <mergeCell ref="FU369:FU372"/>
    <mergeCell ref="FU374:FU376"/>
    <mergeCell ref="FU378:FU385"/>
    <mergeCell ref="FU387:FU394"/>
    <mergeCell ref="FU396:FU405"/>
    <mergeCell ref="ER313:ES313"/>
    <mergeCell ref="ER314:ES314"/>
    <mergeCell ref="ER315:ES315"/>
    <mergeCell ref="ER329:ES329"/>
    <mergeCell ref="ER330:ES330"/>
    <mergeCell ref="ER331:ES331"/>
    <mergeCell ref="ER332:ES332"/>
    <mergeCell ref="ER334:ES334"/>
    <mergeCell ref="ER335:ES335"/>
    <mergeCell ref="ER336:ES336"/>
    <mergeCell ref="ER338:ES338"/>
    <mergeCell ref="ER339:ES339"/>
    <mergeCell ref="ER341:ES341"/>
    <mergeCell ref="ER342:ES342"/>
    <mergeCell ref="ER343:ES343"/>
    <mergeCell ref="ER345:ES345"/>
    <mergeCell ref="ER346:ES346"/>
    <mergeCell ref="ER348:ES348"/>
    <mergeCell ref="ER349:ES349"/>
    <mergeCell ref="ER350:ES350"/>
    <mergeCell ref="ER352:ES352"/>
    <mergeCell ref="ER353:ES353"/>
    <mergeCell ref="ER355:ES355"/>
    <mergeCell ref="ER356:ES356"/>
    <mergeCell ref="ER254:ES254"/>
    <mergeCell ref="ER255:ES255"/>
    <mergeCell ref="ER256:ES256"/>
    <mergeCell ref="ER257:ES257"/>
    <mergeCell ref="ER259:ES259"/>
    <mergeCell ref="ER261:ES261"/>
    <mergeCell ref="ER262:ES262"/>
    <mergeCell ref="ER263:ES263"/>
    <mergeCell ref="ER265:ES265"/>
    <mergeCell ref="ER268:ES268"/>
    <mergeCell ref="ER269:ES269"/>
    <mergeCell ref="ER270:ES270"/>
    <mergeCell ref="ER271:ES271"/>
    <mergeCell ref="ER277:ES277"/>
    <mergeCell ref="ER278:ES278"/>
    <mergeCell ref="ER279:ES279"/>
    <mergeCell ref="ER288:ES288"/>
    <mergeCell ref="ER291:ES291"/>
    <mergeCell ref="ER292:ES292"/>
    <mergeCell ref="ER293:ES293"/>
    <mergeCell ref="ER294:ES294"/>
    <mergeCell ref="ER295:ES295"/>
    <mergeCell ref="ER296:ES296"/>
    <mergeCell ref="ER297:ES297"/>
    <mergeCell ref="ER298:ES298"/>
    <mergeCell ref="ER299:ES299"/>
    <mergeCell ref="ER301:ES301"/>
    <mergeCell ref="ER302:ES302"/>
    <mergeCell ref="ER303:ES303"/>
    <mergeCell ref="ER304:ES304"/>
    <mergeCell ref="ER306:ES306"/>
    <mergeCell ref="ER309:ES309"/>
    <mergeCell ref="ER310:ES310"/>
    <mergeCell ref="ER316:ES316"/>
    <mergeCell ref="ER206:ES206"/>
    <mergeCell ref="ER207:ES207"/>
    <mergeCell ref="ER208:ES208"/>
    <mergeCell ref="ER211:ES211"/>
    <mergeCell ref="ER212:ES212"/>
    <mergeCell ref="ER213:ES213"/>
    <mergeCell ref="ER214:ES214"/>
    <mergeCell ref="ER221:ES221"/>
    <mergeCell ref="ER222:ES222"/>
    <mergeCell ref="ER223:ES223"/>
    <mergeCell ref="ER224:ES224"/>
    <mergeCell ref="ER225:ES225"/>
    <mergeCell ref="ER226:ES226"/>
    <mergeCell ref="ER227:ES227"/>
    <mergeCell ref="ER228:ES228"/>
    <mergeCell ref="ER229:ES229"/>
    <mergeCell ref="ER230:ES230"/>
    <mergeCell ref="ER231:ES231"/>
    <mergeCell ref="ER232:ES232"/>
    <mergeCell ref="ER234:ES234"/>
    <mergeCell ref="ER235:ES235"/>
    <mergeCell ref="ER236:ES236"/>
    <mergeCell ref="ER237:ES237"/>
    <mergeCell ref="ER238:ES238"/>
    <mergeCell ref="ER239:ES239"/>
    <mergeCell ref="ER318:ES318"/>
    <mergeCell ref="ER319:ES319"/>
    <mergeCell ref="ER321:ES321"/>
    <mergeCell ref="ER323:ES323"/>
    <mergeCell ref="ER324:ES324"/>
    <mergeCell ref="ER325:ES325"/>
    <mergeCell ref="ER326:ES326"/>
    <mergeCell ref="ER327:ES327"/>
    <mergeCell ref="ER240:ES240"/>
    <mergeCell ref="ER241:ES241"/>
    <mergeCell ref="ER242:ES242"/>
    <mergeCell ref="ER243:ES243"/>
    <mergeCell ref="ER244:ES244"/>
    <mergeCell ref="ER246:ES246"/>
    <mergeCell ref="ER247:ES247"/>
    <mergeCell ref="ER248:ES248"/>
    <mergeCell ref="ER249:ES249"/>
    <mergeCell ref="ER250:ES250"/>
    <mergeCell ref="ER251:ES251"/>
    <mergeCell ref="ER252:ES252"/>
    <mergeCell ref="ER144:ES144"/>
    <mergeCell ref="ER145:ES145"/>
    <mergeCell ref="ER147:ES147"/>
    <mergeCell ref="ER148:ES148"/>
    <mergeCell ref="ER149:ES149"/>
    <mergeCell ref="ER151:ES151"/>
    <mergeCell ref="ER153:ES153"/>
    <mergeCell ref="ER154:ES154"/>
    <mergeCell ref="ER155:ES155"/>
    <mergeCell ref="ER157:ES157"/>
    <mergeCell ref="ER159:ES159"/>
    <mergeCell ref="ER160:ES160"/>
    <mergeCell ref="ER161:ES161"/>
    <mergeCell ref="ER163:ES163"/>
    <mergeCell ref="ER165:ES165"/>
    <mergeCell ref="ER166:ES166"/>
    <mergeCell ref="ER167:ES167"/>
    <mergeCell ref="ER168:ES168"/>
    <mergeCell ref="ER169:ES169"/>
    <mergeCell ref="ER172:ES172"/>
    <mergeCell ref="ER176:ES176"/>
    <mergeCell ref="ER177:ES177"/>
    <mergeCell ref="ER178:ES178"/>
    <mergeCell ref="ER179:ES179"/>
    <mergeCell ref="ER181:ES181"/>
    <mergeCell ref="ER182:ES182"/>
    <mergeCell ref="ER183:ES183"/>
    <mergeCell ref="ER190:ES190"/>
    <mergeCell ref="ER191:ES191"/>
    <mergeCell ref="ER192:ES192"/>
    <mergeCell ref="ER198:ES198"/>
    <mergeCell ref="ER199:ES199"/>
    <mergeCell ref="ER200:ES200"/>
    <mergeCell ref="DS360:DT360"/>
    <mergeCell ref="DS362:DT362"/>
    <mergeCell ref="DS363:DT363"/>
    <mergeCell ref="DS364:DT364"/>
    <mergeCell ref="DS254:DT254"/>
    <mergeCell ref="DS255:DT255"/>
    <mergeCell ref="DS256:DT256"/>
    <mergeCell ref="DS257:DT257"/>
    <mergeCell ref="DS259:DT259"/>
    <mergeCell ref="DS261:DT261"/>
    <mergeCell ref="DS262:DT262"/>
    <mergeCell ref="DS263:DT263"/>
    <mergeCell ref="DS265:DT265"/>
    <mergeCell ref="DS268:DT268"/>
    <mergeCell ref="DS269:DT269"/>
    <mergeCell ref="DS270:DT270"/>
    <mergeCell ref="DS271:DT271"/>
    <mergeCell ref="DS277:DT277"/>
    <mergeCell ref="DS278:DT278"/>
    <mergeCell ref="DS279:DT279"/>
    <mergeCell ref="DS288:DT288"/>
    <mergeCell ref="DS291:DT291"/>
    <mergeCell ref="DS292:DT292"/>
    <mergeCell ref="ER2:ES2"/>
    <mergeCell ref="ER3:ES3"/>
    <mergeCell ref="ER4:ES4"/>
    <mergeCell ref="ER5:ES5"/>
    <mergeCell ref="ER7:ES7"/>
    <mergeCell ref="ER9:ES9"/>
    <mergeCell ref="ER10:ES10"/>
    <mergeCell ref="ER11:ES11"/>
    <mergeCell ref="ER16:ES16"/>
    <mergeCell ref="ER37:ES37"/>
    <mergeCell ref="ER43:ES43"/>
    <mergeCell ref="ER44:ES44"/>
    <mergeCell ref="ER45:ES45"/>
    <mergeCell ref="ER46:ES46"/>
    <mergeCell ref="ER47:ES47"/>
    <mergeCell ref="ER48:ES48"/>
    <mergeCell ref="ER50:ES50"/>
    <mergeCell ref="ER51:ES51"/>
    <mergeCell ref="ER52:ES52"/>
    <mergeCell ref="ER53:ES53"/>
    <mergeCell ref="ER61:ES61"/>
    <mergeCell ref="ER62:ES62"/>
    <mergeCell ref="ER63:ES63"/>
    <mergeCell ref="ER64:ES64"/>
    <mergeCell ref="ER65:ES65"/>
    <mergeCell ref="ER67:ES67"/>
    <mergeCell ref="ER68:ES68"/>
    <mergeCell ref="ER69:ES69"/>
    <mergeCell ref="ER70:ES70"/>
    <mergeCell ref="ER71:ES71"/>
    <mergeCell ref="ER72:ES72"/>
    <mergeCell ref="ER73:ES73"/>
    <mergeCell ref="ER74:ES74"/>
    <mergeCell ref="ER133:ES133"/>
    <mergeCell ref="ER135:ES135"/>
    <mergeCell ref="ER136:ES136"/>
    <mergeCell ref="ER137:ES137"/>
    <mergeCell ref="ER138:ES138"/>
    <mergeCell ref="ER140:ES140"/>
    <mergeCell ref="ER141:ES141"/>
    <mergeCell ref="ER142:ES142"/>
    <mergeCell ref="DS316:DT316"/>
    <mergeCell ref="DS323:DT323"/>
    <mergeCell ref="DS324:DT324"/>
    <mergeCell ref="DS325:DT325"/>
    <mergeCell ref="DS326:DT326"/>
    <mergeCell ref="DS327:DT327"/>
    <mergeCell ref="DS329:DT329"/>
    <mergeCell ref="DS330:DT330"/>
    <mergeCell ref="DS331:DT331"/>
    <mergeCell ref="DS332:DT332"/>
    <mergeCell ref="DS334:DT334"/>
    <mergeCell ref="DS335:DT335"/>
    <mergeCell ref="DS336:DT336"/>
    <mergeCell ref="DS338:DT338"/>
    <mergeCell ref="DS339:DT339"/>
    <mergeCell ref="DS341:DT341"/>
    <mergeCell ref="DS342:DT342"/>
    <mergeCell ref="DS343:DT343"/>
    <mergeCell ref="DS345:DT345"/>
    <mergeCell ref="DS346:DT346"/>
    <mergeCell ref="DS348:DT348"/>
    <mergeCell ref="ER94:ES94"/>
    <mergeCell ref="ER95:ES95"/>
    <mergeCell ref="ER96:ES96"/>
    <mergeCell ref="ER97:ES97"/>
    <mergeCell ref="ER99:ES99"/>
    <mergeCell ref="ER100:ES100"/>
    <mergeCell ref="ER101:ES101"/>
    <mergeCell ref="ER102:ES102"/>
    <mergeCell ref="ER103:ES103"/>
    <mergeCell ref="ER105:ES105"/>
    <mergeCell ref="ER106:ES106"/>
    <mergeCell ref="ER107:ES107"/>
    <mergeCell ref="ER108:ES108"/>
    <mergeCell ref="ER109:ES109"/>
    <mergeCell ref="ER110:ES110"/>
    <mergeCell ref="ER111:ES111"/>
    <mergeCell ref="ER113:ES113"/>
    <mergeCell ref="ER114:ES114"/>
    <mergeCell ref="ER122:ES122"/>
    <mergeCell ref="ER124:ES124"/>
    <mergeCell ref="ER125:ES125"/>
    <mergeCell ref="DS313:DT313"/>
    <mergeCell ref="DS314:DT314"/>
    <mergeCell ref="DS315:DT315"/>
    <mergeCell ref="DS310:DT310"/>
    <mergeCell ref="DS309:DT309"/>
    <mergeCell ref="DS318:DT318"/>
    <mergeCell ref="DS306:DT306"/>
    <mergeCell ref="DS212:DT212"/>
    <mergeCell ref="DS213:DT213"/>
    <mergeCell ref="DS214:DT214"/>
    <mergeCell ref="DS221:DT221"/>
    <mergeCell ref="DS222:DT222"/>
    <mergeCell ref="DS223:DT223"/>
    <mergeCell ref="DS224:DT224"/>
    <mergeCell ref="DS225:DT225"/>
    <mergeCell ref="DS226:DT226"/>
    <mergeCell ref="DS227:DT227"/>
    <mergeCell ref="DS228:DT228"/>
    <mergeCell ref="DS229:DT229"/>
    <mergeCell ref="DS230:DT230"/>
    <mergeCell ref="DS231:DT231"/>
    <mergeCell ref="DS232:DT232"/>
    <mergeCell ref="DS365:DT365"/>
    <mergeCell ref="DS366:DT366"/>
    <mergeCell ref="DS367:DT367"/>
    <mergeCell ref="DS369:DT369"/>
    <mergeCell ref="DS370:DT370"/>
    <mergeCell ref="DS371:DT371"/>
    <mergeCell ref="DS372:DT372"/>
    <mergeCell ref="DS374:DT374"/>
    <mergeCell ref="DS375:DT375"/>
    <mergeCell ref="DS376:DT376"/>
    <mergeCell ref="DS378:DT378"/>
    <mergeCell ref="DS379:DT379"/>
    <mergeCell ref="DS349:DT349"/>
    <mergeCell ref="DS350:DT350"/>
    <mergeCell ref="DS352:DT352"/>
    <mergeCell ref="DS353:DT353"/>
    <mergeCell ref="DS355:DT355"/>
    <mergeCell ref="DS356:DT356"/>
    <mergeCell ref="DS357:DT357"/>
    <mergeCell ref="DS359:DT359"/>
    <mergeCell ref="FR9:FR14"/>
    <mergeCell ref="FR16:FR22"/>
    <mergeCell ref="FR37:FR41"/>
    <mergeCell ref="FR43:FR54"/>
    <mergeCell ref="FR61:FR65"/>
    <mergeCell ref="FR94:FR97"/>
    <mergeCell ref="FR99:FR103"/>
    <mergeCell ref="FR105:FR109"/>
    <mergeCell ref="FR113:FR120"/>
    <mergeCell ref="FR124:FR131"/>
    <mergeCell ref="FR135:FR138"/>
    <mergeCell ref="FR140:FR145"/>
    <mergeCell ref="FR147:FR151"/>
    <mergeCell ref="FR153:FR157"/>
    <mergeCell ref="FR159:FR163"/>
    <mergeCell ref="FR165:FR169"/>
    <mergeCell ref="FR171:FR179"/>
    <mergeCell ref="FR181:FR187"/>
    <mergeCell ref="FR190:FR196"/>
    <mergeCell ref="FR198:FR204"/>
    <mergeCell ref="FR208:FR209"/>
    <mergeCell ref="FR265:FR266"/>
    <mergeCell ref="FR268:FR275"/>
    <mergeCell ref="FR323:FR327"/>
    <mergeCell ref="FR329:FR332"/>
    <mergeCell ref="FR334:FR338"/>
    <mergeCell ref="FR341:FR346"/>
    <mergeCell ref="FR348:FR353"/>
    <mergeCell ref="FR355:FR360"/>
    <mergeCell ref="FR362:FR367"/>
    <mergeCell ref="FR369:FR372"/>
    <mergeCell ref="FR374:FR376"/>
    <mergeCell ref="FR378:FR385"/>
    <mergeCell ref="DS293:DT293"/>
    <mergeCell ref="DS294:DT294"/>
    <mergeCell ref="DS295:DT295"/>
    <mergeCell ref="DS296:DT296"/>
    <mergeCell ref="DS297:DT297"/>
    <mergeCell ref="DS298:DT298"/>
    <mergeCell ref="DS299:DT299"/>
    <mergeCell ref="DS301:DT301"/>
    <mergeCell ref="DS302:DT302"/>
    <mergeCell ref="DS303:DT303"/>
    <mergeCell ref="DS304:DT304"/>
    <mergeCell ref="DS234:DT234"/>
    <mergeCell ref="DS235:DT235"/>
    <mergeCell ref="DS236:DT236"/>
    <mergeCell ref="DS237:DT237"/>
    <mergeCell ref="DS238:DT238"/>
    <mergeCell ref="DS239:DT239"/>
    <mergeCell ref="DS240:DT240"/>
    <mergeCell ref="DS241:DT241"/>
    <mergeCell ref="DS242:DT242"/>
    <mergeCell ref="DS243:DT243"/>
    <mergeCell ref="DS244:DT244"/>
    <mergeCell ref="DS246:DT246"/>
    <mergeCell ref="DS247:DT247"/>
    <mergeCell ref="DS248:DT248"/>
    <mergeCell ref="DS249:DT249"/>
    <mergeCell ref="DS250:DT250"/>
    <mergeCell ref="DS251:DT251"/>
    <mergeCell ref="DS252:DT252"/>
    <mergeCell ref="DS149:DT149"/>
    <mergeCell ref="DS151:DT151"/>
    <mergeCell ref="DS153:DT153"/>
    <mergeCell ref="DS154:DT154"/>
    <mergeCell ref="DS155:DT155"/>
    <mergeCell ref="DS157:DT157"/>
    <mergeCell ref="DS159:DT159"/>
    <mergeCell ref="DS160:DT160"/>
    <mergeCell ref="DS161:DT161"/>
    <mergeCell ref="DS163:DT163"/>
    <mergeCell ref="DS165:DT165"/>
    <mergeCell ref="DS166:DT166"/>
    <mergeCell ref="DS167:DT167"/>
    <mergeCell ref="DS168:DT168"/>
    <mergeCell ref="DS169:DT169"/>
    <mergeCell ref="DS172:DT172"/>
    <mergeCell ref="DS176:DT176"/>
    <mergeCell ref="DS177:DT177"/>
    <mergeCell ref="DS178:DT178"/>
    <mergeCell ref="DS179:DT179"/>
    <mergeCell ref="DS181:DT181"/>
    <mergeCell ref="DS182:DT182"/>
    <mergeCell ref="DS183:DT183"/>
    <mergeCell ref="DS190:DT190"/>
    <mergeCell ref="DS191:DT191"/>
    <mergeCell ref="DS192:DT192"/>
    <mergeCell ref="DS198:DT198"/>
    <mergeCell ref="DS199:DT199"/>
    <mergeCell ref="DS200:DT200"/>
    <mergeCell ref="DS206:DT206"/>
    <mergeCell ref="DS207:DT207"/>
    <mergeCell ref="DS208:DT208"/>
    <mergeCell ref="DS211:DT211"/>
    <mergeCell ref="DS94:DT94"/>
    <mergeCell ref="DS95:DT95"/>
    <mergeCell ref="DS96:DT96"/>
    <mergeCell ref="DS97:DT97"/>
    <mergeCell ref="DS99:DT99"/>
    <mergeCell ref="DS100:DT100"/>
    <mergeCell ref="DS101:DT101"/>
    <mergeCell ref="DS102:DT102"/>
    <mergeCell ref="DS103:DT103"/>
    <mergeCell ref="DS105:DT105"/>
    <mergeCell ref="DS106:DT106"/>
    <mergeCell ref="DS107:DT107"/>
    <mergeCell ref="DS108:DT108"/>
    <mergeCell ref="DS109:DT109"/>
    <mergeCell ref="DS110:DT110"/>
    <mergeCell ref="DS111:DT111"/>
    <mergeCell ref="DS113:DT113"/>
    <mergeCell ref="DS114:DT114"/>
    <mergeCell ref="DS122:DT122"/>
    <mergeCell ref="DS124:DT124"/>
    <mergeCell ref="DS125:DT125"/>
    <mergeCell ref="DS133:DT133"/>
    <mergeCell ref="DS135:DT135"/>
    <mergeCell ref="DS136:DT136"/>
    <mergeCell ref="DS137:DT137"/>
    <mergeCell ref="DS138:DT138"/>
    <mergeCell ref="DS140:DT140"/>
    <mergeCell ref="DS141:DT141"/>
    <mergeCell ref="DS142:DT142"/>
    <mergeCell ref="DS144:DT144"/>
    <mergeCell ref="DS145:DT145"/>
    <mergeCell ref="DS147:DT147"/>
    <mergeCell ref="DS148:DT148"/>
    <mergeCell ref="DS2:DT2"/>
    <mergeCell ref="DS3:DT3"/>
    <mergeCell ref="DS4:DT4"/>
    <mergeCell ref="DS5:DT5"/>
    <mergeCell ref="DS7:DT7"/>
    <mergeCell ref="DS9:DT9"/>
    <mergeCell ref="DS10:DT10"/>
    <mergeCell ref="DS11:DT11"/>
    <mergeCell ref="DS16:DT16"/>
    <mergeCell ref="DS37:DT37"/>
    <mergeCell ref="DS43:DT43"/>
    <mergeCell ref="DS44:DT44"/>
    <mergeCell ref="DS45:DT45"/>
    <mergeCell ref="DS46:DT46"/>
    <mergeCell ref="DS47:DT47"/>
    <mergeCell ref="DS48:DT48"/>
    <mergeCell ref="DS50:DT50"/>
    <mergeCell ref="DS51:DT51"/>
    <mergeCell ref="DS52:DT52"/>
    <mergeCell ref="DS53:DT53"/>
    <mergeCell ref="DS61:DT61"/>
    <mergeCell ref="DS62:DT62"/>
    <mergeCell ref="DS63:DT63"/>
    <mergeCell ref="DS64:DT64"/>
    <mergeCell ref="DS65:DT65"/>
    <mergeCell ref="DS67:DT67"/>
    <mergeCell ref="DS68:DT68"/>
    <mergeCell ref="DS69:DT69"/>
    <mergeCell ref="DS70:DT70"/>
    <mergeCell ref="DS71:DT71"/>
    <mergeCell ref="DS72:DT72"/>
    <mergeCell ref="DS73:DT73"/>
    <mergeCell ref="DS74:DT74"/>
    <mergeCell ref="DI372:DJ372"/>
    <mergeCell ref="DI374:DJ374"/>
    <mergeCell ref="DI375:DJ375"/>
    <mergeCell ref="DI376:DJ376"/>
    <mergeCell ref="DI378:DJ378"/>
    <mergeCell ref="DI379:DJ379"/>
    <mergeCell ref="DI380:DJ380"/>
    <mergeCell ref="DI387:DJ387"/>
    <mergeCell ref="DI388:DJ388"/>
    <mergeCell ref="DI389:DJ389"/>
    <mergeCell ref="DI396:DJ396"/>
    <mergeCell ref="DI397:DJ397"/>
    <mergeCell ref="DI398:DJ398"/>
    <mergeCell ref="DI399:DJ399"/>
    <mergeCell ref="EJ9:EJ14"/>
    <mergeCell ref="EJ16:EJ22"/>
    <mergeCell ref="EJ37:EJ41"/>
    <mergeCell ref="EJ43:EJ54"/>
    <mergeCell ref="EJ61:EJ65"/>
    <mergeCell ref="EJ94:EJ97"/>
    <mergeCell ref="EJ99:EJ103"/>
    <mergeCell ref="EJ105:EJ109"/>
    <mergeCell ref="EJ113:EJ120"/>
    <mergeCell ref="EJ124:EJ131"/>
    <mergeCell ref="EJ135:EJ138"/>
    <mergeCell ref="EJ140:EJ145"/>
    <mergeCell ref="EJ147:EJ151"/>
    <mergeCell ref="EJ153:EJ157"/>
    <mergeCell ref="EJ159:EJ163"/>
    <mergeCell ref="EJ165:EJ169"/>
    <mergeCell ref="EJ171:EJ179"/>
    <mergeCell ref="EJ181:EJ187"/>
    <mergeCell ref="EJ198:EJ204"/>
    <mergeCell ref="EJ208:EJ209"/>
    <mergeCell ref="EJ265:EJ266"/>
    <mergeCell ref="EJ268:EJ275"/>
    <mergeCell ref="EJ323:EJ327"/>
    <mergeCell ref="EJ329:EJ332"/>
    <mergeCell ref="EJ334:EJ338"/>
    <mergeCell ref="EJ341:EJ346"/>
    <mergeCell ref="EJ348:EJ353"/>
    <mergeCell ref="EJ355:EJ360"/>
    <mergeCell ref="EJ362:EJ367"/>
    <mergeCell ref="EJ369:EJ372"/>
    <mergeCell ref="EJ374:EJ376"/>
    <mergeCell ref="EJ378:EJ385"/>
    <mergeCell ref="EJ387:EJ394"/>
    <mergeCell ref="EJ396:EJ405"/>
    <mergeCell ref="DI329:DJ329"/>
    <mergeCell ref="DI330:DJ330"/>
    <mergeCell ref="DI331:DJ331"/>
    <mergeCell ref="DI332:DJ332"/>
    <mergeCell ref="DI334:DJ334"/>
    <mergeCell ref="DI335:DJ335"/>
    <mergeCell ref="DI336:DJ336"/>
    <mergeCell ref="DI338:DJ338"/>
    <mergeCell ref="DI339:DJ339"/>
    <mergeCell ref="DI341:DJ341"/>
    <mergeCell ref="DI342:DJ342"/>
    <mergeCell ref="DI343:DJ343"/>
    <mergeCell ref="DI345:DJ345"/>
    <mergeCell ref="DI346:DJ346"/>
    <mergeCell ref="DI348:DJ348"/>
    <mergeCell ref="DI349:DJ349"/>
    <mergeCell ref="DI362:DJ362"/>
    <mergeCell ref="DI363:DJ363"/>
    <mergeCell ref="DI364:DJ364"/>
    <mergeCell ref="DI365:DJ365"/>
    <mergeCell ref="DI366:DJ366"/>
    <mergeCell ref="DI367:DJ367"/>
    <mergeCell ref="DI369:DJ369"/>
    <mergeCell ref="DI370:DJ370"/>
    <mergeCell ref="DI371:DJ371"/>
    <mergeCell ref="DI257:DJ257"/>
    <mergeCell ref="DI259:DJ259"/>
    <mergeCell ref="DI261:DJ261"/>
    <mergeCell ref="DI262:DJ262"/>
    <mergeCell ref="DI263:DJ263"/>
    <mergeCell ref="DI265:DJ265"/>
    <mergeCell ref="DI268:DJ268"/>
    <mergeCell ref="DI269:DJ269"/>
    <mergeCell ref="DI270:DJ270"/>
    <mergeCell ref="DI271:DJ271"/>
    <mergeCell ref="DI277:DJ277"/>
    <mergeCell ref="DI278:DJ278"/>
    <mergeCell ref="DI279:DJ279"/>
    <mergeCell ref="DI288:DJ288"/>
    <mergeCell ref="DI291:DJ291"/>
    <mergeCell ref="DI292:DJ292"/>
    <mergeCell ref="DI293:DJ293"/>
    <mergeCell ref="DI294:DJ294"/>
    <mergeCell ref="DI295:DJ295"/>
    <mergeCell ref="DI296:DJ296"/>
    <mergeCell ref="DI297:DJ297"/>
    <mergeCell ref="DI298:DJ298"/>
    <mergeCell ref="DI299:DJ299"/>
    <mergeCell ref="DI301:DJ301"/>
    <mergeCell ref="DI302:DJ302"/>
    <mergeCell ref="DI303:DJ303"/>
    <mergeCell ref="DI304:DJ304"/>
    <mergeCell ref="DI313:DJ313"/>
    <mergeCell ref="DI314:DJ314"/>
    <mergeCell ref="DI315:DJ315"/>
    <mergeCell ref="DI316:DJ316"/>
    <mergeCell ref="DI323:DJ323"/>
    <mergeCell ref="DI324:DJ324"/>
    <mergeCell ref="DI318:DJ318"/>
    <mergeCell ref="DI221:DJ221"/>
    <mergeCell ref="DI222:DJ222"/>
    <mergeCell ref="DI223:DJ223"/>
    <mergeCell ref="DI224:DJ224"/>
    <mergeCell ref="DI225:DJ225"/>
    <mergeCell ref="DI226:DJ226"/>
    <mergeCell ref="DI227:DJ227"/>
    <mergeCell ref="DI228:DJ228"/>
    <mergeCell ref="DI229:DJ229"/>
    <mergeCell ref="DI230:DJ230"/>
    <mergeCell ref="DI231:DJ231"/>
    <mergeCell ref="DI232:DJ232"/>
    <mergeCell ref="DI234:DJ234"/>
    <mergeCell ref="DI235:DJ235"/>
    <mergeCell ref="DI236:DJ236"/>
    <mergeCell ref="DI237:DJ237"/>
    <mergeCell ref="DI238:DJ238"/>
    <mergeCell ref="DI239:DJ239"/>
    <mergeCell ref="DI240:DJ240"/>
    <mergeCell ref="DI241:DJ241"/>
    <mergeCell ref="DI242:DJ242"/>
    <mergeCell ref="DI243:DJ243"/>
    <mergeCell ref="DI244:DJ244"/>
    <mergeCell ref="DI246:DJ246"/>
    <mergeCell ref="DI247:DJ247"/>
    <mergeCell ref="DI248:DJ248"/>
    <mergeCell ref="DI249:DJ249"/>
    <mergeCell ref="DI250:DJ250"/>
    <mergeCell ref="DI251:DJ251"/>
    <mergeCell ref="DI252:DJ252"/>
    <mergeCell ref="DI254:DJ254"/>
    <mergeCell ref="DI255:DJ255"/>
    <mergeCell ref="DI256:DJ256"/>
    <mergeCell ref="DI149:DJ149"/>
    <mergeCell ref="DI151:DJ151"/>
    <mergeCell ref="DI153:DJ153"/>
    <mergeCell ref="DI154:DJ154"/>
    <mergeCell ref="DI155:DJ155"/>
    <mergeCell ref="DI157:DJ157"/>
    <mergeCell ref="DI159:DJ159"/>
    <mergeCell ref="DI160:DJ160"/>
    <mergeCell ref="DI161:DJ161"/>
    <mergeCell ref="DI163:DJ163"/>
    <mergeCell ref="DI165:DJ165"/>
    <mergeCell ref="DI166:DJ166"/>
    <mergeCell ref="DI167:DJ167"/>
    <mergeCell ref="DI168:DJ168"/>
    <mergeCell ref="DI169:DJ169"/>
    <mergeCell ref="DI172:DJ172"/>
    <mergeCell ref="DI176:DJ176"/>
    <mergeCell ref="DI177:DJ177"/>
    <mergeCell ref="DI178:DJ178"/>
    <mergeCell ref="DI179:DJ179"/>
    <mergeCell ref="DI181:DJ181"/>
    <mergeCell ref="DI182:DJ182"/>
    <mergeCell ref="DI183:DJ183"/>
    <mergeCell ref="DI198:DJ198"/>
    <mergeCell ref="DI199:DJ199"/>
    <mergeCell ref="DI200:DJ200"/>
    <mergeCell ref="DI206:DJ206"/>
    <mergeCell ref="DI207:DJ207"/>
    <mergeCell ref="DI208:DJ208"/>
    <mergeCell ref="DI211:DJ211"/>
    <mergeCell ref="DI212:DJ212"/>
    <mergeCell ref="DI213:DJ213"/>
    <mergeCell ref="DI214:DJ214"/>
    <mergeCell ref="DI94:DJ94"/>
    <mergeCell ref="DI95:DJ95"/>
    <mergeCell ref="DI96:DJ96"/>
    <mergeCell ref="DI97:DJ97"/>
    <mergeCell ref="DI99:DJ99"/>
    <mergeCell ref="DI100:DJ100"/>
    <mergeCell ref="DI101:DJ101"/>
    <mergeCell ref="DI102:DJ102"/>
    <mergeCell ref="DI103:DJ103"/>
    <mergeCell ref="DI105:DJ105"/>
    <mergeCell ref="DI106:DJ106"/>
    <mergeCell ref="DI107:DJ107"/>
    <mergeCell ref="DI108:DJ108"/>
    <mergeCell ref="DI109:DJ109"/>
    <mergeCell ref="DI110:DJ110"/>
    <mergeCell ref="DI111:DJ111"/>
    <mergeCell ref="DI113:DJ113"/>
    <mergeCell ref="DI114:DJ114"/>
    <mergeCell ref="DI122:DJ122"/>
    <mergeCell ref="DI124:DJ124"/>
    <mergeCell ref="DI125:DJ125"/>
    <mergeCell ref="DI133:DJ133"/>
    <mergeCell ref="DI135:DJ135"/>
    <mergeCell ref="DI136:DJ136"/>
    <mergeCell ref="DI137:DJ137"/>
    <mergeCell ref="DI138:DJ138"/>
    <mergeCell ref="DI140:DJ140"/>
    <mergeCell ref="DI141:DJ141"/>
    <mergeCell ref="DI142:DJ142"/>
    <mergeCell ref="DI144:DJ144"/>
    <mergeCell ref="DI145:DJ145"/>
    <mergeCell ref="DI147:DJ147"/>
    <mergeCell ref="DI148:DJ148"/>
    <mergeCell ref="DI2:DJ2"/>
    <mergeCell ref="DI3:DJ3"/>
    <mergeCell ref="DI4:DJ4"/>
    <mergeCell ref="DI5:DJ5"/>
    <mergeCell ref="DI7:DJ7"/>
    <mergeCell ref="DI9:DJ9"/>
    <mergeCell ref="DI10:DJ10"/>
    <mergeCell ref="DI11:DJ11"/>
    <mergeCell ref="DI16:DJ16"/>
    <mergeCell ref="DI37:DJ37"/>
    <mergeCell ref="DI43:DJ43"/>
    <mergeCell ref="DI44:DJ44"/>
    <mergeCell ref="DI45:DJ45"/>
    <mergeCell ref="DI46:DJ46"/>
    <mergeCell ref="DI47:DJ47"/>
    <mergeCell ref="DI48:DJ48"/>
    <mergeCell ref="DI50:DJ50"/>
    <mergeCell ref="DI51:DJ51"/>
    <mergeCell ref="DI52:DJ52"/>
    <mergeCell ref="DI53:DJ53"/>
    <mergeCell ref="DI61:DJ61"/>
    <mergeCell ref="DI62:DJ62"/>
    <mergeCell ref="DI63:DJ63"/>
    <mergeCell ref="DI64:DJ64"/>
    <mergeCell ref="DI65:DJ65"/>
    <mergeCell ref="DI67:DJ67"/>
    <mergeCell ref="DI68:DJ68"/>
    <mergeCell ref="DI69:DJ69"/>
    <mergeCell ref="DI70:DJ70"/>
    <mergeCell ref="DI71:DJ71"/>
    <mergeCell ref="DI72:DJ72"/>
    <mergeCell ref="DI73:DJ73"/>
    <mergeCell ref="DI74:DJ74"/>
    <mergeCell ref="EI9:EI14"/>
    <mergeCell ref="DG372:DH372"/>
    <mergeCell ref="DG374:DH374"/>
    <mergeCell ref="DG375:DH375"/>
    <mergeCell ref="DG376:DH376"/>
    <mergeCell ref="DG378:DH378"/>
    <mergeCell ref="DG379:DH379"/>
    <mergeCell ref="DG380:DH380"/>
    <mergeCell ref="DG387:DH387"/>
    <mergeCell ref="DG388:DH388"/>
    <mergeCell ref="DG389:DH389"/>
    <mergeCell ref="DG396:DH396"/>
    <mergeCell ref="DG397:DH397"/>
    <mergeCell ref="DG398:DH398"/>
    <mergeCell ref="DG399:DH399"/>
    <mergeCell ref="EI16:EI22"/>
    <mergeCell ref="EI37:EI41"/>
    <mergeCell ref="EI43:EI54"/>
    <mergeCell ref="EI61:EI65"/>
    <mergeCell ref="EI94:EI97"/>
    <mergeCell ref="EI99:EI103"/>
    <mergeCell ref="EI105:EI109"/>
    <mergeCell ref="EI113:EI120"/>
    <mergeCell ref="EI124:EI131"/>
    <mergeCell ref="EI135:EI138"/>
    <mergeCell ref="EI140:EI145"/>
    <mergeCell ref="EI147:EI151"/>
    <mergeCell ref="EI153:EI157"/>
    <mergeCell ref="EI159:EI163"/>
    <mergeCell ref="EI165:EI169"/>
    <mergeCell ref="EI171:EI179"/>
    <mergeCell ref="EI181:EI187"/>
    <mergeCell ref="EI198:EI204"/>
    <mergeCell ref="EI208:EI209"/>
    <mergeCell ref="EI265:EI266"/>
    <mergeCell ref="EI268:EI275"/>
    <mergeCell ref="EI323:EI327"/>
    <mergeCell ref="EI329:EI332"/>
    <mergeCell ref="EI334:EI338"/>
    <mergeCell ref="EI341:EI346"/>
    <mergeCell ref="EI348:EI353"/>
    <mergeCell ref="EI355:EI360"/>
    <mergeCell ref="EI362:EI367"/>
    <mergeCell ref="EI369:EI372"/>
    <mergeCell ref="EI374:EI376"/>
    <mergeCell ref="EI378:EI385"/>
    <mergeCell ref="EI387:EI394"/>
    <mergeCell ref="EI396:EI405"/>
    <mergeCell ref="DG329:DH329"/>
    <mergeCell ref="DG330:DH330"/>
    <mergeCell ref="DG331:DH331"/>
    <mergeCell ref="DG332:DH332"/>
    <mergeCell ref="DG334:DH334"/>
    <mergeCell ref="DG335:DH335"/>
    <mergeCell ref="DG336:DH336"/>
    <mergeCell ref="DG338:DH338"/>
    <mergeCell ref="DG339:DH339"/>
    <mergeCell ref="DG341:DH341"/>
    <mergeCell ref="DG342:DH342"/>
    <mergeCell ref="DG343:DH343"/>
    <mergeCell ref="DG345:DH345"/>
    <mergeCell ref="DG346:DH346"/>
    <mergeCell ref="DG348:DH348"/>
    <mergeCell ref="DG349:DH349"/>
    <mergeCell ref="DG362:DH362"/>
    <mergeCell ref="DG363:DH363"/>
    <mergeCell ref="DG364:DH364"/>
    <mergeCell ref="DG365:DH365"/>
    <mergeCell ref="DG366:DH366"/>
    <mergeCell ref="DG367:DH367"/>
    <mergeCell ref="DG369:DH369"/>
    <mergeCell ref="DG370:DH370"/>
    <mergeCell ref="DG371:DH371"/>
    <mergeCell ref="DG257:DH257"/>
    <mergeCell ref="DG259:DH259"/>
    <mergeCell ref="DG261:DH261"/>
    <mergeCell ref="DG262:DH262"/>
    <mergeCell ref="DG263:DH263"/>
    <mergeCell ref="DG265:DH265"/>
    <mergeCell ref="DG268:DH268"/>
    <mergeCell ref="DG269:DH269"/>
    <mergeCell ref="DG270:DH270"/>
    <mergeCell ref="DG271:DH271"/>
    <mergeCell ref="DG277:DH277"/>
    <mergeCell ref="DG278:DH278"/>
    <mergeCell ref="DG279:DH279"/>
    <mergeCell ref="DG288:DH288"/>
    <mergeCell ref="DG291:DH291"/>
    <mergeCell ref="DG292:DH292"/>
    <mergeCell ref="DG293:DH293"/>
    <mergeCell ref="DG294:DH294"/>
    <mergeCell ref="DG295:DH295"/>
    <mergeCell ref="DG296:DH296"/>
    <mergeCell ref="DG297:DH297"/>
    <mergeCell ref="DG298:DH298"/>
    <mergeCell ref="DG299:DH299"/>
    <mergeCell ref="DG301:DH301"/>
    <mergeCell ref="DG302:DH302"/>
    <mergeCell ref="DG303:DH303"/>
    <mergeCell ref="DG304:DH304"/>
    <mergeCell ref="DG313:DH313"/>
    <mergeCell ref="DG314:DH314"/>
    <mergeCell ref="DG315:DH315"/>
    <mergeCell ref="DG316:DH316"/>
    <mergeCell ref="DG323:DH323"/>
    <mergeCell ref="DG324:DH324"/>
    <mergeCell ref="DG221:DH221"/>
    <mergeCell ref="DG222:DH222"/>
    <mergeCell ref="DG223:DH223"/>
    <mergeCell ref="DG224:DH224"/>
    <mergeCell ref="DG225:DH225"/>
    <mergeCell ref="DG226:DH226"/>
    <mergeCell ref="DG227:DH227"/>
    <mergeCell ref="DG228:DH228"/>
    <mergeCell ref="DG229:DH229"/>
    <mergeCell ref="DG230:DH230"/>
    <mergeCell ref="DG231:DH231"/>
    <mergeCell ref="DG232:DH232"/>
    <mergeCell ref="DG234:DH234"/>
    <mergeCell ref="DG235:DH235"/>
    <mergeCell ref="DG236:DH236"/>
    <mergeCell ref="DG237:DH237"/>
    <mergeCell ref="DG238:DH238"/>
    <mergeCell ref="DG239:DH239"/>
    <mergeCell ref="DG240:DH240"/>
    <mergeCell ref="DG241:DH241"/>
    <mergeCell ref="DG242:DH242"/>
    <mergeCell ref="DG243:DH243"/>
    <mergeCell ref="DG244:DH244"/>
    <mergeCell ref="DG246:DH246"/>
    <mergeCell ref="DG247:DH247"/>
    <mergeCell ref="DG248:DH248"/>
    <mergeCell ref="DG249:DH249"/>
    <mergeCell ref="DG250:DH250"/>
    <mergeCell ref="DG251:DH251"/>
    <mergeCell ref="DG252:DH252"/>
    <mergeCell ref="DG254:DH254"/>
    <mergeCell ref="DG255:DH255"/>
    <mergeCell ref="DG256:DH256"/>
    <mergeCell ref="DG149:DH149"/>
    <mergeCell ref="DG151:DH151"/>
    <mergeCell ref="DG153:DH153"/>
    <mergeCell ref="DG154:DH154"/>
    <mergeCell ref="DG155:DH155"/>
    <mergeCell ref="DG157:DH157"/>
    <mergeCell ref="DG159:DH159"/>
    <mergeCell ref="DG160:DH160"/>
    <mergeCell ref="DG161:DH161"/>
    <mergeCell ref="DG163:DH163"/>
    <mergeCell ref="DG165:DH165"/>
    <mergeCell ref="DG166:DH166"/>
    <mergeCell ref="DG167:DH167"/>
    <mergeCell ref="DG168:DH168"/>
    <mergeCell ref="DG169:DH169"/>
    <mergeCell ref="DG172:DH172"/>
    <mergeCell ref="DG176:DH176"/>
    <mergeCell ref="DG177:DH177"/>
    <mergeCell ref="DG178:DH178"/>
    <mergeCell ref="DG179:DH179"/>
    <mergeCell ref="DG181:DH181"/>
    <mergeCell ref="DG182:DH182"/>
    <mergeCell ref="DG183:DH183"/>
    <mergeCell ref="DG198:DH198"/>
    <mergeCell ref="DG199:DH199"/>
    <mergeCell ref="DG200:DH200"/>
    <mergeCell ref="DG206:DH206"/>
    <mergeCell ref="DG207:DH207"/>
    <mergeCell ref="DG208:DH208"/>
    <mergeCell ref="DG211:DH211"/>
    <mergeCell ref="DG212:DH212"/>
    <mergeCell ref="DG213:DH213"/>
    <mergeCell ref="DG214:DH214"/>
    <mergeCell ref="DG94:DH94"/>
    <mergeCell ref="DG95:DH95"/>
    <mergeCell ref="DG96:DH96"/>
    <mergeCell ref="DG97:DH97"/>
    <mergeCell ref="DG99:DH99"/>
    <mergeCell ref="DG100:DH100"/>
    <mergeCell ref="DG101:DH101"/>
    <mergeCell ref="DG102:DH102"/>
    <mergeCell ref="DG103:DH103"/>
    <mergeCell ref="DG105:DH105"/>
    <mergeCell ref="DG106:DH106"/>
    <mergeCell ref="DG107:DH107"/>
    <mergeCell ref="DG108:DH108"/>
    <mergeCell ref="DG109:DH109"/>
    <mergeCell ref="DG110:DH110"/>
    <mergeCell ref="DG111:DH111"/>
    <mergeCell ref="DG113:DH113"/>
    <mergeCell ref="DG114:DH114"/>
    <mergeCell ref="DG122:DH122"/>
    <mergeCell ref="DG124:DH124"/>
    <mergeCell ref="DG125:DH125"/>
    <mergeCell ref="DG133:DH133"/>
    <mergeCell ref="DG135:DH135"/>
    <mergeCell ref="DG136:DH136"/>
    <mergeCell ref="DG137:DH137"/>
    <mergeCell ref="DG138:DH138"/>
    <mergeCell ref="DG140:DH140"/>
    <mergeCell ref="DG141:DH141"/>
    <mergeCell ref="DG142:DH142"/>
    <mergeCell ref="DG144:DH144"/>
    <mergeCell ref="DG145:DH145"/>
    <mergeCell ref="DG147:DH147"/>
    <mergeCell ref="DG148:DH148"/>
    <mergeCell ref="DG2:DH2"/>
    <mergeCell ref="DG3:DH3"/>
    <mergeCell ref="DG4:DH4"/>
    <mergeCell ref="DG5:DH5"/>
    <mergeCell ref="DG7:DH7"/>
    <mergeCell ref="DG9:DH9"/>
    <mergeCell ref="DG10:DH10"/>
    <mergeCell ref="DG11:DH11"/>
    <mergeCell ref="DG16:DH16"/>
    <mergeCell ref="DG37:DH37"/>
    <mergeCell ref="DG43:DH43"/>
    <mergeCell ref="DG44:DH44"/>
    <mergeCell ref="DG45:DH45"/>
    <mergeCell ref="DG46:DH46"/>
    <mergeCell ref="DG47:DH47"/>
    <mergeCell ref="DG48:DH48"/>
    <mergeCell ref="DG50:DH50"/>
    <mergeCell ref="DG51:DH51"/>
    <mergeCell ref="DG52:DH52"/>
    <mergeCell ref="DG53:DH53"/>
    <mergeCell ref="DG61:DH61"/>
    <mergeCell ref="DG62:DH62"/>
    <mergeCell ref="DG63:DH63"/>
    <mergeCell ref="DG64:DH64"/>
    <mergeCell ref="DG65:DH65"/>
    <mergeCell ref="DG67:DH67"/>
    <mergeCell ref="DG68:DH68"/>
    <mergeCell ref="DG69:DH69"/>
    <mergeCell ref="DG70:DH70"/>
    <mergeCell ref="DG71:DH71"/>
    <mergeCell ref="DG72:DH72"/>
    <mergeCell ref="DG73:DH73"/>
    <mergeCell ref="DG74:DH74"/>
    <mergeCell ref="DC372:DD372"/>
    <mergeCell ref="DC374:DD374"/>
    <mergeCell ref="DC375:DD375"/>
    <mergeCell ref="DC376:DD376"/>
    <mergeCell ref="DC378:DD378"/>
    <mergeCell ref="DC379:DD379"/>
    <mergeCell ref="DC380:DD380"/>
    <mergeCell ref="DC387:DD387"/>
    <mergeCell ref="DC388:DD388"/>
    <mergeCell ref="DC389:DD389"/>
    <mergeCell ref="DC396:DD396"/>
    <mergeCell ref="DC397:DD397"/>
    <mergeCell ref="DC398:DD398"/>
    <mergeCell ref="DC399:DD399"/>
    <mergeCell ref="EH9:EH14"/>
    <mergeCell ref="EH16:EH22"/>
    <mergeCell ref="EH37:EH41"/>
    <mergeCell ref="EH43:EH54"/>
    <mergeCell ref="EH61:EH65"/>
    <mergeCell ref="EH94:EH97"/>
    <mergeCell ref="EH99:EH103"/>
    <mergeCell ref="EH105:EH109"/>
    <mergeCell ref="EH113:EH120"/>
    <mergeCell ref="EH124:EH131"/>
    <mergeCell ref="EH135:EH138"/>
    <mergeCell ref="EH140:EH145"/>
    <mergeCell ref="EH147:EH151"/>
    <mergeCell ref="EH153:EH157"/>
    <mergeCell ref="EH159:EH163"/>
    <mergeCell ref="EH165:EH169"/>
    <mergeCell ref="EH171:EH179"/>
    <mergeCell ref="EH181:EH187"/>
    <mergeCell ref="EH198:EH204"/>
    <mergeCell ref="EH208:EH209"/>
    <mergeCell ref="EH265:EH266"/>
    <mergeCell ref="EH268:EH275"/>
    <mergeCell ref="EH323:EH327"/>
    <mergeCell ref="EH329:EH332"/>
    <mergeCell ref="EH334:EH338"/>
    <mergeCell ref="EH341:EH346"/>
    <mergeCell ref="EH348:EH353"/>
    <mergeCell ref="EH355:EH360"/>
    <mergeCell ref="EH362:EH367"/>
    <mergeCell ref="EH369:EH372"/>
    <mergeCell ref="EH374:EH376"/>
    <mergeCell ref="EH378:EH385"/>
    <mergeCell ref="EH387:EH394"/>
    <mergeCell ref="EH396:EH405"/>
    <mergeCell ref="DC329:DD329"/>
    <mergeCell ref="DC330:DD330"/>
    <mergeCell ref="DC331:DD331"/>
    <mergeCell ref="DC332:DD332"/>
    <mergeCell ref="DC334:DD334"/>
    <mergeCell ref="DC335:DD335"/>
    <mergeCell ref="DC336:DD336"/>
    <mergeCell ref="DC338:DD338"/>
    <mergeCell ref="DC339:DD339"/>
    <mergeCell ref="DC341:DD341"/>
    <mergeCell ref="DC342:DD342"/>
    <mergeCell ref="DC343:DD343"/>
    <mergeCell ref="DC345:DD345"/>
    <mergeCell ref="DC346:DD346"/>
    <mergeCell ref="DC348:DD348"/>
    <mergeCell ref="DC349:DD349"/>
    <mergeCell ref="DC362:DD362"/>
    <mergeCell ref="DC363:DD363"/>
    <mergeCell ref="DC364:DD364"/>
    <mergeCell ref="DC365:DD365"/>
    <mergeCell ref="DC366:DD366"/>
    <mergeCell ref="DC367:DD367"/>
    <mergeCell ref="DC369:DD369"/>
    <mergeCell ref="DC370:DD370"/>
    <mergeCell ref="DC371:DD371"/>
    <mergeCell ref="DC257:DD257"/>
    <mergeCell ref="DC259:DD259"/>
    <mergeCell ref="DC261:DD261"/>
    <mergeCell ref="DC262:DD262"/>
    <mergeCell ref="DC263:DD263"/>
    <mergeCell ref="DC265:DD265"/>
    <mergeCell ref="DC268:DD268"/>
    <mergeCell ref="DC269:DD269"/>
    <mergeCell ref="DC270:DD270"/>
    <mergeCell ref="DC271:DD271"/>
    <mergeCell ref="DC277:DD277"/>
    <mergeCell ref="DC278:DD278"/>
    <mergeCell ref="DC279:DD279"/>
    <mergeCell ref="DC288:DD288"/>
    <mergeCell ref="DC291:DD291"/>
    <mergeCell ref="DC292:DD292"/>
    <mergeCell ref="DC293:DD293"/>
    <mergeCell ref="DC294:DD294"/>
    <mergeCell ref="DC295:DD295"/>
    <mergeCell ref="DC296:DD296"/>
    <mergeCell ref="DC297:DD297"/>
    <mergeCell ref="DC298:DD298"/>
    <mergeCell ref="DC299:DD299"/>
    <mergeCell ref="DC301:DD301"/>
    <mergeCell ref="DC302:DD302"/>
    <mergeCell ref="DC303:DD303"/>
    <mergeCell ref="DC304:DD304"/>
    <mergeCell ref="DC313:DD313"/>
    <mergeCell ref="DC314:DD314"/>
    <mergeCell ref="DC315:DD315"/>
    <mergeCell ref="DC316:DD316"/>
    <mergeCell ref="DC323:DD323"/>
    <mergeCell ref="DC324:DD324"/>
    <mergeCell ref="DC221:DD221"/>
    <mergeCell ref="DC222:DD222"/>
    <mergeCell ref="DC223:DD223"/>
    <mergeCell ref="DC224:DD224"/>
    <mergeCell ref="DC225:DD225"/>
    <mergeCell ref="DC226:DD226"/>
    <mergeCell ref="DC227:DD227"/>
    <mergeCell ref="DC228:DD228"/>
    <mergeCell ref="DC229:DD229"/>
    <mergeCell ref="DC230:DD230"/>
    <mergeCell ref="DC231:DD231"/>
    <mergeCell ref="DC232:DD232"/>
    <mergeCell ref="DC234:DD234"/>
    <mergeCell ref="DC235:DD235"/>
    <mergeCell ref="DC236:DD236"/>
    <mergeCell ref="DC237:DD237"/>
    <mergeCell ref="DC238:DD238"/>
    <mergeCell ref="DC239:DD239"/>
    <mergeCell ref="DC240:DD240"/>
    <mergeCell ref="DC241:DD241"/>
    <mergeCell ref="DC242:DD242"/>
    <mergeCell ref="DC243:DD243"/>
    <mergeCell ref="DC244:DD244"/>
    <mergeCell ref="DC246:DD246"/>
    <mergeCell ref="DC247:DD247"/>
    <mergeCell ref="DC248:DD248"/>
    <mergeCell ref="DC249:DD249"/>
    <mergeCell ref="DC250:DD250"/>
    <mergeCell ref="DC251:DD251"/>
    <mergeCell ref="DC252:DD252"/>
    <mergeCell ref="DC254:DD254"/>
    <mergeCell ref="DC255:DD255"/>
    <mergeCell ref="DC256:DD256"/>
    <mergeCell ref="DC149:DD149"/>
    <mergeCell ref="DC151:DD151"/>
    <mergeCell ref="DC153:DD153"/>
    <mergeCell ref="DC154:DD154"/>
    <mergeCell ref="DC155:DD155"/>
    <mergeCell ref="DC157:DD157"/>
    <mergeCell ref="DC159:DD159"/>
    <mergeCell ref="DC160:DD160"/>
    <mergeCell ref="DC161:DD161"/>
    <mergeCell ref="DC163:DD163"/>
    <mergeCell ref="DC165:DD165"/>
    <mergeCell ref="DC166:DD166"/>
    <mergeCell ref="DC167:DD167"/>
    <mergeCell ref="DC168:DD168"/>
    <mergeCell ref="DC169:DD169"/>
    <mergeCell ref="DC172:DD172"/>
    <mergeCell ref="DC176:DD176"/>
    <mergeCell ref="DC177:DD177"/>
    <mergeCell ref="DC178:DD178"/>
    <mergeCell ref="DC179:DD179"/>
    <mergeCell ref="DC181:DD181"/>
    <mergeCell ref="DC182:DD182"/>
    <mergeCell ref="DC183:DD183"/>
    <mergeCell ref="DC198:DD198"/>
    <mergeCell ref="DC199:DD199"/>
    <mergeCell ref="DC200:DD200"/>
    <mergeCell ref="DC206:DD206"/>
    <mergeCell ref="DC207:DD207"/>
    <mergeCell ref="DC208:DD208"/>
    <mergeCell ref="DC211:DD211"/>
    <mergeCell ref="DC212:DD212"/>
    <mergeCell ref="DC213:DD213"/>
    <mergeCell ref="DC214:DD214"/>
    <mergeCell ref="DC94:DD94"/>
    <mergeCell ref="DC95:DD95"/>
    <mergeCell ref="DC96:DD96"/>
    <mergeCell ref="DC97:DD97"/>
    <mergeCell ref="DC99:DD99"/>
    <mergeCell ref="DC100:DD100"/>
    <mergeCell ref="DC101:DD101"/>
    <mergeCell ref="DC102:DD102"/>
    <mergeCell ref="DC103:DD103"/>
    <mergeCell ref="DC105:DD105"/>
    <mergeCell ref="DC106:DD106"/>
    <mergeCell ref="DC107:DD107"/>
    <mergeCell ref="DC108:DD108"/>
    <mergeCell ref="DC109:DD109"/>
    <mergeCell ref="DC110:DD110"/>
    <mergeCell ref="DC111:DD111"/>
    <mergeCell ref="DC113:DD113"/>
    <mergeCell ref="DC114:DD114"/>
    <mergeCell ref="DC122:DD122"/>
    <mergeCell ref="DC124:DD124"/>
    <mergeCell ref="DC125:DD125"/>
    <mergeCell ref="DC133:DD133"/>
    <mergeCell ref="DC135:DD135"/>
    <mergeCell ref="DC136:DD136"/>
    <mergeCell ref="DC137:DD137"/>
    <mergeCell ref="DC138:DD138"/>
    <mergeCell ref="DC140:DD140"/>
    <mergeCell ref="DC141:DD141"/>
    <mergeCell ref="DC142:DD142"/>
    <mergeCell ref="DC144:DD144"/>
    <mergeCell ref="DC145:DD145"/>
    <mergeCell ref="DC147:DD147"/>
    <mergeCell ref="DC148:DD148"/>
    <mergeCell ref="DC2:DD2"/>
    <mergeCell ref="DC3:DD3"/>
    <mergeCell ref="DC4:DD4"/>
    <mergeCell ref="DC5:DD5"/>
    <mergeCell ref="DC7:DD7"/>
    <mergeCell ref="DC9:DD9"/>
    <mergeCell ref="DC10:DD10"/>
    <mergeCell ref="DC11:DD11"/>
    <mergeCell ref="DC16:DD16"/>
    <mergeCell ref="DC37:DD37"/>
    <mergeCell ref="DC43:DD43"/>
    <mergeCell ref="DC44:DD44"/>
    <mergeCell ref="DC45:DD45"/>
    <mergeCell ref="DC46:DD46"/>
    <mergeCell ref="DC47:DD47"/>
    <mergeCell ref="DC48:DD48"/>
    <mergeCell ref="DC50:DD50"/>
    <mergeCell ref="DC51:DD51"/>
    <mergeCell ref="DC52:DD52"/>
    <mergeCell ref="DC53:DD53"/>
    <mergeCell ref="DC61:DD61"/>
    <mergeCell ref="DC62:DD62"/>
    <mergeCell ref="DC63:DD63"/>
    <mergeCell ref="DC64:DD64"/>
    <mergeCell ref="DC65:DD65"/>
    <mergeCell ref="DC67:DD67"/>
    <mergeCell ref="DC68:DD68"/>
    <mergeCell ref="DC69:DD69"/>
    <mergeCell ref="DC70:DD70"/>
    <mergeCell ref="DC71:DD71"/>
    <mergeCell ref="DC72:DD72"/>
    <mergeCell ref="DC73:DD73"/>
    <mergeCell ref="DC74:DD74"/>
    <mergeCell ref="EF387:EF394"/>
    <mergeCell ref="EG387:EG394"/>
    <mergeCell ref="I388:J388"/>
    <mergeCell ref="K388:L388"/>
    <mergeCell ref="M388:N388"/>
    <mergeCell ref="O388:P388"/>
    <mergeCell ref="Q388:R388"/>
    <mergeCell ref="S388:T388"/>
    <mergeCell ref="U388:V388"/>
    <mergeCell ref="W388:X388"/>
    <mergeCell ref="Y388:Z388"/>
    <mergeCell ref="AA388:AB388"/>
    <mergeCell ref="AC388:AD388"/>
    <mergeCell ref="AE388:AF388"/>
    <mergeCell ref="AG388:AH388"/>
    <mergeCell ref="AI388:AJ388"/>
    <mergeCell ref="AK388:AL388"/>
    <mergeCell ref="AM388:AN388"/>
    <mergeCell ref="AO388:AP388"/>
    <mergeCell ref="AQ388:AR388"/>
    <mergeCell ref="AS388:AT388"/>
    <mergeCell ref="AU388:AV388"/>
    <mergeCell ref="AW388:AX388"/>
    <mergeCell ref="AY388:AZ388"/>
    <mergeCell ref="BA388:BB388"/>
    <mergeCell ref="BC388:BD388"/>
    <mergeCell ref="BE388:BF388"/>
    <mergeCell ref="BG388:BH388"/>
    <mergeCell ref="BI388:BJ388"/>
    <mergeCell ref="BK388:BL388"/>
    <mergeCell ref="BM388:BN388"/>
    <mergeCell ref="BO388:BP388"/>
    <mergeCell ref="BQ388:BR388"/>
    <mergeCell ref="BS388:BT388"/>
    <mergeCell ref="BU388:BV388"/>
    <mergeCell ref="BW388:BX388"/>
    <mergeCell ref="BY388:BZ388"/>
    <mergeCell ref="CA388:CB388"/>
    <mergeCell ref="CC388:CD388"/>
    <mergeCell ref="CE388:CF388"/>
    <mergeCell ref="CG388:CH388"/>
    <mergeCell ref="CI388:CJ388"/>
    <mergeCell ref="CK388:CL388"/>
    <mergeCell ref="CM388:CN388"/>
    <mergeCell ref="CO388:CP388"/>
    <mergeCell ref="CQ388:CR388"/>
    <mergeCell ref="CS388:CT388"/>
    <mergeCell ref="CU388:CV388"/>
    <mergeCell ref="CW388:CX388"/>
    <mergeCell ref="CY388:CZ388"/>
    <mergeCell ref="DA388:DB388"/>
    <mergeCell ref="DE388:DF388"/>
    <mergeCell ref="I389:J389"/>
    <mergeCell ref="K389:L389"/>
    <mergeCell ref="M389:N389"/>
    <mergeCell ref="O389:P389"/>
    <mergeCell ref="Q389:R389"/>
    <mergeCell ref="S389:T389"/>
    <mergeCell ref="U389:V389"/>
    <mergeCell ref="W389:X389"/>
    <mergeCell ref="Y389:Z389"/>
    <mergeCell ref="AA389:AB389"/>
    <mergeCell ref="AC389:AD389"/>
    <mergeCell ref="AE389:AF389"/>
    <mergeCell ref="BM387:BN387"/>
    <mergeCell ref="BO387:BP387"/>
    <mergeCell ref="BQ387:BR387"/>
    <mergeCell ref="BS387:BT387"/>
    <mergeCell ref="BU387:BV387"/>
    <mergeCell ref="BW387:BX387"/>
    <mergeCell ref="BY387:BZ387"/>
    <mergeCell ref="CA387:CB387"/>
    <mergeCell ref="CC387:CD387"/>
    <mergeCell ref="CE387:CF387"/>
    <mergeCell ref="CG387:CH387"/>
    <mergeCell ref="CI387:CJ387"/>
    <mergeCell ref="CK387:CL387"/>
    <mergeCell ref="CM387:CN387"/>
    <mergeCell ref="CO387:CP387"/>
    <mergeCell ref="CQ387:CR387"/>
    <mergeCell ref="CS387:CT387"/>
    <mergeCell ref="CU387:CV387"/>
    <mergeCell ref="CW387:CX387"/>
    <mergeCell ref="CY387:CZ387"/>
    <mergeCell ref="DA387:DB387"/>
    <mergeCell ref="DE387:DF387"/>
    <mergeCell ref="DU387:DU394"/>
    <mergeCell ref="DV387:DV394"/>
    <mergeCell ref="DW387:DW394"/>
    <mergeCell ref="DX387:DX394"/>
    <mergeCell ref="DY387:DY394"/>
    <mergeCell ref="DZ387:DZ394"/>
    <mergeCell ref="EA387:EA394"/>
    <mergeCell ref="EB387:EB394"/>
    <mergeCell ref="EC387:EC394"/>
    <mergeCell ref="ED387:ED394"/>
    <mergeCell ref="EE387:EE394"/>
    <mergeCell ref="BM389:BN389"/>
    <mergeCell ref="BO389:BP389"/>
    <mergeCell ref="BQ389:BR389"/>
    <mergeCell ref="BS389:BT389"/>
    <mergeCell ref="BU389:BV389"/>
    <mergeCell ref="BW389:BX389"/>
    <mergeCell ref="BY389:BZ389"/>
    <mergeCell ref="CA389:CB389"/>
    <mergeCell ref="CC389:CD389"/>
    <mergeCell ref="CE389:CF389"/>
    <mergeCell ref="CG389:CH389"/>
    <mergeCell ref="CI389:CJ389"/>
    <mergeCell ref="CK389:CL389"/>
    <mergeCell ref="CM389:CN389"/>
    <mergeCell ref="CO389:CP389"/>
    <mergeCell ref="CQ389:CR389"/>
    <mergeCell ref="CS389:CT389"/>
    <mergeCell ref="CU389:CV389"/>
    <mergeCell ref="CW389:CX389"/>
    <mergeCell ref="CY389:CZ389"/>
    <mergeCell ref="DA389:DB389"/>
    <mergeCell ref="DE389:DF389"/>
    <mergeCell ref="DS387:DT387"/>
    <mergeCell ref="DS388:DT388"/>
    <mergeCell ref="DS389:DT389"/>
    <mergeCell ref="B387:B394"/>
    <mergeCell ref="C387:C394"/>
    <mergeCell ref="D387:D394"/>
    <mergeCell ref="E387:E390"/>
    <mergeCell ref="F387:F390"/>
    <mergeCell ref="I387:J387"/>
    <mergeCell ref="K387:L387"/>
    <mergeCell ref="M387:N387"/>
    <mergeCell ref="O387:P387"/>
    <mergeCell ref="Q387:R387"/>
    <mergeCell ref="S387:T387"/>
    <mergeCell ref="U387:V387"/>
    <mergeCell ref="W387:X387"/>
    <mergeCell ref="Y387:Z387"/>
    <mergeCell ref="AA387:AB387"/>
    <mergeCell ref="AC387:AD387"/>
    <mergeCell ref="AE387:AF387"/>
    <mergeCell ref="AG387:AH387"/>
    <mergeCell ref="AI387:AJ387"/>
    <mergeCell ref="AK387:AL387"/>
    <mergeCell ref="AM387:AN387"/>
    <mergeCell ref="AO387:AP387"/>
    <mergeCell ref="AQ387:AR387"/>
    <mergeCell ref="AS387:AT387"/>
    <mergeCell ref="AU387:AV387"/>
    <mergeCell ref="AW387:AX387"/>
    <mergeCell ref="AY387:AZ387"/>
    <mergeCell ref="BA387:BB387"/>
    <mergeCell ref="BC387:BD387"/>
    <mergeCell ref="BE387:BF387"/>
    <mergeCell ref="BG387:BH387"/>
    <mergeCell ref="BI387:BJ387"/>
    <mergeCell ref="BK387:BL387"/>
    <mergeCell ref="AG389:AH389"/>
    <mergeCell ref="AI389:AJ389"/>
    <mergeCell ref="AK389:AL389"/>
    <mergeCell ref="AM389:AN389"/>
    <mergeCell ref="AO389:AP389"/>
    <mergeCell ref="AQ389:AR389"/>
    <mergeCell ref="AS389:AT389"/>
    <mergeCell ref="AU389:AV389"/>
    <mergeCell ref="AW389:AX389"/>
    <mergeCell ref="AY389:AZ389"/>
    <mergeCell ref="BA389:BB389"/>
    <mergeCell ref="BC389:BD389"/>
    <mergeCell ref="BE389:BF389"/>
    <mergeCell ref="BG389:BH389"/>
    <mergeCell ref="BI389:BJ389"/>
    <mergeCell ref="BK389:BL389"/>
    <mergeCell ref="E391:E394"/>
    <mergeCell ref="F391:F394"/>
    <mergeCell ref="DE372:DF372"/>
    <mergeCell ref="DE374:DF374"/>
    <mergeCell ref="DE375:DF375"/>
    <mergeCell ref="DE376:DF376"/>
    <mergeCell ref="DE378:DF378"/>
    <mergeCell ref="DE379:DF379"/>
    <mergeCell ref="DE380:DF380"/>
    <mergeCell ref="DE396:DF396"/>
    <mergeCell ref="DE397:DF397"/>
    <mergeCell ref="DE398:DF398"/>
    <mergeCell ref="DE399:DF399"/>
    <mergeCell ref="EG9:EG14"/>
    <mergeCell ref="EG16:EG22"/>
    <mergeCell ref="EG37:EG41"/>
    <mergeCell ref="EG43:EG54"/>
    <mergeCell ref="EG61:EG65"/>
    <mergeCell ref="EG94:EG97"/>
    <mergeCell ref="EG99:EG103"/>
    <mergeCell ref="EG105:EG109"/>
    <mergeCell ref="EG113:EG120"/>
    <mergeCell ref="EG124:EG131"/>
    <mergeCell ref="EG135:EG138"/>
    <mergeCell ref="EG140:EG145"/>
    <mergeCell ref="EG147:EG151"/>
    <mergeCell ref="EG153:EG157"/>
    <mergeCell ref="EG159:EG163"/>
    <mergeCell ref="EG165:EG169"/>
    <mergeCell ref="EG171:EG179"/>
    <mergeCell ref="EG181:EG187"/>
    <mergeCell ref="EG198:EG204"/>
    <mergeCell ref="EG208:EG209"/>
    <mergeCell ref="EG265:EG266"/>
    <mergeCell ref="EG268:EG275"/>
    <mergeCell ref="EG323:EG327"/>
    <mergeCell ref="EG329:EG332"/>
    <mergeCell ref="EG334:EG338"/>
    <mergeCell ref="EG341:EG346"/>
    <mergeCell ref="EG348:EG353"/>
    <mergeCell ref="EG355:EG360"/>
    <mergeCell ref="EG362:EG367"/>
    <mergeCell ref="EG369:EG372"/>
    <mergeCell ref="EG374:EG376"/>
    <mergeCell ref="EG378:EG385"/>
    <mergeCell ref="EG396:EG405"/>
    <mergeCell ref="DE329:DF329"/>
    <mergeCell ref="DE330:DF330"/>
    <mergeCell ref="DE331:DF331"/>
    <mergeCell ref="DE332:DF332"/>
    <mergeCell ref="DE334:DF334"/>
    <mergeCell ref="DE335:DF335"/>
    <mergeCell ref="DE336:DF336"/>
    <mergeCell ref="DE338:DF338"/>
    <mergeCell ref="DE339:DF339"/>
    <mergeCell ref="DE341:DF341"/>
    <mergeCell ref="DE342:DF342"/>
    <mergeCell ref="DE343:DF343"/>
    <mergeCell ref="DE345:DF345"/>
    <mergeCell ref="DE346:DF346"/>
    <mergeCell ref="DE348:DF348"/>
    <mergeCell ref="DE349:DF349"/>
    <mergeCell ref="DE350:DF350"/>
    <mergeCell ref="DE352:DF352"/>
    <mergeCell ref="DE353:DF353"/>
    <mergeCell ref="DE355:DF355"/>
    <mergeCell ref="DE362:DF362"/>
    <mergeCell ref="DE363:DF363"/>
    <mergeCell ref="DE364:DF364"/>
    <mergeCell ref="DE365:DF365"/>
    <mergeCell ref="DE366:DF366"/>
    <mergeCell ref="DE367:DF367"/>
    <mergeCell ref="DE369:DF369"/>
    <mergeCell ref="DE370:DF370"/>
    <mergeCell ref="DE371:DF371"/>
    <mergeCell ref="DE257:DF257"/>
    <mergeCell ref="DE259:DF259"/>
    <mergeCell ref="DE261:DF261"/>
    <mergeCell ref="DE262:DF262"/>
    <mergeCell ref="DE263:DF263"/>
    <mergeCell ref="DE265:DF265"/>
    <mergeCell ref="DE268:DF268"/>
    <mergeCell ref="DE269:DF269"/>
    <mergeCell ref="DE270:DF270"/>
    <mergeCell ref="DE271:DF271"/>
    <mergeCell ref="DE277:DF277"/>
    <mergeCell ref="DE278:DF278"/>
    <mergeCell ref="DE279:DF279"/>
    <mergeCell ref="DE288:DF288"/>
    <mergeCell ref="DE291:DF291"/>
    <mergeCell ref="DE292:DF292"/>
    <mergeCell ref="DE293:DF293"/>
    <mergeCell ref="DE294:DF294"/>
    <mergeCell ref="DE295:DF295"/>
    <mergeCell ref="DE296:DF296"/>
    <mergeCell ref="DE297:DF297"/>
    <mergeCell ref="DE298:DF298"/>
    <mergeCell ref="DE299:DF299"/>
    <mergeCell ref="DE301:DF301"/>
    <mergeCell ref="DE302:DF302"/>
    <mergeCell ref="DE303:DF303"/>
    <mergeCell ref="DE304:DF304"/>
    <mergeCell ref="DE313:DF313"/>
    <mergeCell ref="DE314:DF314"/>
    <mergeCell ref="DE315:DF315"/>
    <mergeCell ref="DE316:DF316"/>
    <mergeCell ref="DE323:DF323"/>
    <mergeCell ref="DE324:DF324"/>
    <mergeCell ref="DE221:DF221"/>
    <mergeCell ref="DE222:DF222"/>
    <mergeCell ref="DE223:DF223"/>
    <mergeCell ref="DE224:DF224"/>
    <mergeCell ref="DE225:DF225"/>
    <mergeCell ref="DE226:DF226"/>
    <mergeCell ref="DE227:DF227"/>
    <mergeCell ref="DE228:DF228"/>
    <mergeCell ref="DE229:DF229"/>
    <mergeCell ref="DE230:DF230"/>
    <mergeCell ref="DE231:DF231"/>
    <mergeCell ref="DE232:DF232"/>
    <mergeCell ref="DE234:DF234"/>
    <mergeCell ref="DE235:DF235"/>
    <mergeCell ref="DE236:DF236"/>
    <mergeCell ref="DE237:DF237"/>
    <mergeCell ref="DE238:DF238"/>
    <mergeCell ref="DE239:DF239"/>
    <mergeCell ref="DE240:DF240"/>
    <mergeCell ref="DE241:DF241"/>
    <mergeCell ref="DE242:DF242"/>
    <mergeCell ref="DE243:DF243"/>
    <mergeCell ref="DE244:DF244"/>
    <mergeCell ref="DE246:DF246"/>
    <mergeCell ref="DE247:DF247"/>
    <mergeCell ref="DE248:DF248"/>
    <mergeCell ref="DE249:DF249"/>
    <mergeCell ref="DE250:DF250"/>
    <mergeCell ref="DE251:DF251"/>
    <mergeCell ref="DE252:DF252"/>
    <mergeCell ref="DE254:DF254"/>
    <mergeCell ref="DE255:DF255"/>
    <mergeCell ref="DE256:DF256"/>
    <mergeCell ref="DE149:DF149"/>
    <mergeCell ref="DE151:DF151"/>
    <mergeCell ref="DE153:DF153"/>
    <mergeCell ref="DE154:DF154"/>
    <mergeCell ref="DE155:DF155"/>
    <mergeCell ref="DE157:DF157"/>
    <mergeCell ref="DE159:DF159"/>
    <mergeCell ref="DE160:DF160"/>
    <mergeCell ref="DE161:DF161"/>
    <mergeCell ref="DE163:DF163"/>
    <mergeCell ref="DE165:DF165"/>
    <mergeCell ref="DE166:DF166"/>
    <mergeCell ref="DE167:DF167"/>
    <mergeCell ref="DE168:DF168"/>
    <mergeCell ref="DE169:DF169"/>
    <mergeCell ref="DE172:DF172"/>
    <mergeCell ref="DE176:DF176"/>
    <mergeCell ref="DE177:DF177"/>
    <mergeCell ref="DE178:DF178"/>
    <mergeCell ref="DE179:DF179"/>
    <mergeCell ref="DE181:DF181"/>
    <mergeCell ref="DE182:DF182"/>
    <mergeCell ref="DE183:DF183"/>
    <mergeCell ref="DE198:DF198"/>
    <mergeCell ref="DE199:DF199"/>
    <mergeCell ref="DE200:DF200"/>
    <mergeCell ref="DE206:DF206"/>
    <mergeCell ref="DE207:DF207"/>
    <mergeCell ref="DE208:DF208"/>
    <mergeCell ref="DE211:DF211"/>
    <mergeCell ref="DE212:DF212"/>
    <mergeCell ref="DE213:DF213"/>
    <mergeCell ref="DE214:DF214"/>
    <mergeCell ref="DE94:DF94"/>
    <mergeCell ref="DE95:DF95"/>
    <mergeCell ref="DE96:DF96"/>
    <mergeCell ref="DE97:DF97"/>
    <mergeCell ref="DE99:DF99"/>
    <mergeCell ref="DE100:DF100"/>
    <mergeCell ref="DE101:DF101"/>
    <mergeCell ref="DE102:DF102"/>
    <mergeCell ref="DE103:DF103"/>
    <mergeCell ref="DE105:DF105"/>
    <mergeCell ref="DE106:DF106"/>
    <mergeCell ref="DE107:DF107"/>
    <mergeCell ref="DE108:DF108"/>
    <mergeCell ref="DE109:DF109"/>
    <mergeCell ref="DE110:DF110"/>
    <mergeCell ref="DE111:DF111"/>
    <mergeCell ref="DE113:DF113"/>
    <mergeCell ref="DE114:DF114"/>
    <mergeCell ref="DE122:DF122"/>
    <mergeCell ref="DE124:DF124"/>
    <mergeCell ref="DE125:DF125"/>
    <mergeCell ref="DE133:DF133"/>
    <mergeCell ref="DE135:DF135"/>
    <mergeCell ref="DE136:DF136"/>
    <mergeCell ref="DE137:DF137"/>
    <mergeCell ref="DE138:DF138"/>
    <mergeCell ref="DE140:DF140"/>
    <mergeCell ref="DE141:DF141"/>
    <mergeCell ref="DE142:DF142"/>
    <mergeCell ref="DE144:DF144"/>
    <mergeCell ref="DE145:DF145"/>
    <mergeCell ref="DE147:DF147"/>
    <mergeCell ref="DE148:DF148"/>
    <mergeCell ref="DE2:DF2"/>
    <mergeCell ref="DE3:DF3"/>
    <mergeCell ref="DE4:DF4"/>
    <mergeCell ref="DE5:DF5"/>
    <mergeCell ref="DE7:DF7"/>
    <mergeCell ref="DE9:DF9"/>
    <mergeCell ref="DE10:DF10"/>
    <mergeCell ref="DE11:DF11"/>
    <mergeCell ref="DE16:DF16"/>
    <mergeCell ref="DE37:DF37"/>
    <mergeCell ref="DE43:DF43"/>
    <mergeCell ref="DE44:DF44"/>
    <mergeCell ref="DE45:DF45"/>
    <mergeCell ref="DE46:DF46"/>
    <mergeCell ref="DE47:DF47"/>
    <mergeCell ref="DE48:DF48"/>
    <mergeCell ref="DE50:DF50"/>
    <mergeCell ref="DE51:DF51"/>
    <mergeCell ref="DE52:DF52"/>
    <mergeCell ref="DE53:DF53"/>
    <mergeCell ref="DE61:DF61"/>
    <mergeCell ref="DE62:DF62"/>
    <mergeCell ref="DE63:DF63"/>
    <mergeCell ref="DE64:DF64"/>
    <mergeCell ref="DE65:DF65"/>
    <mergeCell ref="DE67:DF67"/>
    <mergeCell ref="DE68:DF68"/>
    <mergeCell ref="DE69:DF69"/>
    <mergeCell ref="DE70:DF70"/>
    <mergeCell ref="DE71:DF71"/>
    <mergeCell ref="DE72:DF72"/>
    <mergeCell ref="DE73:DF73"/>
    <mergeCell ref="DE74:DF74"/>
    <mergeCell ref="DA372:DB372"/>
    <mergeCell ref="DA374:DB374"/>
    <mergeCell ref="DA375:DB375"/>
    <mergeCell ref="DA376:DB376"/>
    <mergeCell ref="DA378:DB378"/>
    <mergeCell ref="DA379:DB379"/>
    <mergeCell ref="DA380:DB380"/>
    <mergeCell ref="DA396:DB396"/>
    <mergeCell ref="DA397:DB397"/>
    <mergeCell ref="DA398:DB398"/>
    <mergeCell ref="DA399:DB399"/>
    <mergeCell ref="EF9:EF14"/>
    <mergeCell ref="EF16:EF22"/>
    <mergeCell ref="EF37:EF41"/>
    <mergeCell ref="EF43:EF54"/>
    <mergeCell ref="EF61:EF65"/>
    <mergeCell ref="EF94:EF97"/>
    <mergeCell ref="EF99:EF103"/>
    <mergeCell ref="EF105:EF109"/>
    <mergeCell ref="EF113:EF120"/>
    <mergeCell ref="EF124:EF131"/>
    <mergeCell ref="EF135:EF138"/>
    <mergeCell ref="EF140:EF145"/>
    <mergeCell ref="EF147:EF151"/>
    <mergeCell ref="EF153:EF157"/>
    <mergeCell ref="EF159:EF163"/>
    <mergeCell ref="EF165:EF169"/>
    <mergeCell ref="EF171:EF179"/>
    <mergeCell ref="EF181:EF187"/>
    <mergeCell ref="EF198:EF204"/>
    <mergeCell ref="EF208:EF209"/>
    <mergeCell ref="EF265:EF266"/>
    <mergeCell ref="EF268:EF275"/>
    <mergeCell ref="EF323:EF327"/>
    <mergeCell ref="EF329:EF332"/>
    <mergeCell ref="EF334:EF338"/>
    <mergeCell ref="EF341:EF346"/>
    <mergeCell ref="EF348:EF353"/>
    <mergeCell ref="EF355:EF360"/>
    <mergeCell ref="EF362:EF367"/>
    <mergeCell ref="EF369:EF372"/>
    <mergeCell ref="EF374:EF376"/>
    <mergeCell ref="EF378:EF385"/>
    <mergeCell ref="EF396:EF405"/>
    <mergeCell ref="DA329:DB329"/>
    <mergeCell ref="DA330:DB330"/>
    <mergeCell ref="DA331:DB331"/>
    <mergeCell ref="DA332:DB332"/>
    <mergeCell ref="DA334:DB334"/>
    <mergeCell ref="DA335:DB335"/>
    <mergeCell ref="DA336:DB336"/>
    <mergeCell ref="DA338:DB338"/>
    <mergeCell ref="DA339:DB339"/>
    <mergeCell ref="DA341:DB341"/>
    <mergeCell ref="DA342:DB342"/>
    <mergeCell ref="DA343:DB343"/>
    <mergeCell ref="DA345:DB345"/>
    <mergeCell ref="DA346:DB346"/>
    <mergeCell ref="DA348:DB348"/>
    <mergeCell ref="DA349:DB349"/>
    <mergeCell ref="DA350:DB350"/>
    <mergeCell ref="DA352:DB352"/>
    <mergeCell ref="DA353:DB353"/>
    <mergeCell ref="DA355:DB355"/>
    <mergeCell ref="DA362:DB362"/>
    <mergeCell ref="DA363:DB363"/>
    <mergeCell ref="DA364:DB364"/>
    <mergeCell ref="DA365:DB365"/>
    <mergeCell ref="DA366:DB366"/>
    <mergeCell ref="DA367:DB367"/>
    <mergeCell ref="DA369:DB369"/>
    <mergeCell ref="DA370:DB370"/>
    <mergeCell ref="DA371:DB371"/>
    <mergeCell ref="DA257:DB257"/>
    <mergeCell ref="DA259:DB259"/>
    <mergeCell ref="DA261:DB261"/>
    <mergeCell ref="DA262:DB262"/>
    <mergeCell ref="DA263:DB263"/>
    <mergeCell ref="DA265:DB265"/>
    <mergeCell ref="DA268:DB268"/>
    <mergeCell ref="DA269:DB269"/>
    <mergeCell ref="DA270:DB270"/>
    <mergeCell ref="DA271:DB271"/>
    <mergeCell ref="DA277:DB277"/>
    <mergeCell ref="DA278:DB278"/>
    <mergeCell ref="DA279:DB279"/>
    <mergeCell ref="DA288:DB288"/>
    <mergeCell ref="DA291:DB291"/>
    <mergeCell ref="DA292:DB292"/>
    <mergeCell ref="DA293:DB293"/>
    <mergeCell ref="DA294:DB294"/>
    <mergeCell ref="DA295:DB295"/>
    <mergeCell ref="DA296:DB296"/>
    <mergeCell ref="DA297:DB297"/>
    <mergeCell ref="DA298:DB298"/>
    <mergeCell ref="DA299:DB299"/>
    <mergeCell ref="DA301:DB301"/>
    <mergeCell ref="DA302:DB302"/>
    <mergeCell ref="DA303:DB303"/>
    <mergeCell ref="DA304:DB304"/>
    <mergeCell ref="DA313:DB313"/>
    <mergeCell ref="DA314:DB314"/>
    <mergeCell ref="DA315:DB315"/>
    <mergeCell ref="DA316:DB316"/>
    <mergeCell ref="DA323:DB323"/>
    <mergeCell ref="DA324:DB324"/>
    <mergeCell ref="DA221:DB221"/>
    <mergeCell ref="DA222:DB222"/>
    <mergeCell ref="DA223:DB223"/>
    <mergeCell ref="DA224:DB224"/>
    <mergeCell ref="DA225:DB225"/>
    <mergeCell ref="DA226:DB226"/>
    <mergeCell ref="DA227:DB227"/>
    <mergeCell ref="DA228:DB228"/>
    <mergeCell ref="DA229:DB229"/>
    <mergeCell ref="DA230:DB230"/>
    <mergeCell ref="DA231:DB231"/>
    <mergeCell ref="DA232:DB232"/>
    <mergeCell ref="DA234:DB234"/>
    <mergeCell ref="DA235:DB235"/>
    <mergeCell ref="DA236:DB236"/>
    <mergeCell ref="DA237:DB237"/>
    <mergeCell ref="DA238:DB238"/>
    <mergeCell ref="DA239:DB239"/>
    <mergeCell ref="DA240:DB240"/>
    <mergeCell ref="DA241:DB241"/>
    <mergeCell ref="DA242:DB242"/>
    <mergeCell ref="DA243:DB243"/>
    <mergeCell ref="DA244:DB244"/>
    <mergeCell ref="DA246:DB246"/>
    <mergeCell ref="DA247:DB247"/>
    <mergeCell ref="DA248:DB248"/>
    <mergeCell ref="DA249:DB249"/>
    <mergeCell ref="DA250:DB250"/>
    <mergeCell ref="DA251:DB251"/>
    <mergeCell ref="DA252:DB252"/>
    <mergeCell ref="DA254:DB254"/>
    <mergeCell ref="DA255:DB255"/>
    <mergeCell ref="DA256:DB256"/>
    <mergeCell ref="DA149:DB149"/>
    <mergeCell ref="DA151:DB151"/>
    <mergeCell ref="DA153:DB153"/>
    <mergeCell ref="DA154:DB154"/>
    <mergeCell ref="DA155:DB155"/>
    <mergeCell ref="DA157:DB157"/>
    <mergeCell ref="DA159:DB159"/>
    <mergeCell ref="DA160:DB160"/>
    <mergeCell ref="DA161:DB161"/>
    <mergeCell ref="DA163:DB163"/>
    <mergeCell ref="DA165:DB165"/>
    <mergeCell ref="DA166:DB166"/>
    <mergeCell ref="DA167:DB167"/>
    <mergeCell ref="DA168:DB168"/>
    <mergeCell ref="DA169:DB169"/>
    <mergeCell ref="DA172:DB172"/>
    <mergeCell ref="DA176:DB176"/>
    <mergeCell ref="DA177:DB177"/>
    <mergeCell ref="DA178:DB178"/>
    <mergeCell ref="DA179:DB179"/>
    <mergeCell ref="DA181:DB181"/>
    <mergeCell ref="DA182:DB182"/>
    <mergeCell ref="DA183:DB183"/>
    <mergeCell ref="DA198:DB198"/>
    <mergeCell ref="DA199:DB199"/>
    <mergeCell ref="DA200:DB200"/>
    <mergeCell ref="DA206:DB206"/>
    <mergeCell ref="DA207:DB207"/>
    <mergeCell ref="DA208:DB208"/>
    <mergeCell ref="DA211:DB211"/>
    <mergeCell ref="DA212:DB212"/>
    <mergeCell ref="DA213:DB213"/>
    <mergeCell ref="DA214:DB214"/>
    <mergeCell ref="DA94:DB94"/>
    <mergeCell ref="DA95:DB95"/>
    <mergeCell ref="DA96:DB96"/>
    <mergeCell ref="DA97:DB97"/>
    <mergeCell ref="DA99:DB99"/>
    <mergeCell ref="DA100:DB100"/>
    <mergeCell ref="DA101:DB101"/>
    <mergeCell ref="DA102:DB102"/>
    <mergeCell ref="DA103:DB103"/>
    <mergeCell ref="DA105:DB105"/>
    <mergeCell ref="DA106:DB106"/>
    <mergeCell ref="DA107:DB107"/>
    <mergeCell ref="DA108:DB108"/>
    <mergeCell ref="DA109:DB109"/>
    <mergeCell ref="DA110:DB110"/>
    <mergeCell ref="DA111:DB111"/>
    <mergeCell ref="DA113:DB113"/>
    <mergeCell ref="DA114:DB114"/>
    <mergeCell ref="DA122:DB122"/>
    <mergeCell ref="DA124:DB124"/>
    <mergeCell ref="DA125:DB125"/>
    <mergeCell ref="DA133:DB133"/>
    <mergeCell ref="DA135:DB135"/>
    <mergeCell ref="DA136:DB136"/>
    <mergeCell ref="DA137:DB137"/>
    <mergeCell ref="DA138:DB138"/>
    <mergeCell ref="DA140:DB140"/>
    <mergeCell ref="DA141:DB141"/>
    <mergeCell ref="DA142:DB142"/>
    <mergeCell ref="DA144:DB144"/>
    <mergeCell ref="DA145:DB145"/>
    <mergeCell ref="DA147:DB147"/>
    <mergeCell ref="DA148:DB148"/>
    <mergeCell ref="DA2:DB2"/>
    <mergeCell ref="DA3:DB3"/>
    <mergeCell ref="DA4:DB4"/>
    <mergeCell ref="DA5:DB5"/>
    <mergeCell ref="DA7:DB7"/>
    <mergeCell ref="DA9:DB9"/>
    <mergeCell ref="DA10:DB10"/>
    <mergeCell ref="DA11:DB11"/>
    <mergeCell ref="DA16:DB16"/>
    <mergeCell ref="DA37:DB37"/>
    <mergeCell ref="DA43:DB43"/>
    <mergeCell ref="DA44:DB44"/>
    <mergeCell ref="DA45:DB45"/>
    <mergeCell ref="DA46:DB46"/>
    <mergeCell ref="DA47:DB47"/>
    <mergeCell ref="DA48:DB48"/>
    <mergeCell ref="DA50:DB50"/>
    <mergeCell ref="DA51:DB51"/>
    <mergeCell ref="DA52:DB52"/>
    <mergeCell ref="DA53:DB53"/>
    <mergeCell ref="DA61:DB61"/>
    <mergeCell ref="DA62:DB62"/>
    <mergeCell ref="DA63:DB63"/>
    <mergeCell ref="DA64:DB64"/>
    <mergeCell ref="DA65:DB65"/>
    <mergeCell ref="DA67:DB67"/>
    <mergeCell ref="DA68:DB68"/>
    <mergeCell ref="DA69:DB69"/>
    <mergeCell ref="DA70:DB70"/>
    <mergeCell ref="DA71:DB71"/>
    <mergeCell ref="DA72:DB72"/>
    <mergeCell ref="DA73:DB73"/>
    <mergeCell ref="DA74:DB74"/>
    <mergeCell ref="DA30:DB30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O2:CP2"/>
    <mergeCell ref="CQ2:CR2"/>
    <mergeCell ref="CS2:CT2"/>
    <mergeCell ref="CU2:CV2"/>
    <mergeCell ref="CW2:CX2"/>
    <mergeCell ref="CW4:CX4"/>
    <mergeCell ref="CY2:CZ2"/>
    <mergeCell ref="CA2:CB2"/>
    <mergeCell ref="CC2:CD2"/>
    <mergeCell ref="CE2:CF2"/>
    <mergeCell ref="CG2:CH2"/>
    <mergeCell ref="CI2:CJ2"/>
    <mergeCell ref="CK2:CL2"/>
    <mergeCell ref="CM2:CN2"/>
    <mergeCell ref="I2:J2"/>
    <mergeCell ref="K2:L2"/>
    <mergeCell ref="M2:N2"/>
    <mergeCell ref="O2:P2"/>
    <mergeCell ref="Q2:R2"/>
    <mergeCell ref="S2:T2"/>
    <mergeCell ref="U2:V2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BQ3:BR3"/>
    <mergeCell ref="BS3:BT3"/>
    <mergeCell ref="BU3:BV3"/>
    <mergeCell ref="BW3:BX3"/>
    <mergeCell ref="BY3:BZ3"/>
    <mergeCell ref="CO3:CP3"/>
    <mergeCell ref="CQ3:CR3"/>
    <mergeCell ref="CS3:CT3"/>
    <mergeCell ref="CU3:CV3"/>
    <mergeCell ref="CW3:CX3"/>
    <mergeCell ref="CY3:CZ3"/>
    <mergeCell ref="CA3:CB3"/>
    <mergeCell ref="CC3:CD3"/>
    <mergeCell ref="CE3:CF3"/>
    <mergeCell ref="CG3:CH3"/>
    <mergeCell ref="CI3:CJ3"/>
    <mergeCell ref="CK3:CL3"/>
    <mergeCell ref="CM3:CN3"/>
    <mergeCell ref="I3:J3"/>
    <mergeCell ref="K3:L3"/>
    <mergeCell ref="M3:N3"/>
    <mergeCell ref="O3:P3"/>
    <mergeCell ref="Q3:R3"/>
    <mergeCell ref="S3:T3"/>
    <mergeCell ref="U3:V3"/>
    <mergeCell ref="U5:V5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O4:CP4"/>
    <mergeCell ref="CQ4:CR4"/>
    <mergeCell ref="CS4:CT4"/>
    <mergeCell ref="CU4:CV4"/>
    <mergeCell ref="CU7:CV7"/>
    <mergeCell ref="CW7:CX7"/>
    <mergeCell ref="CY4:CZ4"/>
    <mergeCell ref="CA4:CB4"/>
    <mergeCell ref="CC4:CD4"/>
    <mergeCell ref="CE4:CF4"/>
    <mergeCell ref="CG4:CH4"/>
    <mergeCell ref="CI4:CJ4"/>
    <mergeCell ref="CK4:CL4"/>
    <mergeCell ref="CM4:CN4"/>
    <mergeCell ref="I4:J4"/>
    <mergeCell ref="K4:L4"/>
    <mergeCell ref="M4:N4"/>
    <mergeCell ref="O4:P4"/>
    <mergeCell ref="Q4:R4"/>
    <mergeCell ref="S4:T4"/>
    <mergeCell ref="U4:V4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O5:CP5"/>
    <mergeCell ref="CQ5:CR5"/>
    <mergeCell ref="CS5:CT5"/>
    <mergeCell ref="CU5:CV5"/>
    <mergeCell ref="CW5:CX5"/>
    <mergeCell ref="CY5:CZ5"/>
    <mergeCell ref="CA5:CB5"/>
    <mergeCell ref="CC5:CD5"/>
    <mergeCell ref="CE5:CF5"/>
    <mergeCell ref="CG5:CH5"/>
    <mergeCell ref="CI5:CJ5"/>
    <mergeCell ref="CK5:CL5"/>
    <mergeCell ref="CM5:CN5"/>
    <mergeCell ref="I5:J5"/>
    <mergeCell ref="K5:L5"/>
    <mergeCell ref="M5:N5"/>
    <mergeCell ref="O5:P5"/>
    <mergeCell ref="Q5:R5"/>
    <mergeCell ref="S5:T5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O7:CP7"/>
    <mergeCell ref="CQ7:CR7"/>
    <mergeCell ref="CS7:CT7"/>
    <mergeCell ref="AK10:AL10"/>
    <mergeCell ref="AM10:AN10"/>
    <mergeCell ref="CG10:CH10"/>
    <mergeCell ref="CI10:CJ10"/>
    <mergeCell ref="CK10:CL10"/>
    <mergeCell ref="CM10:CN10"/>
    <mergeCell ref="CO10:CP10"/>
    <mergeCell ref="CQ10:CR10"/>
    <mergeCell ref="BQ9:BR9"/>
    <mergeCell ref="BS9:BT9"/>
    <mergeCell ref="BU9:BV9"/>
    <mergeCell ref="BW9:BX9"/>
    <mergeCell ref="BY9:BZ9"/>
    <mergeCell ref="CA9:CB9"/>
    <mergeCell ref="CC9:CD9"/>
    <mergeCell ref="AO10:AP10"/>
    <mergeCell ref="AQ10:AR10"/>
    <mergeCell ref="AA10:AB10"/>
    <mergeCell ref="AC10:AD10"/>
    <mergeCell ref="BW10:BX10"/>
    <mergeCell ref="CE9:CF9"/>
    <mergeCell ref="CG9:CH9"/>
    <mergeCell ref="CI9:CJ9"/>
    <mergeCell ref="CK9:CL9"/>
    <mergeCell ref="CM9:CN9"/>
    <mergeCell ref="CO9:CP9"/>
    <mergeCell ref="CQ9:CR9"/>
    <mergeCell ref="BI9:BJ9"/>
    <mergeCell ref="BK9:BL9"/>
    <mergeCell ref="BM9:BN9"/>
    <mergeCell ref="BO9:BP9"/>
    <mergeCell ref="BS10:BT10"/>
    <mergeCell ref="BU10:BV10"/>
    <mergeCell ref="CY7:CZ7"/>
    <mergeCell ref="CA7:CB7"/>
    <mergeCell ref="CC7:CD7"/>
    <mergeCell ref="CE7:CF7"/>
    <mergeCell ref="CG7:CH7"/>
    <mergeCell ref="CI7:CJ7"/>
    <mergeCell ref="CK7:CL7"/>
    <mergeCell ref="CM7:CN7"/>
    <mergeCell ref="I7:J7"/>
    <mergeCell ref="K7:L7"/>
    <mergeCell ref="M7:N7"/>
    <mergeCell ref="O7:P7"/>
    <mergeCell ref="Q7:R7"/>
    <mergeCell ref="S7:T7"/>
    <mergeCell ref="U7:V7"/>
    <mergeCell ref="DX9:DX14"/>
    <mergeCell ref="DY9:DY14"/>
    <mergeCell ref="DZ9:DZ14"/>
    <mergeCell ref="EA9:EA14"/>
    <mergeCell ref="EB9:EB14"/>
    <mergeCell ref="EC9:EC14"/>
    <mergeCell ref="ED9:ED14"/>
    <mergeCell ref="EE9:EE14"/>
    <mergeCell ref="CS10:CT10"/>
    <mergeCell ref="CU10:CV10"/>
    <mergeCell ref="CW10:CX10"/>
    <mergeCell ref="CY10:CZ10"/>
    <mergeCell ref="CS11:CT11"/>
    <mergeCell ref="CU11:CV11"/>
    <mergeCell ref="CW11:CX11"/>
    <mergeCell ref="CY11:CZ11"/>
    <mergeCell ref="CS9:CT9"/>
    <mergeCell ref="CU9:CV9"/>
    <mergeCell ref="CW9:CX9"/>
    <mergeCell ref="CY9:CZ9"/>
    <mergeCell ref="DU9:DU14"/>
    <mergeCell ref="DV9:DV14"/>
    <mergeCell ref="DW9:DW14"/>
    <mergeCell ref="W10:X10"/>
    <mergeCell ref="Y10:Z10"/>
    <mergeCell ref="I10:J10"/>
    <mergeCell ref="K10:L10"/>
    <mergeCell ref="M10:N10"/>
    <mergeCell ref="O10:P10"/>
    <mergeCell ref="Q10:R10"/>
    <mergeCell ref="S10:T10"/>
    <mergeCell ref="U10:V10"/>
    <mergeCell ref="BG10:BH10"/>
    <mergeCell ref="BI10:BJ10"/>
    <mergeCell ref="AS10:AT10"/>
    <mergeCell ref="AU10:AV10"/>
    <mergeCell ref="AW10:AX10"/>
    <mergeCell ref="AY10:AZ10"/>
    <mergeCell ref="BA10:BB10"/>
    <mergeCell ref="BC10:BD10"/>
    <mergeCell ref="BE10:BF10"/>
    <mergeCell ref="BY10:BZ10"/>
    <mergeCell ref="CA10:CB10"/>
    <mergeCell ref="BK10:BL10"/>
    <mergeCell ref="BM10:BN10"/>
    <mergeCell ref="BO10:BP10"/>
    <mergeCell ref="BQ10:BR10"/>
    <mergeCell ref="CC10:CD10"/>
    <mergeCell ref="CE10:CF10"/>
    <mergeCell ref="B9:B14"/>
    <mergeCell ref="C9:C14"/>
    <mergeCell ref="D9:D14"/>
    <mergeCell ref="E9:E14"/>
    <mergeCell ref="F9:F14"/>
    <mergeCell ref="I9:J9"/>
    <mergeCell ref="K9:L9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C11:BD11"/>
    <mergeCell ref="BE11:BF11"/>
    <mergeCell ref="BG11:BH11"/>
    <mergeCell ref="AE10:AF10"/>
    <mergeCell ref="AG10:AH10"/>
    <mergeCell ref="AI10:AJ10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Y11:BZ11"/>
    <mergeCell ref="CO11:CP11"/>
    <mergeCell ref="CQ11:CR11"/>
    <mergeCell ref="CA11:CB11"/>
    <mergeCell ref="CC11:CD11"/>
    <mergeCell ref="CE11:CF11"/>
    <mergeCell ref="CG11:CH11"/>
    <mergeCell ref="CI11:CJ11"/>
    <mergeCell ref="CK11:CL11"/>
    <mergeCell ref="CM11:CN11"/>
    <mergeCell ref="CS37:CT37"/>
    <mergeCell ref="CU37:CV37"/>
    <mergeCell ref="CW37:CX37"/>
    <mergeCell ref="CA37:CB37"/>
    <mergeCell ref="CC37:CD37"/>
    <mergeCell ref="CE37:CF37"/>
    <mergeCell ref="CG37:CH37"/>
    <mergeCell ref="CI37:CJ37"/>
    <mergeCell ref="CK37:CL37"/>
    <mergeCell ref="CM37:CN37"/>
    <mergeCell ref="CI16:CJ16"/>
    <mergeCell ref="CK16:CL16"/>
    <mergeCell ref="CM16:CN16"/>
    <mergeCell ref="CO16:CP16"/>
    <mergeCell ref="CQ16:CR16"/>
    <mergeCell ref="BI11:BJ11"/>
    <mergeCell ref="BK11:BL11"/>
    <mergeCell ref="BM11:BN11"/>
    <mergeCell ref="BO11:BP11"/>
    <mergeCell ref="BQ11:BR11"/>
    <mergeCell ref="BS11:BT11"/>
    <mergeCell ref="BU11:BV11"/>
    <mergeCell ref="BW11:BX11"/>
    <mergeCell ref="BU16:BV16"/>
    <mergeCell ref="BW16:BX16"/>
    <mergeCell ref="BY16:BZ16"/>
    <mergeCell ref="CA16:CB16"/>
    <mergeCell ref="CC16:CD16"/>
    <mergeCell ref="CE16:CF16"/>
    <mergeCell ref="CG16:CH16"/>
    <mergeCell ref="BO37:BP37"/>
    <mergeCell ref="BM24:BN24"/>
    <mergeCell ref="BO24:BP24"/>
    <mergeCell ref="BQ24:BR24"/>
    <mergeCell ref="BS24:BT24"/>
    <mergeCell ref="BU24:BV24"/>
    <mergeCell ref="BW24:BX24"/>
    <mergeCell ref="BY24:BZ24"/>
    <mergeCell ref="CA24:CB24"/>
    <mergeCell ref="CC24:CD24"/>
    <mergeCell ref="CE24:CF24"/>
    <mergeCell ref="CG24:CH24"/>
    <mergeCell ref="CI24:CJ24"/>
    <mergeCell ref="CK24:CL24"/>
    <mergeCell ref="CM24:CN24"/>
    <mergeCell ref="CO24:CP24"/>
    <mergeCell ref="CQ24:CR24"/>
    <mergeCell ref="CS24:CT24"/>
    <mergeCell ref="CU24:CV24"/>
    <mergeCell ref="CW24:CX24"/>
    <mergeCell ref="DX16:DX22"/>
    <mergeCell ref="DY16:DY22"/>
    <mergeCell ref="DZ16:DZ22"/>
    <mergeCell ref="EA16:EA22"/>
    <mergeCell ref="EB16:EB22"/>
    <mergeCell ref="EC16:EC22"/>
    <mergeCell ref="ED16:ED22"/>
    <mergeCell ref="EE16:EE22"/>
    <mergeCell ref="CS16:CT16"/>
    <mergeCell ref="CU16:CV16"/>
    <mergeCell ref="CW16:CX16"/>
    <mergeCell ref="CY16:CZ16"/>
    <mergeCell ref="DU16:DU22"/>
    <mergeCell ref="DV16:DV22"/>
    <mergeCell ref="DW16:DW22"/>
    <mergeCell ref="EB37:EB41"/>
    <mergeCell ref="EC37:EC41"/>
    <mergeCell ref="ED37:ED41"/>
    <mergeCell ref="EE37:EE41"/>
    <mergeCell ref="DU37:DU41"/>
    <mergeCell ref="DV37:DV41"/>
    <mergeCell ref="DW37:DW41"/>
    <mergeCell ref="DX37:DX41"/>
    <mergeCell ref="DY37:DY41"/>
    <mergeCell ref="DZ37:DZ41"/>
    <mergeCell ref="EA37:EA41"/>
    <mergeCell ref="CY37:CZ37"/>
    <mergeCell ref="BC37:BD37"/>
    <mergeCell ref="BE37:BF37"/>
    <mergeCell ref="AM37:AN37"/>
    <mergeCell ref="AO37:AP37"/>
    <mergeCell ref="AQ37:AR37"/>
    <mergeCell ref="AA43:AB43"/>
    <mergeCell ref="AC43:AD43"/>
    <mergeCell ref="AE43:AF43"/>
    <mergeCell ref="AG43:AH43"/>
    <mergeCell ref="AI43:AJ43"/>
    <mergeCell ref="AK43:AL43"/>
    <mergeCell ref="BU37:BV37"/>
    <mergeCell ref="BW37:BX37"/>
    <mergeCell ref="BY37:BZ37"/>
    <mergeCell ref="CO37:CP37"/>
    <mergeCell ref="CQ37:CR37"/>
    <mergeCell ref="CM43:CN43"/>
    <mergeCell ref="CO43:CP43"/>
    <mergeCell ref="ED43:ED54"/>
    <mergeCell ref="EE43:EE54"/>
    <mergeCell ref="DW43:DW54"/>
    <mergeCell ref="DX43:DX54"/>
    <mergeCell ref="DY43:DY54"/>
    <mergeCell ref="DZ43:DZ54"/>
    <mergeCell ref="EA43:EA54"/>
    <mergeCell ref="EB43:EB54"/>
    <mergeCell ref="EC43:EC54"/>
    <mergeCell ref="BO43:BP43"/>
    <mergeCell ref="BQ43:BR43"/>
    <mergeCell ref="BS43:BT43"/>
    <mergeCell ref="BU43:BV43"/>
    <mergeCell ref="BW43:BX43"/>
    <mergeCell ref="BY43:BZ43"/>
    <mergeCell ref="CA43:CB43"/>
    <mergeCell ref="CQ44:CR44"/>
    <mergeCell ref="CS44:CT44"/>
    <mergeCell ref="CG45:CH45"/>
    <mergeCell ref="CE43:CF43"/>
    <mergeCell ref="CG43:CH43"/>
    <mergeCell ref="CI43:CJ43"/>
    <mergeCell ref="CK43:CL43"/>
    <mergeCell ref="B16:B22"/>
    <mergeCell ref="C16:C22"/>
    <mergeCell ref="D16:D22"/>
    <mergeCell ref="E16:E22"/>
    <mergeCell ref="F16:F22"/>
    <mergeCell ref="I16:J16"/>
    <mergeCell ref="K16:L16"/>
    <mergeCell ref="B37:B41"/>
    <mergeCell ref="C37:C41"/>
    <mergeCell ref="D37:D41"/>
    <mergeCell ref="E37:E41"/>
    <mergeCell ref="F37:F41"/>
    <mergeCell ref="I37:J37"/>
    <mergeCell ref="K37:L37"/>
    <mergeCell ref="AA37:AB37"/>
    <mergeCell ref="AC37:AD37"/>
    <mergeCell ref="AE37:AF37"/>
    <mergeCell ref="AG37:AH37"/>
    <mergeCell ref="AI37:AJ37"/>
    <mergeCell ref="AK37:AL37"/>
    <mergeCell ref="BQ37:BR37"/>
    <mergeCell ref="BS37:BT37"/>
    <mergeCell ref="AS37:AT37"/>
    <mergeCell ref="AU37:AV37"/>
    <mergeCell ref="AW37:AX37"/>
    <mergeCell ref="AY37:AZ37"/>
    <mergeCell ref="BA37:BB37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Q16:BR16"/>
    <mergeCell ref="BS16:BT16"/>
    <mergeCell ref="BI16:BJ16"/>
    <mergeCell ref="BK16:BL16"/>
    <mergeCell ref="BM16:BN16"/>
    <mergeCell ref="BO16:BP16"/>
    <mergeCell ref="BK37:BL37"/>
    <mergeCell ref="BM37:BN37"/>
    <mergeCell ref="M37:N37"/>
    <mergeCell ref="O37:P37"/>
    <mergeCell ref="Q37:R37"/>
    <mergeCell ref="S37:T37"/>
    <mergeCell ref="U37:V37"/>
    <mergeCell ref="W37:X37"/>
    <mergeCell ref="Y37:Z37"/>
    <mergeCell ref="Y44:Z44"/>
    <mergeCell ref="AA44:AB44"/>
    <mergeCell ref="M44:N44"/>
    <mergeCell ref="O44:P44"/>
    <mergeCell ref="Q44:R44"/>
    <mergeCell ref="S44:T44"/>
    <mergeCell ref="U44:V44"/>
    <mergeCell ref="W44:X44"/>
    <mergeCell ref="AQ44:AR44"/>
    <mergeCell ref="AS44:AT44"/>
    <mergeCell ref="AC44:AD44"/>
    <mergeCell ref="AE44:AF44"/>
    <mergeCell ref="AG44:AH44"/>
    <mergeCell ref="AI44:AJ44"/>
    <mergeCell ref="AK44:AL44"/>
    <mergeCell ref="AM44:AN44"/>
    <mergeCell ref="AO44:AP44"/>
    <mergeCell ref="BI44:BJ44"/>
    <mergeCell ref="BK44:BL44"/>
    <mergeCell ref="AU44:AV44"/>
    <mergeCell ref="AW44:AX44"/>
    <mergeCell ref="AY44:AZ44"/>
    <mergeCell ref="BA44:BB44"/>
    <mergeCell ref="BC44:BD44"/>
    <mergeCell ref="BE44:BF44"/>
    <mergeCell ref="BG44:BH44"/>
    <mergeCell ref="BG37:BH37"/>
    <mergeCell ref="BI37:BJ37"/>
    <mergeCell ref="BW45:BX45"/>
    <mergeCell ref="BY45:BZ45"/>
    <mergeCell ref="CA45:CB45"/>
    <mergeCell ref="CC47:CD47"/>
    <mergeCell ref="CE47:CF47"/>
    <mergeCell ref="CG47:CH47"/>
    <mergeCell ref="CI47:CJ47"/>
    <mergeCell ref="CK47:CL47"/>
    <mergeCell ref="CM47:CN47"/>
    <mergeCell ref="CO47:CP47"/>
    <mergeCell ref="BO47:BP47"/>
    <mergeCell ref="BQ47:BR47"/>
    <mergeCell ref="BS47:BT47"/>
    <mergeCell ref="BU47:BV47"/>
    <mergeCell ref="BW47:BX47"/>
    <mergeCell ref="BY47:BZ47"/>
    <mergeCell ref="CA47:CB47"/>
    <mergeCell ref="CC48:CD48"/>
    <mergeCell ref="CE48:CF48"/>
    <mergeCell ref="CG48:CH48"/>
    <mergeCell ref="CI48:CJ48"/>
    <mergeCell ref="CK48:CL48"/>
    <mergeCell ref="CC44:CD44"/>
    <mergeCell ref="CE44:CF44"/>
    <mergeCell ref="CG44:CH44"/>
    <mergeCell ref="CI44:CJ44"/>
    <mergeCell ref="CK44:CL44"/>
    <mergeCell ref="CM44:CN44"/>
    <mergeCell ref="CO44:CP44"/>
    <mergeCell ref="BO44:BP44"/>
    <mergeCell ref="BQ44:BR44"/>
    <mergeCell ref="BS44:BT44"/>
    <mergeCell ref="BU44:BV44"/>
    <mergeCell ref="BW44:BX44"/>
    <mergeCell ref="BY44:BZ44"/>
    <mergeCell ref="CA44:CB44"/>
    <mergeCell ref="CI45:CJ45"/>
    <mergeCell ref="CK45:CL45"/>
    <mergeCell ref="CM45:CN45"/>
    <mergeCell ref="CO45:CP45"/>
    <mergeCell ref="BY52:BZ52"/>
    <mergeCell ref="CA52:CB52"/>
    <mergeCell ref="CY52:CZ52"/>
    <mergeCell ref="CC46:CD46"/>
    <mergeCell ref="CE46:CF46"/>
    <mergeCell ref="CG46:CH46"/>
    <mergeCell ref="CI46:CJ46"/>
    <mergeCell ref="CK46:CL46"/>
    <mergeCell ref="CM46:CN46"/>
    <mergeCell ref="CO46:CP46"/>
    <mergeCell ref="BO46:BP46"/>
    <mergeCell ref="BQ46:BR46"/>
    <mergeCell ref="BS46:BT46"/>
    <mergeCell ref="BU46:BV46"/>
    <mergeCell ref="BW46:BX46"/>
    <mergeCell ref="BY46:BZ46"/>
    <mergeCell ref="CA46:CB46"/>
    <mergeCell ref="CU44:CV44"/>
    <mergeCell ref="CW44:CX44"/>
    <mergeCell ref="CQ43:CR43"/>
    <mergeCell ref="CQ45:CR45"/>
    <mergeCell ref="CQ46:CR46"/>
    <mergeCell ref="CQ47:CR47"/>
    <mergeCell ref="CS45:CT45"/>
    <mergeCell ref="CU45:CV45"/>
    <mergeCell ref="CW45:CX45"/>
    <mergeCell ref="CY45:CZ45"/>
    <mergeCell ref="CS46:CT46"/>
    <mergeCell ref="CM48:CN48"/>
    <mergeCell ref="CO48:CP48"/>
    <mergeCell ref="CQ48:CR48"/>
    <mergeCell ref="BO48:BP48"/>
    <mergeCell ref="BQ48:BR48"/>
    <mergeCell ref="BS48:BT48"/>
    <mergeCell ref="BU48:BV48"/>
    <mergeCell ref="BW48:BX48"/>
    <mergeCell ref="BY48:BZ48"/>
    <mergeCell ref="CA48:CB48"/>
    <mergeCell ref="CC50:CD50"/>
    <mergeCell ref="CE50:CF50"/>
    <mergeCell ref="CG50:CH50"/>
    <mergeCell ref="CI50:CJ50"/>
    <mergeCell ref="CK50:CL50"/>
    <mergeCell ref="CM50:CN50"/>
    <mergeCell ref="CO50:CP50"/>
    <mergeCell ref="CQ50:CR50"/>
    <mergeCell ref="BO50:BP50"/>
    <mergeCell ref="BQ50:BR50"/>
    <mergeCell ref="BS50:BT50"/>
    <mergeCell ref="BU50:BV50"/>
    <mergeCell ref="BW50:BX50"/>
    <mergeCell ref="BY50:BZ50"/>
    <mergeCell ref="CA50:CB50"/>
    <mergeCell ref="CS43:CT43"/>
    <mergeCell ref="CU43:CV43"/>
    <mergeCell ref="CW43:CX43"/>
    <mergeCell ref="CY43:CZ43"/>
    <mergeCell ref="CQ52:CR52"/>
    <mergeCell ref="CC45:CD45"/>
    <mergeCell ref="CE45:CF45"/>
    <mergeCell ref="BO45:BP45"/>
    <mergeCell ref="BQ45:BR45"/>
    <mergeCell ref="BS45:BT45"/>
    <mergeCell ref="BU45:BV45"/>
    <mergeCell ref="CY46:CZ46"/>
    <mergeCell ref="CS47:CT47"/>
    <mergeCell ref="CU47:CV47"/>
    <mergeCell ref="CY47:CZ47"/>
    <mergeCell ref="CS48:CT48"/>
    <mergeCell ref="CU48:CV48"/>
    <mergeCell ref="CW48:CX48"/>
    <mergeCell ref="CY48:CZ48"/>
    <mergeCell ref="CS50:CT50"/>
    <mergeCell ref="CU50:CV50"/>
    <mergeCell ref="CW50:CX50"/>
    <mergeCell ref="CY50:CZ50"/>
    <mergeCell ref="CS51:CT51"/>
    <mergeCell ref="CU51:CV51"/>
    <mergeCell ref="CW51:CX51"/>
    <mergeCell ref="CY51:CZ51"/>
    <mergeCell ref="CS61:CT61"/>
    <mergeCell ref="CU61:CV61"/>
    <mergeCell ref="CW61:CX61"/>
    <mergeCell ref="CY61:CZ61"/>
    <mergeCell ref="CW52:CX52"/>
    <mergeCell ref="CS53:CT53"/>
    <mergeCell ref="CU53:CV53"/>
    <mergeCell ref="CW47:CX47"/>
    <mergeCell ref="CU46:CV46"/>
    <mergeCell ref="CW46:CX46"/>
    <mergeCell ref="DU43:DU54"/>
    <mergeCell ref="DV43:DV54"/>
    <mergeCell ref="CY44:CZ44"/>
    <mergeCell ref="EB61:EB65"/>
    <mergeCell ref="CC64:CD64"/>
    <mergeCell ref="CE64:CF64"/>
    <mergeCell ref="CG64:CH64"/>
    <mergeCell ref="CI64:CJ64"/>
    <mergeCell ref="CK64:CL64"/>
    <mergeCell ref="CM64:CN64"/>
    <mergeCell ref="CO64:CP64"/>
    <mergeCell ref="CQ64:CR64"/>
    <mergeCell ref="CC51:CD51"/>
    <mergeCell ref="CE51:CF51"/>
    <mergeCell ref="CG51:CH51"/>
    <mergeCell ref="CI51:CJ51"/>
    <mergeCell ref="CK51:CL51"/>
    <mergeCell ref="CM51:CN51"/>
    <mergeCell ref="CO51:CP51"/>
    <mergeCell ref="CQ51:CR51"/>
    <mergeCell ref="CC62:CD62"/>
    <mergeCell ref="CM62:CN62"/>
    <mergeCell ref="CO62:CP62"/>
    <mergeCell ref="CQ62:CR62"/>
    <mergeCell ref="CC63:CD63"/>
    <mergeCell ref="CE63:CF63"/>
    <mergeCell ref="CG63:CH63"/>
    <mergeCell ref="CI63:CJ63"/>
    <mergeCell ref="CK63:CL63"/>
    <mergeCell ref="CM63:CN63"/>
    <mergeCell ref="CO63:CP63"/>
    <mergeCell ref="CQ63:CR63"/>
    <mergeCell ref="CM61:CN61"/>
    <mergeCell ref="CO61:CP61"/>
    <mergeCell ref="CQ61:CR61"/>
    <mergeCell ref="CW53:CX53"/>
    <mergeCell ref="CY53:CZ53"/>
    <mergeCell ref="CC43:CD43"/>
    <mergeCell ref="AQ48:AR48"/>
    <mergeCell ref="AS48:AT48"/>
    <mergeCell ref="AU48:AV48"/>
    <mergeCell ref="AW48:AX48"/>
    <mergeCell ref="AY48:AZ48"/>
    <mergeCell ref="BI50:BJ50"/>
    <mergeCell ref="BK50:BL50"/>
    <mergeCell ref="BE48:BF48"/>
    <mergeCell ref="BG48:BH48"/>
    <mergeCell ref="BI48:BJ48"/>
    <mergeCell ref="BK48:BL48"/>
    <mergeCell ref="BM48:BN48"/>
    <mergeCell ref="BE50:BF50"/>
    <mergeCell ref="BG50:BH50"/>
    <mergeCell ref="BM50:BN50"/>
    <mergeCell ref="BI53:BJ53"/>
    <mergeCell ref="BK53:BL53"/>
    <mergeCell ref="BE52:BF52"/>
    <mergeCell ref="BG52:BH52"/>
    <mergeCell ref="BI52:BJ52"/>
    <mergeCell ref="BK52:BL52"/>
    <mergeCell ref="BM52:BN52"/>
    <mergeCell ref="BE53:BF53"/>
    <mergeCell ref="BG53:BH53"/>
    <mergeCell ref="BM53:BN53"/>
    <mergeCell ref="CC52:CD52"/>
    <mergeCell ref="CE52:CF52"/>
    <mergeCell ref="CG52:CH52"/>
    <mergeCell ref="CI52:CJ52"/>
    <mergeCell ref="CK52:CL52"/>
    <mergeCell ref="EC61:EC65"/>
    <mergeCell ref="ED61:ED65"/>
    <mergeCell ref="EE61:EE65"/>
    <mergeCell ref="CY62:CZ62"/>
    <mergeCell ref="CY63:CZ63"/>
    <mergeCell ref="CY64:CZ64"/>
    <mergeCell ref="CY65:CZ65"/>
    <mergeCell ref="DU61:DU65"/>
    <mergeCell ref="DV61:DV65"/>
    <mergeCell ref="DW61:DW65"/>
    <mergeCell ref="DX61:DX65"/>
    <mergeCell ref="DY61:DY65"/>
    <mergeCell ref="DZ61:DZ65"/>
    <mergeCell ref="EA61:EA65"/>
    <mergeCell ref="CS63:CT63"/>
    <mergeCell ref="CS64:CT64"/>
    <mergeCell ref="CU64:CV64"/>
    <mergeCell ref="CW64:CX64"/>
    <mergeCell ref="CS65:CT65"/>
    <mergeCell ref="CU65:CV65"/>
    <mergeCell ref="CW65:CX65"/>
    <mergeCell ref="CS52:CT52"/>
    <mergeCell ref="CU52:CV52"/>
    <mergeCell ref="CS62:CT62"/>
    <mergeCell ref="CU62:CV62"/>
    <mergeCell ref="CW62:CX62"/>
    <mergeCell ref="CU63:CV63"/>
    <mergeCell ref="CW63:CX63"/>
    <mergeCell ref="BO64:BP64"/>
    <mergeCell ref="BQ64:BR64"/>
    <mergeCell ref="BS64:BT64"/>
    <mergeCell ref="BU64:BV64"/>
    <mergeCell ref="BW64:BX64"/>
    <mergeCell ref="BY64:BZ64"/>
    <mergeCell ref="CM52:CN52"/>
    <mergeCell ref="CO52:CP52"/>
    <mergeCell ref="CA53:CB53"/>
    <mergeCell ref="CC53:CD53"/>
    <mergeCell ref="BO52:BP52"/>
    <mergeCell ref="BO53:BP53"/>
    <mergeCell ref="BQ53:BR53"/>
    <mergeCell ref="BS53:BT53"/>
    <mergeCell ref="BU53:BV53"/>
    <mergeCell ref="BW53:BX53"/>
    <mergeCell ref="BY53:BZ53"/>
    <mergeCell ref="CE53:CF53"/>
    <mergeCell ref="CG53:CH53"/>
    <mergeCell ref="CI53:CJ53"/>
    <mergeCell ref="CK53:CL53"/>
    <mergeCell ref="CM53:CN53"/>
    <mergeCell ref="CO53:CP53"/>
    <mergeCell ref="CQ53:CR53"/>
    <mergeCell ref="CE62:CF62"/>
    <mergeCell ref="CG62:CH62"/>
    <mergeCell ref="CI62:CJ62"/>
    <mergeCell ref="CK62:CL62"/>
    <mergeCell ref="BE51:BF51"/>
    <mergeCell ref="BG51:BH51"/>
    <mergeCell ref="BI51:BJ51"/>
    <mergeCell ref="BK51:BL51"/>
    <mergeCell ref="BM51:BN51"/>
    <mergeCell ref="BG61:BH61"/>
    <mergeCell ref="BI61:BJ61"/>
    <mergeCell ref="BK61:BL61"/>
    <mergeCell ref="BM61:BN61"/>
    <mergeCell ref="AO62:AP62"/>
    <mergeCell ref="AQ62:AR62"/>
    <mergeCell ref="AS62:AT62"/>
    <mergeCell ref="AU62:AV62"/>
    <mergeCell ref="AW62:AX62"/>
    <mergeCell ref="AY62:AZ62"/>
    <mergeCell ref="BA62:BB62"/>
    <mergeCell ref="BY61:BZ61"/>
    <mergeCell ref="CA61:CB61"/>
    <mergeCell ref="CC61:CD61"/>
    <mergeCell ref="CE61:CF61"/>
    <mergeCell ref="CG61:CH61"/>
    <mergeCell ref="CI61:CJ61"/>
    <mergeCell ref="CK61:CL61"/>
    <mergeCell ref="BO51:BP51"/>
    <mergeCell ref="BQ51:BR51"/>
    <mergeCell ref="BS51:BT51"/>
    <mergeCell ref="BU51:BV51"/>
    <mergeCell ref="BW51:BX51"/>
    <mergeCell ref="BY51:BZ51"/>
    <mergeCell ref="CA51:CB51"/>
    <mergeCell ref="BO62:BP62"/>
    <mergeCell ref="BQ62:BR62"/>
    <mergeCell ref="BS62:BT62"/>
    <mergeCell ref="BU62:BV62"/>
    <mergeCell ref="BW62:BX62"/>
    <mergeCell ref="BY62:BZ62"/>
    <mergeCell ref="CA62:CB62"/>
    <mergeCell ref="BQ61:BR61"/>
    <mergeCell ref="BQ52:BR52"/>
    <mergeCell ref="BS52:BT52"/>
    <mergeCell ref="BU52:BV52"/>
    <mergeCell ref="BW52:BX52"/>
    <mergeCell ref="AO68:AP68"/>
    <mergeCell ref="AQ68:AR68"/>
    <mergeCell ref="AA68:AB68"/>
    <mergeCell ref="AC68:AD68"/>
    <mergeCell ref="AE68:AF68"/>
    <mergeCell ref="AG68:AH68"/>
    <mergeCell ref="AI68:AJ68"/>
    <mergeCell ref="AK68:AL68"/>
    <mergeCell ref="AM68:AN68"/>
    <mergeCell ref="AY65:AZ65"/>
    <mergeCell ref="BA65:BB65"/>
    <mergeCell ref="AK65:AL65"/>
    <mergeCell ref="AM65:AN65"/>
    <mergeCell ref="AO65:AP65"/>
    <mergeCell ref="AQ65:AR65"/>
    <mergeCell ref="AS65:AT65"/>
    <mergeCell ref="AU65:AV65"/>
    <mergeCell ref="AW65:AX65"/>
    <mergeCell ref="CC65:CD65"/>
    <mergeCell ref="CE65:CF65"/>
    <mergeCell ref="CG65:CH65"/>
    <mergeCell ref="CI65:CJ65"/>
    <mergeCell ref="CK65:CL65"/>
    <mergeCell ref="BK68:BL68"/>
    <mergeCell ref="BM68:BN68"/>
    <mergeCell ref="BO68:BP68"/>
    <mergeCell ref="AE61:AF61"/>
    <mergeCell ref="AG61:AH61"/>
    <mergeCell ref="AI61:AJ61"/>
    <mergeCell ref="AO61:AP61"/>
    <mergeCell ref="AQ61:AR61"/>
    <mergeCell ref="AS61:AT61"/>
    <mergeCell ref="AU61:AV61"/>
    <mergeCell ref="AW61:AX61"/>
    <mergeCell ref="AY61:AZ61"/>
    <mergeCell ref="BA61:BB61"/>
    <mergeCell ref="BC61:BD61"/>
    <mergeCell ref="BE61:BF61"/>
    <mergeCell ref="BO61:BP61"/>
    <mergeCell ref="BS61:BT61"/>
    <mergeCell ref="BU61:BV61"/>
    <mergeCell ref="BW61:BX61"/>
    <mergeCell ref="CA64:CB64"/>
    <mergeCell ref="BO63:BP63"/>
    <mergeCell ref="BQ63:BR63"/>
    <mergeCell ref="BS63:BT63"/>
    <mergeCell ref="BU63:BV63"/>
    <mergeCell ref="BW63:BX63"/>
    <mergeCell ref="BY63:BZ63"/>
    <mergeCell ref="CA63:CB63"/>
    <mergeCell ref="CM65:CN65"/>
    <mergeCell ref="CO65:CP65"/>
    <mergeCell ref="CQ65:CR65"/>
    <mergeCell ref="BO65:BP65"/>
    <mergeCell ref="BQ65:BR65"/>
    <mergeCell ref="BS65:BT65"/>
    <mergeCell ref="BU65:BV65"/>
    <mergeCell ref="BW65:BX65"/>
    <mergeCell ref="BY65:BZ65"/>
    <mergeCell ref="CA65:CB65"/>
    <mergeCell ref="BC65:BD65"/>
    <mergeCell ref="BE65:BF65"/>
    <mergeCell ref="BG65:BH65"/>
    <mergeCell ref="BI65:BJ65"/>
    <mergeCell ref="BK65:BL65"/>
    <mergeCell ref="BM65:BN65"/>
    <mergeCell ref="BQ67:BR67"/>
    <mergeCell ref="BS67:BT67"/>
    <mergeCell ref="BU67:BV67"/>
    <mergeCell ref="BW67:BX67"/>
    <mergeCell ref="BY67:BZ67"/>
    <mergeCell ref="CA67:CB67"/>
    <mergeCell ref="CC67:CD67"/>
    <mergeCell ref="K44:L44"/>
    <mergeCell ref="I46:J46"/>
    <mergeCell ref="K46:L46"/>
    <mergeCell ref="BK47:BL47"/>
    <mergeCell ref="BM47:BN4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I67:AJ67"/>
    <mergeCell ref="AK67:AL67"/>
    <mergeCell ref="AM67:AN67"/>
    <mergeCell ref="AO67:AP67"/>
    <mergeCell ref="AQ67:AR67"/>
    <mergeCell ref="AS67:AT67"/>
    <mergeCell ref="AU67:AV67"/>
    <mergeCell ref="AW67:AX67"/>
    <mergeCell ref="AY67:AZ67"/>
    <mergeCell ref="BA67:BB67"/>
    <mergeCell ref="BC67:BD67"/>
    <mergeCell ref="BE67:BF67"/>
    <mergeCell ref="BG67:BH67"/>
    <mergeCell ref="BI67:BJ67"/>
    <mergeCell ref="BK67:BL67"/>
    <mergeCell ref="BM67:BN67"/>
    <mergeCell ref="BO67:BP67"/>
    <mergeCell ref="U45:V45"/>
    <mergeCell ref="W45:X45"/>
    <mergeCell ref="AK61:AL61"/>
    <mergeCell ref="AM61:AN61"/>
    <mergeCell ref="W61:X61"/>
    <mergeCell ref="Y61:Z61"/>
    <mergeCell ref="AA61:AB61"/>
    <mergeCell ref="AC61:AD61"/>
    <mergeCell ref="Q61:R61"/>
    <mergeCell ref="S61:T61"/>
    <mergeCell ref="U61:V61"/>
    <mergeCell ref="W63:X63"/>
    <mergeCell ref="Y63:Z63"/>
    <mergeCell ref="AA63:AB63"/>
    <mergeCell ref="AC63:AD63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BC46:BD46"/>
    <mergeCell ref="BE46:BF46"/>
    <mergeCell ref="BG46:BH46"/>
    <mergeCell ref="BI46:BJ46"/>
    <mergeCell ref="BK46:BL46"/>
    <mergeCell ref="BM46:BN46"/>
    <mergeCell ref="AO46:AP46"/>
    <mergeCell ref="AQ46:AR46"/>
    <mergeCell ref="AS46:AT46"/>
    <mergeCell ref="AU46:AV46"/>
    <mergeCell ref="AW46:AX46"/>
    <mergeCell ref="AY46:AZ46"/>
    <mergeCell ref="BA46:BB46"/>
    <mergeCell ref="BE45:BF45"/>
    <mergeCell ref="BG45:BH45"/>
    <mergeCell ref="AQ45:AR45"/>
    <mergeCell ref="AS45:AT45"/>
    <mergeCell ref="AU45:AV45"/>
    <mergeCell ref="AW45:AX45"/>
    <mergeCell ref="AY45:AZ45"/>
    <mergeCell ref="BA45:BB45"/>
    <mergeCell ref="BC45:BD45"/>
    <mergeCell ref="BI63:BJ63"/>
    <mergeCell ref="BK63:BL63"/>
    <mergeCell ref="BC62:BD62"/>
    <mergeCell ref="BE62:BF62"/>
    <mergeCell ref="BG62:BH62"/>
    <mergeCell ref="BI62:BJ62"/>
    <mergeCell ref="BK62:BL62"/>
    <mergeCell ref="BM62:BN62"/>
    <mergeCell ref="BG63:BH63"/>
    <mergeCell ref="BM63:BN63"/>
    <mergeCell ref="AM45:AN45"/>
    <mergeCell ref="AO45:AP45"/>
    <mergeCell ref="Y45:Z45"/>
    <mergeCell ref="AA45:AB45"/>
    <mergeCell ref="AC45:AD45"/>
    <mergeCell ref="AE45:AF45"/>
    <mergeCell ref="AG45:AH45"/>
    <mergeCell ref="AI45:AJ45"/>
    <mergeCell ref="AK45:AL45"/>
    <mergeCell ref="BA48:BB48"/>
    <mergeCell ref="BC48:BD48"/>
    <mergeCell ref="AM48:AN48"/>
    <mergeCell ref="AO48:AP48"/>
    <mergeCell ref="I61:J61"/>
    <mergeCell ref="K61:L61"/>
    <mergeCell ref="M61:N61"/>
    <mergeCell ref="O61:P61"/>
    <mergeCell ref="AM43:AN43"/>
    <mergeCell ref="AO43:AP43"/>
    <mergeCell ref="AQ43:AR43"/>
    <mergeCell ref="AS43:AT43"/>
    <mergeCell ref="AU43:AV43"/>
    <mergeCell ref="AW43:AX43"/>
    <mergeCell ref="AY43:AZ43"/>
    <mergeCell ref="BI43:BJ43"/>
    <mergeCell ref="BI45:BJ45"/>
    <mergeCell ref="BK45:BL45"/>
    <mergeCell ref="BM45:BN45"/>
    <mergeCell ref="BA43:BB43"/>
    <mergeCell ref="BC43:BD43"/>
    <mergeCell ref="BE43:BF43"/>
    <mergeCell ref="BG43:BH43"/>
    <mergeCell ref="BK43:BL43"/>
    <mergeCell ref="BM43:BN43"/>
    <mergeCell ref="BM44:BN44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I47:J47"/>
    <mergeCell ref="I48:J48"/>
    <mergeCell ref="K48:L48"/>
    <mergeCell ref="M48:N48"/>
    <mergeCell ref="O48:P48"/>
    <mergeCell ref="Q48:R48"/>
    <mergeCell ref="S48:T48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C47:BD47"/>
    <mergeCell ref="BE47:BF47"/>
    <mergeCell ref="BG47:BH47"/>
    <mergeCell ref="BI47:BJ47"/>
    <mergeCell ref="I44:J44"/>
    <mergeCell ref="I45:J45"/>
    <mergeCell ref="K45:L45"/>
    <mergeCell ref="M45:N45"/>
    <mergeCell ref="O45:P45"/>
    <mergeCell ref="Q45:R45"/>
    <mergeCell ref="S45:T45"/>
    <mergeCell ref="M46:N46"/>
    <mergeCell ref="O46:P46"/>
    <mergeCell ref="A43:A49"/>
    <mergeCell ref="B43:B54"/>
    <mergeCell ref="C43:C54"/>
    <mergeCell ref="D43:D54"/>
    <mergeCell ref="E43:E54"/>
    <mergeCell ref="F43:F49"/>
    <mergeCell ref="I43:J43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G62:AH62"/>
    <mergeCell ref="AI62:AJ62"/>
    <mergeCell ref="AK62:AL62"/>
    <mergeCell ref="AM62:AN62"/>
    <mergeCell ref="B61:B65"/>
    <mergeCell ref="C61:C65"/>
    <mergeCell ref="D61:D65"/>
    <mergeCell ref="E61:E65"/>
    <mergeCell ref="F61:F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I65:AJ65"/>
    <mergeCell ref="I63:J63"/>
    <mergeCell ref="K63:L63"/>
    <mergeCell ref="M63:N63"/>
    <mergeCell ref="O63:P63"/>
    <mergeCell ref="Q63:R63"/>
    <mergeCell ref="S63:T63"/>
    <mergeCell ref="U63:V63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K43:L43"/>
    <mergeCell ref="M43:N43"/>
    <mergeCell ref="O43:P43"/>
    <mergeCell ref="Q43:R43"/>
    <mergeCell ref="S43:T43"/>
    <mergeCell ref="U43:V43"/>
    <mergeCell ref="W43:X43"/>
    <mergeCell ref="Y43:Z43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G64:AH64"/>
    <mergeCell ref="AI64:AJ64"/>
    <mergeCell ref="AK64:AL64"/>
    <mergeCell ref="AM64:AN64"/>
    <mergeCell ref="AO64:AP64"/>
    <mergeCell ref="AQ64:AR64"/>
    <mergeCell ref="AS64:AT64"/>
    <mergeCell ref="AU64:AV64"/>
    <mergeCell ref="AW64:AX64"/>
    <mergeCell ref="I62:J62"/>
    <mergeCell ref="K62:L62"/>
    <mergeCell ref="BC64:BD64"/>
    <mergeCell ref="AY64:AZ64"/>
    <mergeCell ref="BA64:BB64"/>
    <mergeCell ref="BE64:BF64"/>
    <mergeCell ref="BG64:BH64"/>
    <mergeCell ref="BI64:BJ64"/>
    <mergeCell ref="BK64:BL64"/>
    <mergeCell ref="BM64:BN64"/>
    <mergeCell ref="AO63:AP63"/>
    <mergeCell ref="AQ63:AR63"/>
    <mergeCell ref="AS63:AT63"/>
    <mergeCell ref="AU63:AV63"/>
    <mergeCell ref="AW63:AX63"/>
    <mergeCell ref="AY63:AZ63"/>
    <mergeCell ref="BA63:BB63"/>
    <mergeCell ref="AK63:AL63"/>
    <mergeCell ref="AM63:AN63"/>
    <mergeCell ref="AE63:AF63"/>
    <mergeCell ref="AG63:AH63"/>
    <mergeCell ref="AI63:AJ63"/>
    <mergeCell ref="BC63:BD63"/>
    <mergeCell ref="BE63:BF63"/>
    <mergeCell ref="CS67:CT67"/>
    <mergeCell ref="CU67:CV67"/>
    <mergeCell ref="CW67:CX67"/>
    <mergeCell ref="CY67:CZ67"/>
    <mergeCell ref="CE67:CF67"/>
    <mergeCell ref="CG67:CH67"/>
    <mergeCell ref="CI67:CJ67"/>
    <mergeCell ref="CK67:CL67"/>
    <mergeCell ref="CM67:CN67"/>
    <mergeCell ref="CO67:CP67"/>
    <mergeCell ref="CQ67:CR67"/>
    <mergeCell ref="AS68:AT68"/>
    <mergeCell ref="AU68:AV68"/>
    <mergeCell ref="AW68:AX68"/>
    <mergeCell ref="AY68:AZ68"/>
    <mergeCell ref="BA68:BB68"/>
    <mergeCell ref="BC68:BD68"/>
    <mergeCell ref="BE68:BF68"/>
    <mergeCell ref="BG68:BH68"/>
    <mergeCell ref="BI68:BJ68"/>
    <mergeCell ref="BQ68:BR68"/>
    <mergeCell ref="BS68:BT68"/>
    <mergeCell ref="BU68:BV68"/>
    <mergeCell ref="BW68:BX68"/>
    <mergeCell ref="BY68:BZ68"/>
    <mergeCell ref="CO68:CP68"/>
    <mergeCell ref="CQ68:CR68"/>
    <mergeCell ref="CS68:CT68"/>
    <mergeCell ref="CU68:CV68"/>
    <mergeCell ref="CW68:CX68"/>
    <mergeCell ref="CY68:CZ68"/>
    <mergeCell ref="CA68:CB68"/>
    <mergeCell ref="CC68:CD68"/>
    <mergeCell ref="CE68:CF68"/>
    <mergeCell ref="CG68:CH68"/>
    <mergeCell ref="CI68:CJ68"/>
    <mergeCell ref="CK68:CL68"/>
    <mergeCell ref="CM68:CN68"/>
    <mergeCell ref="CS69:CT69"/>
    <mergeCell ref="CU69:CV69"/>
    <mergeCell ref="CW69:CX69"/>
    <mergeCell ref="CY69:CZ69"/>
    <mergeCell ref="CE69:CF69"/>
    <mergeCell ref="CG69:CH69"/>
    <mergeCell ref="CI69:CJ69"/>
    <mergeCell ref="CK69:CL69"/>
    <mergeCell ref="CM69:CN69"/>
    <mergeCell ref="CO69:CP69"/>
    <mergeCell ref="CQ69:CR69"/>
    <mergeCell ref="BU70:BV70"/>
    <mergeCell ref="BW70:BX70"/>
    <mergeCell ref="BY70:BZ70"/>
    <mergeCell ref="CA70:CB70"/>
    <mergeCell ref="CC70:CD70"/>
    <mergeCell ref="CE70:CF70"/>
    <mergeCell ref="CG70:CH70"/>
    <mergeCell ref="CW70:CX70"/>
    <mergeCell ref="CY70:CZ70"/>
    <mergeCell ref="CI70:CJ70"/>
    <mergeCell ref="CK70:CL70"/>
    <mergeCell ref="CM70:CN70"/>
    <mergeCell ref="CO70:CP70"/>
    <mergeCell ref="CQ70:CR70"/>
    <mergeCell ref="CS70:CT70"/>
    <mergeCell ref="CU70:CV70"/>
    <mergeCell ref="W68:X68"/>
    <mergeCell ref="Y68:Z68"/>
    <mergeCell ref="I68:J68"/>
    <mergeCell ref="K68:L68"/>
    <mergeCell ref="M68:N68"/>
    <mergeCell ref="O68:P68"/>
    <mergeCell ref="Q68:R68"/>
    <mergeCell ref="S68:T68"/>
    <mergeCell ref="U68:V68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I69:AJ69"/>
    <mergeCell ref="AK69:AL69"/>
    <mergeCell ref="AM69:AN69"/>
    <mergeCell ref="AO69:AP69"/>
    <mergeCell ref="AQ69:AR69"/>
    <mergeCell ref="AS69:AT69"/>
    <mergeCell ref="AU69:AV69"/>
    <mergeCell ref="AW69:AX69"/>
    <mergeCell ref="AY69:AZ69"/>
    <mergeCell ref="BA69:BB69"/>
    <mergeCell ref="BC69:BD69"/>
    <mergeCell ref="BE69:BF69"/>
    <mergeCell ref="BG69:BH69"/>
    <mergeCell ref="BI69:BJ69"/>
    <mergeCell ref="BK69:BL69"/>
    <mergeCell ref="BM69:BN69"/>
    <mergeCell ref="BO69:BP69"/>
    <mergeCell ref="BU69:BV69"/>
    <mergeCell ref="BW69:BX69"/>
    <mergeCell ref="BY69:BZ69"/>
    <mergeCell ref="CA69:CB69"/>
    <mergeCell ref="CC69:CD69"/>
    <mergeCell ref="AO71:AP71"/>
    <mergeCell ref="AQ71:AR71"/>
    <mergeCell ref="AA71:AB71"/>
    <mergeCell ref="AC71:AD71"/>
    <mergeCell ref="AE71:AF71"/>
    <mergeCell ref="AG71:AH71"/>
    <mergeCell ref="AI71:AJ71"/>
    <mergeCell ref="AK71:AL71"/>
    <mergeCell ref="AM71:AN71"/>
    <mergeCell ref="Y73:Z73"/>
    <mergeCell ref="AA73:AB73"/>
    <mergeCell ref="AC73:AD73"/>
    <mergeCell ref="AE73:AF73"/>
    <mergeCell ref="AG73:AH73"/>
    <mergeCell ref="AI73:AJ73"/>
    <mergeCell ref="AK73:AL73"/>
    <mergeCell ref="AM73:AN73"/>
    <mergeCell ref="AO73:AP73"/>
    <mergeCell ref="AQ73:AR73"/>
    <mergeCell ref="AS73:AT73"/>
    <mergeCell ref="AU73:AV73"/>
    <mergeCell ref="AW73:AX73"/>
    <mergeCell ref="AY73:AZ73"/>
    <mergeCell ref="BA73:BB73"/>
    <mergeCell ref="BC73:BD73"/>
    <mergeCell ref="BE73:BF73"/>
    <mergeCell ref="BG73:BH73"/>
    <mergeCell ref="BI73:BJ73"/>
    <mergeCell ref="BK73:BL73"/>
    <mergeCell ref="BM73:BN73"/>
    <mergeCell ref="BO73:BP73"/>
    <mergeCell ref="BQ73:BR73"/>
    <mergeCell ref="BS73:BT73"/>
    <mergeCell ref="BU73:BV73"/>
    <mergeCell ref="BW73:BX73"/>
    <mergeCell ref="BY73:BZ73"/>
    <mergeCell ref="CA73:CB73"/>
    <mergeCell ref="CQ73:CR73"/>
    <mergeCell ref="CS73:CT73"/>
    <mergeCell ref="CU73:CV73"/>
    <mergeCell ref="CW73:CX73"/>
    <mergeCell ref="CY73:CZ73"/>
    <mergeCell ref="CC73:CD73"/>
    <mergeCell ref="CE73:CF73"/>
    <mergeCell ref="CG73:CH73"/>
    <mergeCell ref="CI73:CJ73"/>
    <mergeCell ref="CK73:CL73"/>
    <mergeCell ref="CM73:CN73"/>
    <mergeCell ref="CO73:CP73"/>
    <mergeCell ref="AS71:AT71"/>
    <mergeCell ref="AU71:AV71"/>
    <mergeCell ref="AW71:AX71"/>
    <mergeCell ref="AY71:AZ71"/>
    <mergeCell ref="BA71:BB71"/>
    <mergeCell ref="BC71:BD71"/>
    <mergeCell ref="BE71:BF71"/>
    <mergeCell ref="BG71:BH71"/>
    <mergeCell ref="BI71:BJ71"/>
    <mergeCell ref="BU71:BV71"/>
    <mergeCell ref="BW71:BX71"/>
    <mergeCell ref="BY71:BZ71"/>
    <mergeCell ref="CA71:CB71"/>
    <mergeCell ref="CC71:CD71"/>
    <mergeCell ref="CS71:CT71"/>
    <mergeCell ref="CU71:CV71"/>
    <mergeCell ref="CW71:CX71"/>
    <mergeCell ref="CY71:CZ71"/>
    <mergeCell ref="CE71:CF71"/>
    <mergeCell ref="CG71:CH71"/>
    <mergeCell ref="CI71:CJ71"/>
    <mergeCell ref="CK71:CL71"/>
    <mergeCell ref="CM71:CN71"/>
    <mergeCell ref="CO71:CP71"/>
    <mergeCell ref="CQ71:CR71"/>
    <mergeCell ref="CS72:CT72"/>
    <mergeCell ref="CU72:CV72"/>
    <mergeCell ref="CW72:CX72"/>
    <mergeCell ref="CY72:CZ72"/>
    <mergeCell ref="CE72:CF72"/>
    <mergeCell ref="CG72:CH72"/>
    <mergeCell ref="CI72:CJ72"/>
    <mergeCell ref="CK72:CL72"/>
    <mergeCell ref="CM72:CN72"/>
    <mergeCell ref="CO72:CP72"/>
    <mergeCell ref="CQ72:CR72"/>
    <mergeCell ref="CA72:CB72"/>
    <mergeCell ref="CC72:CD72"/>
    <mergeCell ref="I69:J69"/>
    <mergeCell ref="K69:L69"/>
    <mergeCell ref="I70:J70"/>
    <mergeCell ref="K70:L70"/>
    <mergeCell ref="M70:N70"/>
    <mergeCell ref="O70:P70"/>
    <mergeCell ref="Q70:R70"/>
    <mergeCell ref="S70:T70"/>
    <mergeCell ref="U70:V70"/>
    <mergeCell ref="AY70:AZ70"/>
    <mergeCell ref="BA70:BB70"/>
    <mergeCell ref="BC70:BD70"/>
    <mergeCell ref="BE70:BF70"/>
    <mergeCell ref="BG70:BH70"/>
    <mergeCell ref="BI70:BJ70"/>
    <mergeCell ref="BK70:BL70"/>
    <mergeCell ref="W70:X70"/>
    <mergeCell ref="Y70:Z70"/>
    <mergeCell ref="AA70:AB70"/>
    <mergeCell ref="AC70:AD70"/>
    <mergeCell ref="AE70:AF70"/>
    <mergeCell ref="AG70:AH70"/>
    <mergeCell ref="AI70:AJ70"/>
    <mergeCell ref="AK70:AL70"/>
    <mergeCell ref="AM70:AN70"/>
    <mergeCell ref="AO70:AP70"/>
    <mergeCell ref="AQ70:AR70"/>
    <mergeCell ref="AS70:AT70"/>
    <mergeCell ref="AU70:AV70"/>
    <mergeCell ref="AW70:AX70"/>
    <mergeCell ref="BQ71:BR71"/>
    <mergeCell ref="BS71:BT71"/>
    <mergeCell ref="BM70:BN70"/>
    <mergeCell ref="BO70:BP70"/>
    <mergeCell ref="BQ70:BR70"/>
    <mergeCell ref="BS70:BT70"/>
    <mergeCell ref="BK71:BL71"/>
    <mergeCell ref="BM71:BN71"/>
    <mergeCell ref="BO71:BP71"/>
    <mergeCell ref="W71:X71"/>
    <mergeCell ref="Y71:Z71"/>
    <mergeCell ref="I71:J71"/>
    <mergeCell ref="K71:L71"/>
    <mergeCell ref="M71:N71"/>
    <mergeCell ref="O71:P71"/>
    <mergeCell ref="Q71:R71"/>
    <mergeCell ref="S71:T71"/>
    <mergeCell ref="U71:V71"/>
    <mergeCell ref="BQ69:BR69"/>
    <mergeCell ref="BS69:BT69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I72:AJ72"/>
    <mergeCell ref="AK72:AL72"/>
    <mergeCell ref="AM72:AN72"/>
    <mergeCell ref="AO72:AP72"/>
    <mergeCell ref="AQ72:AR72"/>
    <mergeCell ref="AS72:AT72"/>
    <mergeCell ref="AU72:AV72"/>
    <mergeCell ref="AW72:AX72"/>
    <mergeCell ref="AY72:AZ72"/>
    <mergeCell ref="BA72:BB72"/>
    <mergeCell ref="BC72:BD72"/>
    <mergeCell ref="BE72:BF72"/>
    <mergeCell ref="BG72:BH72"/>
    <mergeCell ref="BI72:BJ72"/>
    <mergeCell ref="BK72:BL72"/>
    <mergeCell ref="BM72:BN72"/>
    <mergeCell ref="BO72:BP72"/>
    <mergeCell ref="BQ72:BR72"/>
    <mergeCell ref="BS72:BT72"/>
    <mergeCell ref="BU72:BV72"/>
    <mergeCell ref="BW72:BX72"/>
    <mergeCell ref="BY72:BZ72"/>
    <mergeCell ref="BM74:BN74"/>
    <mergeCell ref="BO74:BP74"/>
    <mergeCell ref="BQ74:BR74"/>
    <mergeCell ref="BS74:BT74"/>
    <mergeCell ref="BU74:BV74"/>
    <mergeCell ref="BW74:BX74"/>
    <mergeCell ref="BY74:BZ74"/>
    <mergeCell ref="CO74:CP74"/>
    <mergeCell ref="CQ74:CR74"/>
    <mergeCell ref="CS74:CT74"/>
    <mergeCell ref="CU74:CV74"/>
    <mergeCell ref="CW74:CX74"/>
    <mergeCell ref="CY74:CZ74"/>
    <mergeCell ref="CA74:CB74"/>
    <mergeCell ref="CC74:CD74"/>
    <mergeCell ref="CE74:CF74"/>
    <mergeCell ref="CG74:CH74"/>
    <mergeCell ref="CI74:CJ74"/>
    <mergeCell ref="CK74:CL74"/>
    <mergeCell ref="CM74:CN74"/>
    <mergeCell ref="W75:X75"/>
    <mergeCell ref="Y75:Z75"/>
    <mergeCell ref="I75:J75"/>
    <mergeCell ref="K75:L75"/>
    <mergeCell ref="M75:N75"/>
    <mergeCell ref="O75:P75"/>
    <mergeCell ref="Q75:R75"/>
    <mergeCell ref="S75:T75"/>
    <mergeCell ref="U75:V75"/>
    <mergeCell ref="AO75:AP75"/>
    <mergeCell ref="AQ75:AR75"/>
    <mergeCell ref="AA75:AB75"/>
    <mergeCell ref="AC75:AD75"/>
    <mergeCell ref="AE75:AF75"/>
    <mergeCell ref="AG75:AH75"/>
    <mergeCell ref="AI75:AJ75"/>
    <mergeCell ref="AK75:AL75"/>
    <mergeCell ref="AM75:AN75"/>
    <mergeCell ref="BG75:BH75"/>
    <mergeCell ref="BI75:BJ75"/>
    <mergeCell ref="AS75:AT75"/>
    <mergeCell ref="AU75:AV75"/>
    <mergeCell ref="AW75:AX75"/>
    <mergeCell ref="AY75:AZ75"/>
    <mergeCell ref="BA75:BB75"/>
    <mergeCell ref="BC75:BD75"/>
    <mergeCell ref="BE75:BF75"/>
    <mergeCell ref="AS74:AT74"/>
    <mergeCell ref="AU74:AV74"/>
    <mergeCell ref="AW74:AX74"/>
    <mergeCell ref="W74:X74"/>
    <mergeCell ref="Y74:Z74"/>
    <mergeCell ref="AA74:AB74"/>
    <mergeCell ref="AC74:AD74"/>
    <mergeCell ref="AE74:AF74"/>
    <mergeCell ref="AG74:AH74"/>
    <mergeCell ref="AI74:AJ74"/>
    <mergeCell ref="AY74:AZ74"/>
    <mergeCell ref="BA74:BB74"/>
    <mergeCell ref="BC74:BD74"/>
    <mergeCell ref="BE74:BF74"/>
    <mergeCell ref="BG74:BH74"/>
    <mergeCell ref="BI74:BJ74"/>
    <mergeCell ref="BK74:BL74"/>
    <mergeCell ref="W76:X76"/>
    <mergeCell ref="Y76:Z76"/>
    <mergeCell ref="I76:J76"/>
    <mergeCell ref="K76:L76"/>
    <mergeCell ref="M76:N76"/>
    <mergeCell ref="O76:P76"/>
    <mergeCell ref="Q76:R76"/>
    <mergeCell ref="S76:T76"/>
    <mergeCell ref="U76:V76"/>
    <mergeCell ref="AO76:AP76"/>
    <mergeCell ref="AQ76:AR76"/>
    <mergeCell ref="AA76:AB76"/>
    <mergeCell ref="AC76:AD76"/>
    <mergeCell ref="AE76:AF76"/>
    <mergeCell ref="AG76:AH76"/>
    <mergeCell ref="AI76:AJ76"/>
    <mergeCell ref="AK76:AL76"/>
    <mergeCell ref="AM76:AN76"/>
    <mergeCell ref="BG76:BH76"/>
    <mergeCell ref="BI76:BJ76"/>
    <mergeCell ref="AS76:AT76"/>
    <mergeCell ref="AU76:AV76"/>
    <mergeCell ref="AW76:AX76"/>
    <mergeCell ref="AY76:AZ76"/>
    <mergeCell ref="BA76:BB76"/>
    <mergeCell ref="BC76:BD76"/>
    <mergeCell ref="BE76:BF76"/>
    <mergeCell ref="W77:X77"/>
    <mergeCell ref="Y77:Z77"/>
    <mergeCell ref="I77:J77"/>
    <mergeCell ref="K77:L77"/>
    <mergeCell ref="M77:N77"/>
    <mergeCell ref="O77:P77"/>
    <mergeCell ref="Q77:R77"/>
    <mergeCell ref="S77:T77"/>
    <mergeCell ref="U77:V77"/>
    <mergeCell ref="AO77:AP77"/>
    <mergeCell ref="AQ77:AR77"/>
    <mergeCell ref="AA77:AB77"/>
    <mergeCell ref="AC77:AD77"/>
    <mergeCell ref="AE77:AF77"/>
    <mergeCell ref="AG77:AH77"/>
    <mergeCell ref="AI77:AJ77"/>
    <mergeCell ref="AK77:AL77"/>
    <mergeCell ref="AM77:AN77"/>
    <mergeCell ref="BG77:BH77"/>
    <mergeCell ref="BI77:BJ77"/>
    <mergeCell ref="AS77:AT77"/>
    <mergeCell ref="AU77:AV77"/>
    <mergeCell ref="AW77:AX77"/>
    <mergeCell ref="AY77:AZ77"/>
    <mergeCell ref="BA77:BB77"/>
    <mergeCell ref="BC77:BD77"/>
    <mergeCell ref="BE77:BF77"/>
    <mergeCell ref="I88:J88"/>
    <mergeCell ref="K88:L88"/>
    <mergeCell ref="M88:N88"/>
    <mergeCell ref="O88:P88"/>
    <mergeCell ref="Q88:R88"/>
    <mergeCell ref="S88:T88"/>
    <mergeCell ref="U88:V88"/>
    <mergeCell ref="AO88:AP88"/>
    <mergeCell ref="AQ88:AR88"/>
    <mergeCell ref="AA88:AB88"/>
    <mergeCell ref="AC88:AD88"/>
    <mergeCell ref="AE88:AF88"/>
    <mergeCell ref="AG88:AH88"/>
    <mergeCell ref="AI88:AJ88"/>
    <mergeCell ref="AK88:AL88"/>
    <mergeCell ref="AM88:AN88"/>
    <mergeCell ref="BG88:BH88"/>
    <mergeCell ref="BI88:BJ88"/>
    <mergeCell ref="AS88:AT88"/>
    <mergeCell ref="AU88:AV88"/>
    <mergeCell ref="AW88:AX88"/>
    <mergeCell ref="AY88:AZ88"/>
    <mergeCell ref="BA88:BB88"/>
    <mergeCell ref="BC88:BD88"/>
    <mergeCell ref="BE88:BF88"/>
    <mergeCell ref="W87:X87"/>
    <mergeCell ref="Y87:Z87"/>
    <mergeCell ref="I87:J87"/>
    <mergeCell ref="K87:L87"/>
    <mergeCell ref="M87:N87"/>
    <mergeCell ref="O87:P87"/>
    <mergeCell ref="Q87:R87"/>
    <mergeCell ref="S87:T87"/>
    <mergeCell ref="U87:V87"/>
    <mergeCell ref="AO87:AP87"/>
    <mergeCell ref="AQ87:AR87"/>
    <mergeCell ref="AA87:AB87"/>
    <mergeCell ref="AC87:AD87"/>
    <mergeCell ref="AE87:AF87"/>
    <mergeCell ref="AG87:AH87"/>
    <mergeCell ref="AI87:AJ87"/>
    <mergeCell ref="AK87:AL87"/>
    <mergeCell ref="AM87:AN87"/>
    <mergeCell ref="BK94:BL94"/>
    <mergeCell ref="BM94:BN94"/>
    <mergeCell ref="BO94:BP94"/>
    <mergeCell ref="BQ94:BR94"/>
    <mergeCell ref="BS94:BT94"/>
    <mergeCell ref="DZ94:DZ97"/>
    <mergeCell ref="EA94:EA97"/>
    <mergeCell ref="EB94:EB97"/>
    <mergeCell ref="W89:X89"/>
    <mergeCell ref="Y89:Z89"/>
    <mergeCell ref="I89:J89"/>
    <mergeCell ref="K89:L89"/>
    <mergeCell ref="M89:N89"/>
    <mergeCell ref="O89:P89"/>
    <mergeCell ref="Q89:R89"/>
    <mergeCell ref="S89:T89"/>
    <mergeCell ref="U89:V89"/>
    <mergeCell ref="AO89:AP89"/>
    <mergeCell ref="AQ89:AR89"/>
    <mergeCell ref="AA89:AB89"/>
    <mergeCell ref="AC89:AD89"/>
    <mergeCell ref="AE89:AF89"/>
    <mergeCell ref="AG89:AH89"/>
    <mergeCell ref="AI89:AJ89"/>
    <mergeCell ref="AK89:AL89"/>
    <mergeCell ref="AM89:AN89"/>
    <mergeCell ref="BG89:BH89"/>
    <mergeCell ref="BI89:BJ89"/>
    <mergeCell ref="AS89:AT89"/>
    <mergeCell ref="AU89:AV89"/>
    <mergeCell ref="AW89:AX89"/>
    <mergeCell ref="AY89:AZ89"/>
    <mergeCell ref="BA89:BB89"/>
    <mergeCell ref="BC89:BD89"/>
    <mergeCell ref="BE89:BF89"/>
    <mergeCell ref="CW95:CX95"/>
    <mergeCell ref="CY95:CZ95"/>
    <mergeCell ref="CW96:CX96"/>
    <mergeCell ref="CY96:CZ96"/>
    <mergeCell ref="CW97:CX97"/>
    <mergeCell ref="CY97:CZ97"/>
    <mergeCell ref="CW94:CX94"/>
    <mergeCell ref="CY94:CZ94"/>
    <mergeCell ref="AA96:AB96"/>
    <mergeCell ref="AC96:AD96"/>
    <mergeCell ref="AE96:AF96"/>
    <mergeCell ref="AG96:AH96"/>
    <mergeCell ref="AI96:AJ96"/>
    <mergeCell ref="AK96:AL96"/>
    <mergeCell ref="AM96:AN96"/>
    <mergeCell ref="M96:N96"/>
    <mergeCell ref="O96:P96"/>
    <mergeCell ref="Q96:R96"/>
    <mergeCell ref="S96:T96"/>
    <mergeCell ref="U96:V96"/>
    <mergeCell ref="W96:X96"/>
    <mergeCell ref="Y96:Z96"/>
    <mergeCell ref="AO94:AP94"/>
    <mergeCell ref="AQ94:AR94"/>
    <mergeCell ref="AA94:AB94"/>
    <mergeCell ref="AC94:AD94"/>
    <mergeCell ref="AE94:AF94"/>
    <mergeCell ref="AG94:AH94"/>
    <mergeCell ref="AI94:AJ94"/>
    <mergeCell ref="EC94:EC97"/>
    <mergeCell ref="ED94:ED97"/>
    <mergeCell ref="EE94:EE97"/>
    <mergeCell ref="AS94:AT94"/>
    <mergeCell ref="AU94:AV94"/>
    <mergeCell ref="AW94:AX94"/>
    <mergeCell ref="AY94:AZ94"/>
    <mergeCell ref="BA94:BB94"/>
    <mergeCell ref="BC94:BD94"/>
    <mergeCell ref="BE94:BF94"/>
    <mergeCell ref="CQ95:CR95"/>
    <mergeCell ref="CS95:CT95"/>
    <mergeCell ref="CU95:CV95"/>
    <mergeCell ref="CU96:CV96"/>
    <mergeCell ref="CQ97:CR97"/>
    <mergeCell ref="CS97:CT97"/>
    <mergeCell ref="CU97:CV97"/>
    <mergeCell ref="CI94:CJ94"/>
    <mergeCell ref="CK94:CL94"/>
    <mergeCell ref="CM94:CN94"/>
    <mergeCell ref="CO94:CP94"/>
    <mergeCell ref="CQ94:CR94"/>
    <mergeCell ref="CS94:CT94"/>
    <mergeCell ref="CU94:CV94"/>
    <mergeCell ref="AS95:AT95"/>
    <mergeCell ref="AU95:AV95"/>
    <mergeCell ref="AW95:AX95"/>
    <mergeCell ref="AY95:AZ95"/>
    <mergeCell ref="BA95:BB95"/>
    <mergeCell ref="BC95:BD95"/>
    <mergeCell ref="BE95:BF95"/>
    <mergeCell ref="BU94:BV94"/>
    <mergeCell ref="BW94:BX94"/>
    <mergeCell ref="BY94:BZ94"/>
    <mergeCell ref="CA94:CB94"/>
    <mergeCell ref="CC94:CD94"/>
    <mergeCell ref="CE94:CF94"/>
    <mergeCell ref="CG94:CH94"/>
    <mergeCell ref="CE97:CF97"/>
    <mergeCell ref="CG97:CH97"/>
    <mergeCell ref="CI97:CJ97"/>
    <mergeCell ref="CK97:CL97"/>
    <mergeCell ref="CM97:CN97"/>
    <mergeCell ref="CO97:CP97"/>
    <mergeCell ref="BY97:BZ97"/>
    <mergeCell ref="CA97:CB97"/>
    <mergeCell ref="CC97:CD97"/>
    <mergeCell ref="DU94:DU97"/>
    <mergeCell ref="DV94:DV97"/>
    <mergeCell ref="DW94:DW97"/>
    <mergeCell ref="DX94:DX97"/>
    <mergeCell ref="DY94:DY97"/>
    <mergeCell ref="BY96:BZ96"/>
    <mergeCell ref="CA96:CB96"/>
    <mergeCell ref="BK96:BL96"/>
    <mergeCell ref="BM96:BN96"/>
    <mergeCell ref="BO96:BP96"/>
    <mergeCell ref="BQ96:BR96"/>
    <mergeCell ref="BS96:BT96"/>
    <mergeCell ref="BU96:BV96"/>
    <mergeCell ref="BW96:BX96"/>
    <mergeCell ref="CQ96:CR96"/>
    <mergeCell ref="CS96:CT96"/>
    <mergeCell ref="CC96:CD96"/>
    <mergeCell ref="AW82:AX82"/>
    <mergeCell ref="AY82:AZ82"/>
    <mergeCell ref="BA82:BB82"/>
    <mergeCell ref="BC82:BD82"/>
    <mergeCell ref="BE82:BF82"/>
    <mergeCell ref="BG82:BH82"/>
    <mergeCell ref="BI82:BJ82"/>
    <mergeCell ref="AI82:AJ82"/>
    <mergeCell ref="AK82:AL82"/>
    <mergeCell ref="AM82:AN82"/>
    <mergeCell ref="AO82:AP82"/>
    <mergeCell ref="AQ82:AR82"/>
    <mergeCell ref="AS82:AT82"/>
    <mergeCell ref="AU82:AV82"/>
    <mergeCell ref="BC83:BD83"/>
    <mergeCell ref="BE83:BF83"/>
    <mergeCell ref="BG83:BH83"/>
    <mergeCell ref="BI83:BJ83"/>
    <mergeCell ref="AO83:AP83"/>
    <mergeCell ref="AQ83:AR83"/>
    <mergeCell ref="AS83:AT83"/>
    <mergeCell ref="AU83:AV83"/>
    <mergeCell ref="AW83:AX83"/>
    <mergeCell ref="AY83:AZ83"/>
    <mergeCell ref="BA83:BB83"/>
    <mergeCell ref="AW78:AX78"/>
    <mergeCell ref="AY78:AZ78"/>
    <mergeCell ref="AI78:AJ78"/>
    <mergeCell ref="AK78:AL78"/>
    <mergeCell ref="AM78:AN78"/>
    <mergeCell ref="AO78:AP78"/>
    <mergeCell ref="AQ78:AR78"/>
    <mergeCell ref="AS78:AT78"/>
    <mergeCell ref="AU78:AV78"/>
    <mergeCell ref="AY80:AZ80"/>
    <mergeCell ref="BA80:BB80"/>
    <mergeCell ref="BC81:BD81"/>
    <mergeCell ref="BE81:BF81"/>
    <mergeCell ref="BG81:BH81"/>
    <mergeCell ref="BI81:BJ81"/>
    <mergeCell ref="AI81:AJ81"/>
    <mergeCell ref="AK81:AL81"/>
    <mergeCell ref="AM81:AN81"/>
    <mergeCell ref="AO81:AP81"/>
    <mergeCell ref="AQ81:AR81"/>
    <mergeCell ref="AS81:AT81"/>
    <mergeCell ref="AU81:AV81"/>
    <mergeCell ref="BA78:BB78"/>
    <mergeCell ref="BC78:BD78"/>
    <mergeCell ref="BE78:BF78"/>
    <mergeCell ref="BG78:BH78"/>
    <mergeCell ref="BI78:BJ78"/>
    <mergeCell ref="BE86:BF86"/>
    <mergeCell ref="AO86:AP86"/>
    <mergeCell ref="AQ86:AR86"/>
    <mergeCell ref="AS86:AT86"/>
    <mergeCell ref="AU86:AV86"/>
    <mergeCell ref="AW86:AX86"/>
    <mergeCell ref="AY86:AZ86"/>
    <mergeCell ref="BA86:BB86"/>
    <mergeCell ref="AQ96:AR96"/>
    <mergeCell ref="M97:N97"/>
    <mergeCell ref="O97:P97"/>
    <mergeCell ref="Q97:R97"/>
    <mergeCell ref="S97:T97"/>
    <mergeCell ref="U97:V97"/>
    <mergeCell ref="W97:X97"/>
    <mergeCell ref="Y97:Z97"/>
    <mergeCell ref="BG94:BH94"/>
    <mergeCell ref="BI94:BJ94"/>
    <mergeCell ref="AK94:AL94"/>
    <mergeCell ref="AM94:AN94"/>
    <mergeCell ref="AO95:AP95"/>
    <mergeCell ref="AQ95:AR95"/>
    <mergeCell ref="AA95:AB95"/>
    <mergeCell ref="AC95:AD95"/>
    <mergeCell ref="AE95:AF95"/>
    <mergeCell ref="AG95:AH95"/>
    <mergeCell ref="BG87:BH87"/>
    <mergeCell ref="BI87:BJ87"/>
    <mergeCell ref="AS87:AT87"/>
    <mergeCell ref="AU87:AV87"/>
    <mergeCell ref="AW87:AX87"/>
    <mergeCell ref="AY87:AZ87"/>
    <mergeCell ref="BA87:BB87"/>
    <mergeCell ref="BC87:BD87"/>
    <mergeCell ref="BE87:BF87"/>
    <mergeCell ref="W88:X88"/>
    <mergeCell ref="Y88:Z88"/>
    <mergeCell ref="AA80:AB80"/>
    <mergeCell ref="BU102:BV102"/>
    <mergeCell ref="BW102:BX102"/>
    <mergeCell ref="BG102:BH102"/>
    <mergeCell ref="BI102:BJ102"/>
    <mergeCell ref="BK102:BL102"/>
    <mergeCell ref="BM102:BN102"/>
    <mergeCell ref="BO102:BP102"/>
    <mergeCell ref="BQ102:BR102"/>
    <mergeCell ref="BS102:BT102"/>
    <mergeCell ref="S100:T100"/>
    <mergeCell ref="U100:V100"/>
    <mergeCell ref="W100:X100"/>
    <mergeCell ref="Y100:Z100"/>
    <mergeCell ref="AA100:AB100"/>
    <mergeCell ref="AC100:AD100"/>
    <mergeCell ref="AE100:AF100"/>
    <mergeCell ref="BO100:BP100"/>
    <mergeCell ref="BQ100:BR100"/>
    <mergeCell ref="BS100:BT100"/>
    <mergeCell ref="BU100:BV100"/>
    <mergeCell ref="BW100:BX100"/>
    <mergeCell ref="BA100:BB100"/>
    <mergeCell ref="BC100:BD100"/>
    <mergeCell ref="BE100:BF100"/>
    <mergeCell ref="BG100:BH100"/>
    <mergeCell ref="BI100:BJ100"/>
    <mergeCell ref="BK100:BL100"/>
    <mergeCell ref="BM100:BN100"/>
    <mergeCell ref="AG100:AH100"/>
    <mergeCell ref="AI100:AJ100"/>
    <mergeCell ref="AQ100:AR100"/>
    <mergeCell ref="AS100:AT100"/>
    <mergeCell ref="AU100:AV100"/>
    <mergeCell ref="AW100:AX100"/>
    <mergeCell ref="AY100:AZ100"/>
    <mergeCell ref="AQ101:AR101"/>
    <mergeCell ref="AS101:AT101"/>
    <mergeCell ref="AU101:AV101"/>
    <mergeCell ref="AW101:AX101"/>
    <mergeCell ref="AY101:AZ101"/>
    <mergeCell ref="BA101:BB101"/>
    <mergeCell ref="BC101:BD101"/>
    <mergeCell ref="BS101:BT101"/>
    <mergeCell ref="BU101:BV101"/>
    <mergeCell ref="BW101:BX101"/>
    <mergeCell ref="BE101:BF101"/>
    <mergeCell ref="BG101:BH101"/>
    <mergeCell ref="BI101:BJ101"/>
    <mergeCell ref="BK101:BL101"/>
    <mergeCell ref="BM101:BN101"/>
    <mergeCell ref="BO101:BP101"/>
    <mergeCell ref="BQ101:BR101"/>
    <mergeCell ref="Y101:Z101"/>
    <mergeCell ref="AK86:AL86"/>
    <mergeCell ref="AM86:AN86"/>
    <mergeCell ref="W86:X86"/>
    <mergeCell ref="Y86:Z86"/>
    <mergeCell ref="AA86:AB86"/>
    <mergeCell ref="AC86:AD86"/>
    <mergeCell ref="AE86:AF86"/>
    <mergeCell ref="AG86:AH86"/>
    <mergeCell ref="AI86:AJ86"/>
    <mergeCell ref="BC86:BD86"/>
    <mergeCell ref="K99:L99"/>
    <mergeCell ref="BK97:BL97"/>
    <mergeCell ref="BM97:BN97"/>
    <mergeCell ref="BO97:BP97"/>
    <mergeCell ref="BQ97:BR97"/>
    <mergeCell ref="BS97:BT97"/>
    <mergeCell ref="BU97:BV97"/>
    <mergeCell ref="BW97:BX97"/>
    <mergeCell ref="I80:J80"/>
    <mergeCell ref="K80:L80"/>
    <mergeCell ref="M80:N80"/>
    <mergeCell ref="O80:P80"/>
    <mergeCell ref="Q80:R80"/>
    <mergeCell ref="S80:T80"/>
    <mergeCell ref="U80:V80"/>
    <mergeCell ref="I85:J85"/>
    <mergeCell ref="K85:L85"/>
    <mergeCell ref="M85:N85"/>
    <mergeCell ref="O85:P85"/>
    <mergeCell ref="Q85:R85"/>
    <mergeCell ref="S85:T85"/>
    <mergeCell ref="U85:V85"/>
    <mergeCell ref="AY85:AZ85"/>
    <mergeCell ref="BA85:BB85"/>
    <mergeCell ref="BC85:BD85"/>
    <mergeCell ref="BE85:BF85"/>
    <mergeCell ref="BG85:BH85"/>
    <mergeCell ref="BI85:BJ85"/>
    <mergeCell ref="BG86:BH86"/>
    <mergeCell ref="BI86:BJ86"/>
    <mergeCell ref="I86:J86"/>
    <mergeCell ref="K86:L86"/>
    <mergeCell ref="M86:N86"/>
    <mergeCell ref="O86:P86"/>
    <mergeCell ref="Q86:R86"/>
    <mergeCell ref="S86:T86"/>
    <mergeCell ref="U86:V86"/>
    <mergeCell ref="W85:X85"/>
    <mergeCell ref="Y85:Z85"/>
    <mergeCell ref="AA85:AB85"/>
    <mergeCell ref="AC85:AD85"/>
    <mergeCell ref="AE85:AF85"/>
    <mergeCell ref="AG85:AH85"/>
    <mergeCell ref="AI85:AJ85"/>
    <mergeCell ref="AK85:AL85"/>
    <mergeCell ref="AM85:AN85"/>
    <mergeCell ref="AO85:AP85"/>
    <mergeCell ref="AQ85:AR85"/>
    <mergeCell ref="AS85:AT85"/>
    <mergeCell ref="AU85:AV85"/>
    <mergeCell ref="AW85:AX85"/>
    <mergeCell ref="BC80:BD80"/>
    <mergeCell ref="BE80:BF80"/>
    <mergeCell ref="BG80:BH80"/>
    <mergeCell ref="BI80:BJ80"/>
    <mergeCell ref="AK80:AL80"/>
    <mergeCell ref="AM80:AN80"/>
    <mergeCell ref="AO80:AP80"/>
    <mergeCell ref="AQ80:AR80"/>
    <mergeCell ref="AS80:AT80"/>
    <mergeCell ref="AU80:AV80"/>
    <mergeCell ref="AW80:AX80"/>
    <mergeCell ref="W80:X80"/>
    <mergeCell ref="Y80:Z80"/>
    <mergeCell ref="BS99:BT99"/>
    <mergeCell ref="BU99:BV99"/>
    <mergeCell ref="BW99:BX99"/>
    <mergeCell ref="M94:N94"/>
    <mergeCell ref="O94:P94"/>
    <mergeCell ref="Q94:R94"/>
    <mergeCell ref="S94:T94"/>
    <mergeCell ref="U94:V94"/>
    <mergeCell ref="W94:X94"/>
    <mergeCell ref="Y94:Z94"/>
    <mergeCell ref="BU95:BV95"/>
    <mergeCell ref="BW95:BX95"/>
    <mergeCell ref="BG95:BH95"/>
    <mergeCell ref="BI95:BJ95"/>
    <mergeCell ref="BK95:BL95"/>
    <mergeCell ref="BM95:BN95"/>
    <mergeCell ref="BO95:BP95"/>
    <mergeCell ref="BQ95:BR95"/>
    <mergeCell ref="BS95:BT95"/>
    <mergeCell ref="AA97:AB97"/>
    <mergeCell ref="AC97:AD97"/>
    <mergeCell ref="AE97:AF97"/>
    <mergeCell ref="AG97:AH97"/>
    <mergeCell ref="AI97:AJ97"/>
    <mergeCell ref="AK97:AL97"/>
    <mergeCell ref="AM97:AN97"/>
    <mergeCell ref="AO97:AP97"/>
    <mergeCell ref="AQ97:AR97"/>
    <mergeCell ref="AS97:AT97"/>
    <mergeCell ref="AU97:AV97"/>
    <mergeCell ref="AW97:AX97"/>
    <mergeCell ref="AY97:AZ97"/>
    <mergeCell ref="BA97:BB97"/>
    <mergeCell ref="BC97:BD97"/>
    <mergeCell ref="BE97:BF97"/>
    <mergeCell ref="BG97:BH97"/>
    <mergeCell ref="BI97:BJ97"/>
    <mergeCell ref="AI95:AJ95"/>
    <mergeCell ref="AK95:AL95"/>
    <mergeCell ref="AM95:AN95"/>
    <mergeCell ref="M95:N95"/>
    <mergeCell ref="AQ99:AR99"/>
    <mergeCell ref="AS99:AT99"/>
    <mergeCell ref="AU99:AV99"/>
    <mergeCell ref="AW99:AX99"/>
    <mergeCell ref="AY99:AZ99"/>
    <mergeCell ref="BA99:BB99"/>
    <mergeCell ref="BC99:BD99"/>
    <mergeCell ref="M99:N99"/>
    <mergeCell ref="O99:P99"/>
    <mergeCell ref="Q99:R99"/>
    <mergeCell ref="BG96:BH96"/>
    <mergeCell ref="BI96:BJ96"/>
    <mergeCell ref="AS96:AT96"/>
    <mergeCell ref="AU96:AV96"/>
    <mergeCell ref="AW96:AX96"/>
    <mergeCell ref="AY96:AZ96"/>
    <mergeCell ref="BA96:BB96"/>
    <mergeCell ref="BC96:BD96"/>
    <mergeCell ref="BE96:BF96"/>
    <mergeCell ref="BE99:BF99"/>
    <mergeCell ref="BG99:BH99"/>
    <mergeCell ref="BI99:BJ99"/>
    <mergeCell ref="BK99:BL99"/>
    <mergeCell ref="BS103:BT103"/>
    <mergeCell ref="BU103:BV103"/>
    <mergeCell ref="BW103:BX103"/>
    <mergeCell ref="BE103:BF103"/>
    <mergeCell ref="BG103:BH103"/>
    <mergeCell ref="BI103:BJ103"/>
    <mergeCell ref="BK103:BL103"/>
    <mergeCell ref="BM103:BN103"/>
    <mergeCell ref="BO103:BP103"/>
    <mergeCell ref="BQ103:BR103"/>
    <mergeCell ref="Q106:R106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W107:AX107"/>
    <mergeCell ref="AY107:AZ107"/>
    <mergeCell ref="BA107:BB107"/>
    <mergeCell ref="BC107:BD107"/>
    <mergeCell ref="BE107:BF107"/>
    <mergeCell ref="BG107:BH107"/>
    <mergeCell ref="BI107:BJ107"/>
    <mergeCell ref="BC106:BD106"/>
    <mergeCell ref="BE106:BF106"/>
    <mergeCell ref="BG106:BH106"/>
    <mergeCell ref="BI106:BJ106"/>
    <mergeCell ref="ED105:ED109"/>
    <mergeCell ref="EE105:EE109"/>
    <mergeCell ref="BY99:BZ99"/>
    <mergeCell ref="CA99:CB99"/>
    <mergeCell ref="CC99:CD99"/>
    <mergeCell ref="CE99:CF99"/>
    <mergeCell ref="CU99:CV99"/>
    <mergeCell ref="CW99:CX99"/>
    <mergeCell ref="CY99:CZ99"/>
    <mergeCell ref="CG99:CH99"/>
    <mergeCell ref="I108:J108"/>
    <mergeCell ref="K108:L108"/>
    <mergeCell ref="M108:N108"/>
    <mergeCell ref="O108:P108"/>
    <mergeCell ref="S108:T108"/>
    <mergeCell ref="U108:V108"/>
    <mergeCell ref="W108:X108"/>
    <mergeCell ref="Y108:Z108"/>
    <mergeCell ref="AA108:AB108"/>
    <mergeCell ref="AI107:AJ107"/>
    <mergeCell ref="AK107:AL107"/>
    <mergeCell ref="AM107:AN107"/>
    <mergeCell ref="AO107:AP107"/>
    <mergeCell ref="AQ107:AR107"/>
    <mergeCell ref="AS107:AT107"/>
    <mergeCell ref="AU107:AV107"/>
    <mergeCell ref="U106:V106"/>
    <mergeCell ref="W106:X106"/>
    <mergeCell ref="Y106:Z106"/>
    <mergeCell ref="Q108:R108"/>
    <mergeCell ref="AC106:AD106"/>
    <mergeCell ref="AE106:AF106"/>
    <mergeCell ref="AG106:AH106"/>
    <mergeCell ref="AI106:AJ106"/>
    <mergeCell ref="AK106:AL106"/>
    <mergeCell ref="AM106:AN106"/>
    <mergeCell ref="AO106:AP106"/>
    <mergeCell ref="AQ106:AR106"/>
    <mergeCell ref="AS106:AT106"/>
    <mergeCell ref="AU106:AV106"/>
    <mergeCell ref="AW106:AX106"/>
    <mergeCell ref="AY106:AZ106"/>
    <mergeCell ref="BA106:BB106"/>
    <mergeCell ref="BY101:BZ101"/>
    <mergeCell ref="CA101:CB101"/>
    <mergeCell ref="CC101:CD101"/>
    <mergeCell ref="CE101:CF101"/>
    <mergeCell ref="CG101:CH101"/>
    <mergeCell ref="CI101:CJ101"/>
    <mergeCell ref="CK101:CL101"/>
    <mergeCell ref="CA102:CB102"/>
    <mergeCell ref="CC102:CD102"/>
    <mergeCell ref="CE102:CF102"/>
    <mergeCell ref="CG102:CH102"/>
    <mergeCell ref="CI102:CJ102"/>
    <mergeCell ref="CK102:CL102"/>
    <mergeCell ref="CM102:CN102"/>
    <mergeCell ref="AQ103:AR103"/>
    <mergeCell ref="AS103:AT103"/>
    <mergeCell ref="AU103:AV103"/>
    <mergeCell ref="AW103:AX103"/>
    <mergeCell ref="AY103:AZ103"/>
    <mergeCell ref="BA103:BB103"/>
    <mergeCell ref="BC103:BD103"/>
    <mergeCell ref="CG96:CH96"/>
    <mergeCell ref="CI96:CJ96"/>
    <mergeCell ref="CK96:CL96"/>
    <mergeCell ref="CM96:CN96"/>
    <mergeCell ref="CO96:CP96"/>
    <mergeCell ref="CU100:CV100"/>
    <mergeCell ref="CW100:CX100"/>
    <mergeCell ref="CO101:CP101"/>
    <mergeCell ref="CQ101:CR101"/>
    <mergeCell ref="CS101:CT101"/>
    <mergeCell ref="BI108:BJ108"/>
    <mergeCell ref="AU108:AV108"/>
    <mergeCell ref="AW108:AX108"/>
    <mergeCell ref="AY108:AZ108"/>
    <mergeCell ref="BA108:BB108"/>
    <mergeCell ref="BC108:BD108"/>
    <mergeCell ref="EA99:EA103"/>
    <mergeCell ref="EB99:EB103"/>
    <mergeCell ref="EC99:EC103"/>
    <mergeCell ref="ED99:ED103"/>
    <mergeCell ref="EE99:EE103"/>
    <mergeCell ref="BY95:BZ95"/>
    <mergeCell ref="CA95:CB95"/>
    <mergeCell ref="CC95:CD95"/>
    <mergeCell ref="CE95:CF95"/>
    <mergeCell ref="CG95:CH95"/>
    <mergeCell ref="CI95:CJ95"/>
    <mergeCell ref="CK95:CL95"/>
    <mergeCell ref="CM100:CN100"/>
    <mergeCell ref="CO100:CP100"/>
    <mergeCell ref="CQ100:CR100"/>
    <mergeCell ref="CS100:CT100"/>
    <mergeCell ref="BY100:BZ100"/>
    <mergeCell ref="CA100:CB100"/>
    <mergeCell ref="CC100:CD100"/>
    <mergeCell ref="CE100:CF100"/>
    <mergeCell ref="CG100:CH100"/>
    <mergeCell ref="CI100:CJ100"/>
    <mergeCell ref="CK100:CL100"/>
    <mergeCell ref="CM95:CN95"/>
    <mergeCell ref="CM101:CN101"/>
    <mergeCell ref="CK107:CL107"/>
    <mergeCell ref="CM107:CN107"/>
    <mergeCell ref="CA106:CB106"/>
    <mergeCell ref="CC106:CD106"/>
    <mergeCell ref="CE106:CF106"/>
    <mergeCell ref="CG106:CH106"/>
    <mergeCell ref="CI106:CJ106"/>
    <mergeCell ref="CK106:CL106"/>
    <mergeCell ref="CM106:CN106"/>
    <mergeCell ref="BY106:BZ106"/>
    <mergeCell ref="BY107:BZ107"/>
    <mergeCell ref="CA107:CB107"/>
    <mergeCell ref="CC107:CD107"/>
    <mergeCell ref="CE107:CF107"/>
    <mergeCell ref="CG107:CH107"/>
    <mergeCell ref="CI107:CJ107"/>
    <mergeCell ref="DW99:DW103"/>
    <mergeCell ref="DX99:DX103"/>
    <mergeCell ref="DY99:DY103"/>
    <mergeCell ref="CY107:CZ107"/>
    <mergeCell ref="EA105:EA109"/>
    <mergeCell ref="EB105:EB109"/>
    <mergeCell ref="EC105:EC109"/>
    <mergeCell ref="DZ105:DZ109"/>
    <mergeCell ref="CS109:CT109"/>
    <mergeCell ref="CU109:CV109"/>
    <mergeCell ref="CO107:CP107"/>
    <mergeCell ref="CO108:CP108"/>
    <mergeCell ref="CQ108:CR108"/>
    <mergeCell ref="CS108:CT108"/>
    <mergeCell ref="CU108:CV108"/>
    <mergeCell ref="CO109:CP109"/>
    <mergeCell ref="CQ109:CR109"/>
    <mergeCell ref="CI99:CJ99"/>
    <mergeCell ref="CK99:CL99"/>
    <mergeCell ref="CM99:CN99"/>
    <mergeCell ref="CO99:CP99"/>
    <mergeCell ref="CQ99:CR99"/>
    <mergeCell ref="CS99:CT99"/>
    <mergeCell ref="BQ106:BR106"/>
    <mergeCell ref="BK108:BL108"/>
    <mergeCell ref="BE108:BF108"/>
    <mergeCell ref="BG108:BH108"/>
    <mergeCell ref="BM108:BN108"/>
    <mergeCell ref="BO108:BP108"/>
    <mergeCell ref="BQ108:BR108"/>
    <mergeCell ref="BS108:BT108"/>
    <mergeCell ref="BU108:BV108"/>
    <mergeCell ref="BW108:BX108"/>
    <mergeCell ref="BS105:BT105"/>
    <mergeCell ref="BU105:BV105"/>
    <mergeCell ref="BW105:BX105"/>
    <mergeCell ref="BE105:BF105"/>
    <mergeCell ref="CO95:CP95"/>
    <mergeCell ref="DU99:DU103"/>
    <mergeCell ref="DV99:DV103"/>
    <mergeCell ref="CY100:CZ100"/>
    <mergeCell ref="CK103:CL103"/>
    <mergeCell ref="CM103:CN103"/>
    <mergeCell ref="CS103:CT103"/>
    <mergeCell ref="CU103:CV103"/>
    <mergeCell ref="CW103:CX103"/>
    <mergeCell ref="CY103:CZ103"/>
    <mergeCell ref="BY102:BZ102"/>
    <mergeCell ref="BY103:BZ103"/>
    <mergeCell ref="CA103:CB103"/>
    <mergeCell ref="CC103:CD103"/>
    <mergeCell ref="CE103:CF103"/>
    <mergeCell ref="CG103:CH103"/>
    <mergeCell ref="CI103:CJ103"/>
    <mergeCell ref="CM105:CN105"/>
    <mergeCell ref="CO105:CP105"/>
    <mergeCell ref="CQ105:CR105"/>
    <mergeCell ref="CS105:CT105"/>
    <mergeCell ref="CU105:CV105"/>
    <mergeCell ref="CW105:CX105"/>
    <mergeCell ref="CY105:CZ105"/>
    <mergeCell ref="BY105:BZ105"/>
    <mergeCell ref="CA105:CB105"/>
    <mergeCell ref="CC105:CD105"/>
    <mergeCell ref="CE105:CF105"/>
    <mergeCell ref="CG105:CH105"/>
    <mergeCell ref="CI105:CJ105"/>
    <mergeCell ref="CK105:CL105"/>
    <mergeCell ref="CW106:CX106"/>
    <mergeCell ref="CY106:CZ106"/>
    <mergeCell ref="CE96:CF96"/>
    <mergeCell ref="CA108:CB108"/>
    <mergeCell ref="CC108:CD108"/>
    <mergeCell ref="CE108:CF108"/>
    <mergeCell ref="CG108:CH108"/>
    <mergeCell ref="CI108:CJ108"/>
    <mergeCell ref="CK108:CL108"/>
    <mergeCell ref="CM108:CN108"/>
    <mergeCell ref="CK109:CL109"/>
    <mergeCell ref="CM109:CN109"/>
    <mergeCell ref="CA109:CB109"/>
    <mergeCell ref="CC109:CD109"/>
    <mergeCell ref="CE109:CF109"/>
    <mergeCell ref="CG109:CH109"/>
    <mergeCell ref="CI109:CJ109"/>
    <mergeCell ref="CO103:CP103"/>
    <mergeCell ref="CQ103:CR103"/>
    <mergeCell ref="CW107:CX107"/>
    <mergeCell ref="DZ99:DZ103"/>
    <mergeCell ref="CA110:CB110"/>
    <mergeCell ref="CC110:CD110"/>
    <mergeCell ref="CE110:CF110"/>
    <mergeCell ref="CG110:CH110"/>
    <mergeCell ref="CI110:CJ110"/>
    <mergeCell ref="CK110:CL110"/>
    <mergeCell ref="CM111:CN111"/>
    <mergeCell ref="CO111:CP111"/>
    <mergeCell ref="CQ111:CR111"/>
    <mergeCell ref="CS111:CT111"/>
    <mergeCell ref="CU111:CV111"/>
    <mergeCell ref="CW111:CX111"/>
    <mergeCell ref="CY111:CZ111"/>
    <mergeCell ref="BY111:BZ111"/>
    <mergeCell ref="CA111:CB111"/>
    <mergeCell ref="CC111:CD111"/>
    <mergeCell ref="CE111:CF111"/>
    <mergeCell ref="CG111:CH111"/>
    <mergeCell ref="CI111:CJ111"/>
    <mergeCell ref="CK111:CL111"/>
    <mergeCell ref="CU101:CV101"/>
    <mergeCell ref="CW101:CX101"/>
    <mergeCell ref="CY101:CZ101"/>
    <mergeCell ref="CS102:CT102"/>
    <mergeCell ref="CU102:CV102"/>
    <mergeCell ref="CW102:CX102"/>
    <mergeCell ref="CY102:CZ102"/>
    <mergeCell ref="DU105:DU109"/>
    <mergeCell ref="DV105:DV109"/>
    <mergeCell ref="DW105:DW109"/>
    <mergeCell ref="DX105:DX109"/>
    <mergeCell ref="DY105:DY109"/>
    <mergeCell ref="CQ107:CR107"/>
    <mergeCell ref="CS107:CT107"/>
    <mergeCell ref="CO102:CP102"/>
    <mergeCell ref="CQ102:CR102"/>
    <mergeCell ref="CO106:CP106"/>
    <mergeCell ref="CQ106:CR106"/>
    <mergeCell ref="CS106:CT106"/>
    <mergeCell ref="CU106:CV106"/>
    <mergeCell ref="CU107:CV107"/>
    <mergeCell ref="CM110:CN110"/>
    <mergeCell ref="CO110:CP110"/>
    <mergeCell ref="CQ110:CR110"/>
    <mergeCell ref="CS110:CT110"/>
    <mergeCell ref="CU110:CV110"/>
    <mergeCell ref="AK113:AL113"/>
    <mergeCell ref="AM113:AN113"/>
    <mergeCell ref="AQ113:AR113"/>
    <mergeCell ref="AS113:AT113"/>
    <mergeCell ref="AU113:AV113"/>
    <mergeCell ref="AW113:AX113"/>
    <mergeCell ref="AY113:AZ113"/>
    <mergeCell ref="CU114:CV114"/>
    <mergeCell ref="CW114:CX114"/>
    <mergeCell ref="CQ113:CR113"/>
    <mergeCell ref="CS113:CT113"/>
    <mergeCell ref="CU113:CV113"/>
    <mergeCell ref="CW113:CX113"/>
    <mergeCell ref="CY113:CZ113"/>
    <mergeCell ref="CW108:CX108"/>
    <mergeCell ref="CY108:CZ108"/>
    <mergeCell ref="CW109:CX109"/>
    <mergeCell ref="CY109:CZ109"/>
    <mergeCell ref="CW110:CX110"/>
    <mergeCell ref="CY110:CZ110"/>
    <mergeCell ref="BY108:BZ108"/>
    <mergeCell ref="BY109:BZ109"/>
    <mergeCell ref="BY110:BZ110"/>
    <mergeCell ref="ED113:ED120"/>
    <mergeCell ref="EE113:EE120"/>
    <mergeCell ref="DW113:DW120"/>
    <mergeCell ref="DX113:DX120"/>
    <mergeCell ref="DY113:DY120"/>
    <mergeCell ref="DZ113:DZ120"/>
    <mergeCell ref="EA113:EA120"/>
    <mergeCell ref="EB113:EB120"/>
    <mergeCell ref="EC113:EC120"/>
    <mergeCell ref="W114:X114"/>
    <mergeCell ref="Y114:Z114"/>
    <mergeCell ref="AE114:AF114"/>
    <mergeCell ref="AG114:AH114"/>
    <mergeCell ref="AI114:AJ114"/>
    <mergeCell ref="AK114:AL114"/>
    <mergeCell ref="AM114:AN114"/>
    <mergeCell ref="BA113:BB113"/>
    <mergeCell ref="BC113:BD113"/>
    <mergeCell ref="BE113:BF113"/>
    <mergeCell ref="BG113:BH113"/>
    <mergeCell ref="BI113:BJ113"/>
    <mergeCell ref="BK113:BL113"/>
    <mergeCell ref="BM113:BN113"/>
    <mergeCell ref="BO113:BP113"/>
    <mergeCell ref="BQ113:BR113"/>
    <mergeCell ref="BS113:BT113"/>
    <mergeCell ref="BU113:BV113"/>
    <mergeCell ref="BW113:BX113"/>
    <mergeCell ref="BY113:BZ113"/>
    <mergeCell ref="CA113:CB113"/>
    <mergeCell ref="CQ114:CR114"/>
    <mergeCell ref="CS114:CT114"/>
    <mergeCell ref="BU114:BV114"/>
    <mergeCell ref="BW114:BX114"/>
    <mergeCell ref="BG114:BH114"/>
    <mergeCell ref="BI114:BJ114"/>
    <mergeCell ref="BK114:BL114"/>
    <mergeCell ref="BM114:BN114"/>
    <mergeCell ref="BO114:BP114"/>
    <mergeCell ref="BQ114:BR114"/>
    <mergeCell ref="BS114:BT114"/>
    <mergeCell ref="CM114:CN114"/>
    <mergeCell ref="CO114:CP114"/>
    <mergeCell ref="BY114:BZ114"/>
    <mergeCell ref="CA114:CB114"/>
    <mergeCell ref="CC114:CD114"/>
    <mergeCell ref="CE114:CF114"/>
    <mergeCell ref="CG114:CH114"/>
    <mergeCell ref="CI114:CJ114"/>
    <mergeCell ref="CK114:CL114"/>
    <mergeCell ref="W113:X113"/>
    <mergeCell ref="Y113:Z113"/>
    <mergeCell ref="AA113:AB113"/>
    <mergeCell ref="AC113:AD113"/>
    <mergeCell ref="AE113:AF113"/>
    <mergeCell ref="AG113:AH113"/>
    <mergeCell ref="AI113:AJ113"/>
    <mergeCell ref="AI124:AJ124"/>
    <mergeCell ref="AK124:AL124"/>
    <mergeCell ref="AM124:AN124"/>
    <mergeCell ref="AO124:AP124"/>
    <mergeCell ref="AQ124:AR124"/>
    <mergeCell ref="AS124:AT124"/>
    <mergeCell ref="AU124:AV124"/>
    <mergeCell ref="AW124:AX124"/>
    <mergeCell ref="AC133:AD133"/>
    <mergeCell ref="AE133:AF133"/>
    <mergeCell ref="AG133:AH133"/>
    <mergeCell ref="AI133:AJ133"/>
    <mergeCell ref="AK133:AL133"/>
    <mergeCell ref="AW122:AX122"/>
    <mergeCell ref="Y133:Z133"/>
    <mergeCell ref="AA133:AB133"/>
    <mergeCell ref="K133:L133"/>
    <mergeCell ref="M133:N133"/>
    <mergeCell ref="O133:P133"/>
    <mergeCell ref="Q133:R133"/>
    <mergeCell ref="S133:T133"/>
    <mergeCell ref="U133:V133"/>
    <mergeCell ref="W133:X133"/>
    <mergeCell ref="AM133:AN133"/>
    <mergeCell ref="AO133:AP133"/>
    <mergeCell ref="AQ133:AR133"/>
    <mergeCell ref="AS133:AT133"/>
    <mergeCell ref="AU133:AV133"/>
    <mergeCell ref="AW133:AX133"/>
    <mergeCell ref="K124:L124"/>
    <mergeCell ref="M124:N124"/>
    <mergeCell ref="O124:P124"/>
    <mergeCell ref="Q124:R124"/>
    <mergeCell ref="S124:T124"/>
    <mergeCell ref="U124:V124"/>
    <mergeCell ref="W124:X124"/>
    <mergeCell ref="Y124:Z124"/>
    <mergeCell ref="AA124:AB124"/>
    <mergeCell ref="AC124:AD124"/>
    <mergeCell ref="BC122:BD122"/>
    <mergeCell ref="BE122:BF122"/>
    <mergeCell ref="BG122:BH122"/>
    <mergeCell ref="BI122:BJ122"/>
    <mergeCell ref="BK122:BL122"/>
    <mergeCell ref="BM122:BN122"/>
    <mergeCell ref="BO122:BP122"/>
    <mergeCell ref="BQ122:BR122"/>
    <mergeCell ref="BS122:BT122"/>
    <mergeCell ref="DU113:DU120"/>
    <mergeCell ref="DV113:DV120"/>
    <mergeCell ref="CY114:CZ114"/>
    <mergeCell ref="CC113:CD113"/>
    <mergeCell ref="CE113:CF113"/>
    <mergeCell ref="CG113:CH113"/>
    <mergeCell ref="CI113:CJ113"/>
    <mergeCell ref="CK113:CL113"/>
    <mergeCell ref="CM113:CN113"/>
    <mergeCell ref="CO113:CP113"/>
    <mergeCell ref="BG144:BH144"/>
    <mergeCell ref="BI144:BJ144"/>
    <mergeCell ref="AS144:AT144"/>
    <mergeCell ref="AU144:AV144"/>
    <mergeCell ref="AW144:AX144"/>
    <mergeCell ref="AY144:AZ144"/>
    <mergeCell ref="BA144:BB144"/>
    <mergeCell ref="BC144:BD144"/>
    <mergeCell ref="BE144:BF144"/>
    <mergeCell ref="BY144:BZ144"/>
    <mergeCell ref="CA144:CB144"/>
    <mergeCell ref="BK144:BL144"/>
    <mergeCell ref="BM144:BN144"/>
    <mergeCell ref="BO144:BP144"/>
    <mergeCell ref="BQ144:BR144"/>
    <mergeCell ref="BS144:BT144"/>
    <mergeCell ref="BU144:BV144"/>
    <mergeCell ref="BW144:BX144"/>
    <mergeCell ref="BO136:BP136"/>
    <mergeCell ref="BQ136:BR136"/>
    <mergeCell ref="B124:B133"/>
    <mergeCell ref="C124:C133"/>
    <mergeCell ref="D124:D133"/>
    <mergeCell ref="E124:E126"/>
    <mergeCell ref="F124:F133"/>
    <mergeCell ref="E127:E133"/>
    <mergeCell ref="I133:J133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I135:AJ135"/>
    <mergeCell ref="AK135:AL135"/>
    <mergeCell ref="AM135:AN135"/>
    <mergeCell ref="AO135:AP135"/>
    <mergeCell ref="AQ135:AR135"/>
    <mergeCell ref="AS135:AT135"/>
    <mergeCell ref="AU135:AV135"/>
    <mergeCell ref="AW135:AX135"/>
    <mergeCell ref="AY135:AZ135"/>
    <mergeCell ref="BA135:BB135"/>
    <mergeCell ref="BC135:BD135"/>
    <mergeCell ref="BE135:BF135"/>
    <mergeCell ref="BG135:BH135"/>
    <mergeCell ref="BI135:BJ135"/>
    <mergeCell ref="BK135:BL135"/>
    <mergeCell ref="I124:J124"/>
    <mergeCell ref="CA138:CB138"/>
    <mergeCell ref="CC138:CD138"/>
    <mergeCell ref="BM138:BN138"/>
    <mergeCell ref="BO138:BP138"/>
    <mergeCell ref="BQ138:BR138"/>
    <mergeCell ref="BS138:BT138"/>
    <mergeCell ref="BE124:BF124"/>
    <mergeCell ref="BE133:BF133"/>
    <mergeCell ref="BG133:BH133"/>
    <mergeCell ref="BI133:BJ133"/>
    <mergeCell ref="BK133:BL133"/>
    <mergeCell ref="AY124:AZ124"/>
    <mergeCell ref="BA124:BB124"/>
    <mergeCell ref="BC124:BD124"/>
    <mergeCell ref="BG124:BH124"/>
    <mergeCell ref="BI124:BJ124"/>
    <mergeCell ref="BK124:BL124"/>
    <mergeCell ref="BK125:BL125"/>
    <mergeCell ref="BG137:BH137"/>
    <mergeCell ref="BI137:BJ137"/>
    <mergeCell ref="AS137:AT137"/>
    <mergeCell ref="AU137:AV137"/>
    <mergeCell ref="AW137:AX137"/>
    <mergeCell ref="AY137:AZ137"/>
    <mergeCell ref="BA137:BB137"/>
    <mergeCell ref="BC137:BD137"/>
    <mergeCell ref="BE137:BF137"/>
    <mergeCell ref="BY137:BZ137"/>
    <mergeCell ref="CA137:CB137"/>
    <mergeCell ref="BK137:BL137"/>
    <mergeCell ref="BM137:BN137"/>
    <mergeCell ref="BO137:BP137"/>
    <mergeCell ref="BQ137:BR137"/>
    <mergeCell ref="BS137:BT137"/>
    <mergeCell ref="BU137:BV137"/>
    <mergeCell ref="BW137:BX137"/>
    <mergeCell ref="BM135:BN135"/>
    <mergeCell ref="BU138:BV138"/>
    <mergeCell ref="BW138:BX138"/>
    <mergeCell ref="BY138:BZ138"/>
    <mergeCell ref="BS136:BT136"/>
    <mergeCell ref="BU136:BV136"/>
    <mergeCell ref="BW136:BX136"/>
    <mergeCell ref="AY133:AZ133"/>
    <mergeCell ref="BA133:BB133"/>
    <mergeCell ref="BC133:BD133"/>
    <mergeCell ref="BM133:BN133"/>
    <mergeCell ref="BO133:BP133"/>
    <mergeCell ref="BQ133:BR133"/>
    <mergeCell ref="BS133:BT133"/>
    <mergeCell ref="BU133:BV133"/>
    <mergeCell ref="BS148:BT148"/>
    <mergeCell ref="BU148:BV148"/>
    <mergeCell ref="BW148:BX148"/>
    <mergeCell ref="BY148:BZ148"/>
    <mergeCell ref="CA148:CB148"/>
    <mergeCell ref="CW149:CX149"/>
    <mergeCell ref="CY149:CZ149"/>
    <mergeCell ref="CS151:CT151"/>
    <mergeCell ref="CU151:CV151"/>
    <mergeCell ref="CW151:CX151"/>
    <mergeCell ref="CY151:CZ151"/>
    <mergeCell ref="CS147:CT147"/>
    <mergeCell ref="CU147:CV147"/>
    <mergeCell ref="CW147:CX147"/>
    <mergeCell ref="CY147:CZ147"/>
    <mergeCell ref="BO135:BP135"/>
    <mergeCell ref="CC136:CD136"/>
    <mergeCell ref="CC137:CD137"/>
    <mergeCell ref="BQ135:BR135"/>
    <mergeCell ref="BS135:BT135"/>
    <mergeCell ref="BU135:BV135"/>
    <mergeCell ref="BW135:BX135"/>
    <mergeCell ref="BY135:BZ135"/>
    <mergeCell ref="CA135:CB135"/>
    <mergeCell ref="CC135:CD135"/>
    <mergeCell ref="W141:X141"/>
    <mergeCell ref="Y141:Z141"/>
    <mergeCell ref="I141:J141"/>
    <mergeCell ref="K141:L141"/>
    <mergeCell ref="M141:N141"/>
    <mergeCell ref="O141:P141"/>
    <mergeCell ref="Q141:R141"/>
    <mergeCell ref="S141:T141"/>
    <mergeCell ref="U141:V141"/>
    <mergeCell ref="AO141:AP141"/>
    <mergeCell ref="AQ141:AR141"/>
    <mergeCell ref="AA141:AB141"/>
    <mergeCell ref="AC141:AD141"/>
    <mergeCell ref="AE141:AF141"/>
    <mergeCell ref="AG141:AH141"/>
    <mergeCell ref="AI141:AJ141"/>
    <mergeCell ref="AK141:AL141"/>
    <mergeCell ref="AM141:AN141"/>
    <mergeCell ref="AA145:AB145"/>
    <mergeCell ref="AC145:AD145"/>
    <mergeCell ref="AE145:AF145"/>
    <mergeCell ref="AG145:AH145"/>
    <mergeCell ref="AI145:AJ145"/>
    <mergeCell ref="AK145:AL145"/>
    <mergeCell ref="AM145:AN145"/>
    <mergeCell ref="BC145:BD145"/>
    <mergeCell ref="BE145:BF145"/>
    <mergeCell ref="BG145:BH145"/>
    <mergeCell ref="BI145:BJ145"/>
    <mergeCell ref="BK145:BL145"/>
    <mergeCell ref="BM145:BN145"/>
    <mergeCell ref="BO145:BP145"/>
    <mergeCell ref="AO145:AP145"/>
    <mergeCell ref="AQ145:AR145"/>
    <mergeCell ref="AS145:AT145"/>
    <mergeCell ref="AU145:AV145"/>
    <mergeCell ref="AW145:AX145"/>
    <mergeCell ref="AY145:AZ145"/>
    <mergeCell ref="BA145:BB145"/>
    <mergeCell ref="DU147:DU151"/>
    <mergeCell ref="DV147:DV151"/>
    <mergeCell ref="DW147:DW151"/>
    <mergeCell ref="CA151:CB151"/>
    <mergeCell ref="CC151:CD151"/>
    <mergeCell ref="BM151:BN151"/>
    <mergeCell ref="BO151:BP151"/>
    <mergeCell ref="BQ151:BR151"/>
    <mergeCell ref="BS151:BT151"/>
    <mergeCell ref="BU151:BV151"/>
    <mergeCell ref="BW151:BX151"/>
    <mergeCell ref="BY151:BZ151"/>
    <mergeCell ref="CE147:CF147"/>
    <mergeCell ref="CG147:CH147"/>
    <mergeCell ref="CI147:CJ147"/>
    <mergeCell ref="CK147:CL147"/>
    <mergeCell ref="CM147:CN147"/>
    <mergeCell ref="CO147:CP147"/>
    <mergeCell ref="CQ147:CR147"/>
    <mergeCell ref="DX147:DX151"/>
    <mergeCell ref="DY147:DY151"/>
    <mergeCell ref="DZ147:DZ151"/>
    <mergeCell ref="EA147:EA151"/>
    <mergeCell ref="EB147:EB151"/>
    <mergeCell ref="EC147:EC151"/>
    <mergeCell ref="ED147:ED151"/>
    <mergeCell ref="EE147:EE151"/>
    <mergeCell ref="BQ147:BR147"/>
    <mergeCell ref="BS147:BT147"/>
    <mergeCell ref="BU147:BV147"/>
    <mergeCell ref="BW147:BX147"/>
    <mergeCell ref="BY147:BZ147"/>
    <mergeCell ref="CA147:CB147"/>
    <mergeCell ref="CC147:CD147"/>
    <mergeCell ref="CS148:CT148"/>
    <mergeCell ref="CU148:CV148"/>
    <mergeCell ref="CW148:CX148"/>
    <mergeCell ref="CY148:CZ148"/>
    <mergeCell ref="CS149:CT149"/>
    <mergeCell ref="CU149:CV149"/>
    <mergeCell ref="CE151:CF151"/>
    <mergeCell ref="CG151:CH151"/>
    <mergeCell ref="CI151:CJ151"/>
    <mergeCell ref="CK151:CL151"/>
    <mergeCell ref="CM151:CN151"/>
    <mergeCell ref="CO151:CP151"/>
    <mergeCell ref="CQ151:CR151"/>
    <mergeCell ref="BM149:BN149"/>
    <mergeCell ref="BO149:BP149"/>
    <mergeCell ref="BQ149:BR149"/>
    <mergeCell ref="BS149:BT149"/>
    <mergeCell ref="BU149:BV149"/>
    <mergeCell ref="BW149:BX149"/>
    <mergeCell ref="BY149:BZ149"/>
    <mergeCell ref="CC148:CD148"/>
    <mergeCell ref="CE148:CF148"/>
    <mergeCell ref="CG148:CH148"/>
    <mergeCell ref="CI148:CJ148"/>
    <mergeCell ref="CK148:CL148"/>
    <mergeCell ref="CM148:CN148"/>
    <mergeCell ref="CO148:CP148"/>
    <mergeCell ref="CQ148:CR148"/>
    <mergeCell ref="BO148:BP148"/>
    <mergeCell ref="BQ148:BR148"/>
    <mergeCell ref="AE148:AF148"/>
    <mergeCell ref="AG148:AH148"/>
    <mergeCell ref="AI148:AJ148"/>
    <mergeCell ref="AK148:AL148"/>
    <mergeCell ref="AM148:AN148"/>
    <mergeCell ref="BC148:BD148"/>
    <mergeCell ref="BE148:BF148"/>
    <mergeCell ref="BG148:BH148"/>
    <mergeCell ref="BI148:BJ148"/>
    <mergeCell ref="BK148:BL148"/>
    <mergeCell ref="BM148:BN148"/>
    <mergeCell ref="AO148:AP148"/>
    <mergeCell ref="AQ148:AR148"/>
    <mergeCell ref="AS148:AT148"/>
    <mergeCell ref="AU148:AV148"/>
    <mergeCell ref="AW148:AX148"/>
    <mergeCell ref="AY148:AZ148"/>
    <mergeCell ref="BA148:BB148"/>
    <mergeCell ref="W144:X144"/>
    <mergeCell ref="Y144:Z144"/>
    <mergeCell ref="I144:J144"/>
    <mergeCell ref="K144:L144"/>
    <mergeCell ref="M144:N144"/>
    <mergeCell ref="O144:P144"/>
    <mergeCell ref="Q144:R144"/>
    <mergeCell ref="S144:T144"/>
    <mergeCell ref="U144:V144"/>
    <mergeCell ref="W149:X149"/>
    <mergeCell ref="Y149:Z149"/>
    <mergeCell ref="AA149:AB149"/>
    <mergeCell ref="AC149:AD149"/>
    <mergeCell ref="AE149:AF149"/>
    <mergeCell ref="AG149:AH149"/>
    <mergeCell ref="AI149:AJ149"/>
    <mergeCell ref="AY149:AZ149"/>
    <mergeCell ref="BA149:BB149"/>
    <mergeCell ref="BC149:BD149"/>
    <mergeCell ref="BE149:BF149"/>
    <mergeCell ref="BG149:BH149"/>
    <mergeCell ref="BI149:BJ149"/>
    <mergeCell ref="BK149:BL149"/>
    <mergeCell ref="AK149:AL149"/>
    <mergeCell ref="AM149:AN149"/>
    <mergeCell ref="AO149:AP149"/>
    <mergeCell ref="AQ149:AR149"/>
    <mergeCell ref="AS149:AT149"/>
    <mergeCell ref="AU149:AV149"/>
    <mergeCell ref="AW149:AX149"/>
    <mergeCell ref="I149:J149"/>
    <mergeCell ref="K149:L149"/>
    <mergeCell ref="M149:N149"/>
    <mergeCell ref="O149:P149"/>
    <mergeCell ref="Q149:R149"/>
    <mergeCell ref="S149:T149"/>
    <mergeCell ref="U149:V149"/>
    <mergeCell ref="AO144:AP144"/>
    <mergeCell ref="AQ144:AR144"/>
    <mergeCell ref="AA144:AB144"/>
    <mergeCell ref="AC144:AD144"/>
    <mergeCell ref="AE144:AF144"/>
    <mergeCell ref="AG144:AH144"/>
    <mergeCell ref="AI144:AJ144"/>
    <mergeCell ref="AK144:AL144"/>
    <mergeCell ref="AM144:AN144"/>
    <mergeCell ref="BC151:BD151"/>
    <mergeCell ref="BE151:BF151"/>
    <mergeCell ref="BG151:BH151"/>
    <mergeCell ref="BI151:BJ151"/>
    <mergeCell ref="BK151:BL151"/>
    <mergeCell ref="K151:L151"/>
    <mergeCell ref="M151:N151"/>
    <mergeCell ref="W151:X151"/>
    <mergeCell ref="Y151:Z151"/>
    <mergeCell ref="AA151:AB151"/>
    <mergeCell ref="AC151:AD151"/>
    <mergeCell ref="AE151:AF151"/>
    <mergeCell ref="B135:B138"/>
    <mergeCell ref="C135:C138"/>
    <mergeCell ref="D135:D138"/>
    <mergeCell ref="E135:E138"/>
    <mergeCell ref="F135:F138"/>
    <mergeCell ref="I135:J135"/>
    <mergeCell ref="K135:L135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I138:AJ138"/>
    <mergeCell ref="AK138:AL138"/>
    <mergeCell ref="AM138:AN138"/>
    <mergeCell ref="AO138:AP138"/>
    <mergeCell ref="AQ138:AR138"/>
    <mergeCell ref="AS138:AT138"/>
    <mergeCell ref="AU138:AV138"/>
    <mergeCell ref="AW138:AX138"/>
    <mergeCell ref="AY138:AZ138"/>
    <mergeCell ref="BA138:BB138"/>
    <mergeCell ref="BC138:BD138"/>
    <mergeCell ref="BE138:BF138"/>
    <mergeCell ref="BG138:BH138"/>
    <mergeCell ref="BI138:BJ138"/>
    <mergeCell ref="BK138:BL138"/>
    <mergeCell ref="BK141:BL141"/>
    <mergeCell ref="O151:P151"/>
    <mergeCell ref="Q151:R151"/>
    <mergeCell ref="S151:T151"/>
    <mergeCell ref="U151:V151"/>
    <mergeCell ref="K150:L150"/>
    <mergeCell ref="M150:N150"/>
    <mergeCell ref="O150:P150"/>
    <mergeCell ref="Q150:R150"/>
    <mergeCell ref="S150:T150"/>
    <mergeCell ref="U150:V150"/>
    <mergeCell ref="I151:J151"/>
    <mergeCell ref="AU151:AV151"/>
    <mergeCell ref="AW151:AX151"/>
    <mergeCell ref="AG151:AH151"/>
    <mergeCell ref="AA148:AB148"/>
    <mergeCell ref="AC148:AD148"/>
    <mergeCell ref="AA137:AB137"/>
    <mergeCell ref="AC137:AD137"/>
    <mergeCell ref="AE137:AF137"/>
    <mergeCell ref="AG137:AH137"/>
    <mergeCell ref="AI137:AJ137"/>
    <mergeCell ref="AK137:AL137"/>
    <mergeCell ref="AM137:AN137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I140:AJ140"/>
    <mergeCell ref="AK140:AL140"/>
    <mergeCell ref="AM140:AN140"/>
    <mergeCell ref="AO140:AP140"/>
    <mergeCell ref="AQ140:AR140"/>
    <mergeCell ref="AS140:AT140"/>
    <mergeCell ref="AU140:AV140"/>
    <mergeCell ref="AW140:AX140"/>
    <mergeCell ref="AY140:AZ140"/>
    <mergeCell ref="BA140:BB140"/>
    <mergeCell ref="W137:X137"/>
    <mergeCell ref="Y137:Z137"/>
    <mergeCell ref="BM141:BN141"/>
    <mergeCell ref="BO141:BP141"/>
    <mergeCell ref="BC140:BD140"/>
    <mergeCell ref="BE140:BF140"/>
    <mergeCell ref="BG140:BH140"/>
    <mergeCell ref="BI140:BJ140"/>
    <mergeCell ref="BK140:BL140"/>
    <mergeCell ref="BM140:BN140"/>
    <mergeCell ref="BO140:BP140"/>
    <mergeCell ref="AO137:AP137"/>
    <mergeCell ref="AQ137:AR137"/>
    <mergeCell ref="I110:J110"/>
    <mergeCell ref="K110:L110"/>
    <mergeCell ref="Q110:R110"/>
    <mergeCell ref="I111:J111"/>
    <mergeCell ref="K111:L111"/>
    <mergeCell ref="M111:N111"/>
    <mergeCell ref="O111:P111"/>
    <mergeCell ref="Q111:R111"/>
    <mergeCell ref="S111:T111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I106:J106"/>
    <mergeCell ref="K106:L106"/>
    <mergeCell ref="M106:N106"/>
    <mergeCell ref="O106:P106"/>
    <mergeCell ref="S106:T106"/>
    <mergeCell ref="CO149:CP149"/>
    <mergeCell ref="CQ149:CR149"/>
    <mergeCell ref="CA149:CB149"/>
    <mergeCell ref="CC149:CD149"/>
    <mergeCell ref="CE149:CF149"/>
    <mergeCell ref="CG149:CH149"/>
    <mergeCell ref="CI149:CJ149"/>
    <mergeCell ref="CK149:CL149"/>
    <mergeCell ref="CM149:CN149"/>
    <mergeCell ref="AS141:AT141"/>
    <mergeCell ref="AU141:AV141"/>
    <mergeCell ref="AW141:AX141"/>
    <mergeCell ref="AY141:AZ141"/>
    <mergeCell ref="BA141:BB141"/>
    <mergeCell ref="BC141:BD141"/>
    <mergeCell ref="BE141:BF141"/>
    <mergeCell ref="CA141:CB141"/>
    <mergeCell ref="CC141:CD141"/>
    <mergeCell ref="BG141:BH141"/>
    <mergeCell ref="BI141:BJ141"/>
    <mergeCell ref="BQ141:BR141"/>
    <mergeCell ref="BS141:BT141"/>
    <mergeCell ref="BU141:BV141"/>
    <mergeCell ref="BW141:BX141"/>
    <mergeCell ref="BY141:BZ141"/>
    <mergeCell ref="CE142:CF142"/>
    <mergeCell ref="CG142:CH142"/>
    <mergeCell ref="CI142:CJ142"/>
    <mergeCell ref="CK142:CL142"/>
    <mergeCell ref="CM142:CN142"/>
    <mergeCell ref="CO142:CP142"/>
    <mergeCell ref="CQ142:CR142"/>
    <mergeCell ref="CE144:CF144"/>
    <mergeCell ref="CG144:CH144"/>
    <mergeCell ref="CI144:CJ144"/>
    <mergeCell ref="CK144:CL144"/>
    <mergeCell ref="CM144:CN144"/>
    <mergeCell ref="BI147:BJ147"/>
    <mergeCell ref="BK147:BL147"/>
    <mergeCell ref="BM147:BN147"/>
    <mergeCell ref="BO147:BP147"/>
    <mergeCell ref="B99:B103"/>
    <mergeCell ref="C99:C103"/>
    <mergeCell ref="D99:D103"/>
    <mergeCell ref="E99:E103"/>
    <mergeCell ref="F99:F103"/>
    <mergeCell ref="I101:J101"/>
    <mergeCell ref="K101:L101"/>
    <mergeCell ref="I103:J103"/>
    <mergeCell ref="K103:L103"/>
    <mergeCell ref="M103:N103"/>
    <mergeCell ref="O103:P103"/>
    <mergeCell ref="Q103:R103"/>
    <mergeCell ref="S103:T103"/>
    <mergeCell ref="U103:V103"/>
    <mergeCell ref="AK103:AL103"/>
    <mergeCell ref="AM103:AN103"/>
    <mergeCell ref="AO103:AP103"/>
    <mergeCell ref="W103:X103"/>
    <mergeCell ref="Y103:Z103"/>
    <mergeCell ref="AA103:AB103"/>
    <mergeCell ref="AC103:AD103"/>
    <mergeCell ref="AE103:AF103"/>
    <mergeCell ref="AG103:AH103"/>
    <mergeCell ref="AI103:AJ103"/>
    <mergeCell ref="B67:B89"/>
    <mergeCell ref="C67:C89"/>
    <mergeCell ref="D67:D89"/>
    <mergeCell ref="E67:E89"/>
    <mergeCell ref="F67:F89"/>
    <mergeCell ref="I67:J67"/>
    <mergeCell ref="K67:L67"/>
    <mergeCell ref="I95:J95"/>
    <mergeCell ref="K95:L95"/>
    <mergeCell ref="I96:J96"/>
    <mergeCell ref="K96:L96"/>
    <mergeCell ref="B94:B97"/>
    <mergeCell ref="C94:C97"/>
    <mergeCell ref="D94:D97"/>
    <mergeCell ref="E94:E97"/>
    <mergeCell ref="F94:F97"/>
    <mergeCell ref="I94:J94"/>
    <mergeCell ref="K94:L94"/>
    <mergeCell ref="S99:T99"/>
    <mergeCell ref="U99:V99"/>
    <mergeCell ref="W99:X99"/>
    <mergeCell ref="Y99:Z99"/>
    <mergeCell ref="AA99:AB99"/>
    <mergeCell ref="AC99:AD99"/>
    <mergeCell ref="AE99:AF99"/>
    <mergeCell ref="AG99:AH99"/>
    <mergeCell ref="AE101:AF101"/>
    <mergeCell ref="AG101:AH101"/>
    <mergeCell ref="AI101:AJ101"/>
    <mergeCell ref="AK101:AL101"/>
    <mergeCell ref="AM101:AN101"/>
    <mergeCell ref="AO101:AP101"/>
    <mergeCell ref="AI99:AJ99"/>
    <mergeCell ref="AK99:AL99"/>
    <mergeCell ref="AM99:AN99"/>
    <mergeCell ref="AO99:AP99"/>
    <mergeCell ref="AK100:AL100"/>
    <mergeCell ref="AM100:AN100"/>
    <mergeCell ref="AO100:AP100"/>
    <mergeCell ref="I97:J97"/>
    <mergeCell ref="I100:J100"/>
    <mergeCell ref="I72:J72"/>
    <mergeCell ref="K72:L72"/>
    <mergeCell ref="I73:J73"/>
    <mergeCell ref="K73:L73"/>
    <mergeCell ref="M73:N73"/>
    <mergeCell ref="O73:P73"/>
    <mergeCell ref="Q73:R73"/>
    <mergeCell ref="S73:T73"/>
    <mergeCell ref="U73:V73"/>
    <mergeCell ref="W73:X73"/>
    <mergeCell ref="O95:P95"/>
    <mergeCell ref="Q95:R95"/>
    <mergeCell ref="S95:T95"/>
    <mergeCell ref="U95:V95"/>
    <mergeCell ref="W95:X95"/>
    <mergeCell ref="Y95:Z95"/>
    <mergeCell ref="AO96:AP96"/>
    <mergeCell ref="BG105:BH105"/>
    <mergeCell ref="BI105:BJ105"/>
    <mergeCell ref="BK105:BL105"/>
    <mergeCell ref="BM105:BN105"/>
    <mergeCell ref="BO105:BP105"/>
    <mergeCell ref="BQ105:BR105"/>
    <mergeCell ref="AQ108:AR108"/>
    <mergeCell ref="AS108:AT108"/>
    <mergeCell ref="AC108:AD108"/>
    <mergeCell ref="AE108:AF108"/>
    <mergeCell ref="AG108:AH108"/>
    <mergeCell ref="AI108:AJ108"/>
    <mergeCell ref="AK108:AL108"/>
    <mergeCell ref="AM108:AN108"/>
    <mergeCell ref="AO108:AP108"/>
    <mergeCell ref="AA101:AB101"/>
    <mergeCell ref="AC101:AD101"/>
    <mergeCell ref="M101:N101"/>
    <mergeCell ref="O101:P101"/>
    <mergeCell ref="Q101:R101"/>
    <mergeCell ref="S101:T101"/>
    <mergeCell ref="U101:V101"/>
    <mergeCell ref="W101:X101"/>
    <mergeCell ref="BQ99:BR99"/>
    <mergeCell ref="AC80:AD80"/>
    <mergeCell ref="AE80:AF80"/>
    <mergeCell ref="AG80:AH80"/>
    <mergeCell ref="AI80:AJ80"/>
    <mergeCell ref="AW81:AX81"/>
    <mergeCell ref="AY81:AZ81"/>
    <mergeCell ref="BA81:BB81"/>
    <mergeCell ref="I74:J74"/>
    <mergeCell ref="K74:L74"/>
    <mergeCell ref="M74:N74"/>
    <mergeCell ref="O74:P74"/>
    <mergeCell ref="Q74:R74"/>
    <mergeCell ref="S74:T74"/>
    <mergeCell ref="U74:V74"/>
    <mergeCell ref="AK74:AL74"/>
    <mergeCell ref="AM74:AN74"/>
    <mergeCell ref="AO74:AP74"/>
    <mergeCell ref="AQ74:AR74"/>
    <mergeCell ref="BM99:BN99"/>
    <mergeCell ref="BO99:BP99"/>
    <mergeCell ref="K97:L97"/>
    <mergeCell ref="I99:J99"/>
    <mergeCell ref="AA109:AB109"/>
    <mergeCell ref="AC109:AD109"/>
    <mergeCell ref="AE109:AF109"/>
    <mergeCell ref="AG109:AH109"/>
    <mergeCell ref="AI109:AJ109"/>
    <mergeCell ref="AK109:AL109"/>
    <mergeCell ref="AM109:AN109"/>
    <mergeCell ref="AO109:AP109"/>
    <mergeCell ref="AQ109:AR109"/>
    <mergeCell ref="AS109:AT109"/>
    <mergeCell ref="AU109:AV109"/>
    <mergeCell ref="AW109:AX109"/>
    <mergeCell ref="AY109:AZ109"/>
    <mergeCell ref="BA109:BB109"/>
    <mergeCell ref="BQ109:BR109"/>
    <mergeCell ref="BS109:BT109"/>
    <mergeCell ref="BU109:BV109"/>
    <mergeCell ref="BW109:BX109"/>
    <mergeCell ref="BC109:BD109"/>
    <mergeCell ref="BE109:BF109"/>
    <mergeCell ref="BG109:BH109"/>
    <mergeCell ref="BI109:BJ109"/>
    <mergeCell ref="BK109:BL109"/>
    <mergeCell ref="BM109:BN109"/>
    <mergeCell ref="BO109:BP109"/>
    <mergeCell ref="AA105:AB105"/>
    <mergeCell ref="AC105:AD105"/>
    <mergeCell ref="AE105:AF105"/>
    <mergeCell ref="AG105:AH105"/>
    <mergeCell ref="AI105:AJ105"/>
    <mergeCell ref="AK105:AL105"/>
    <mergeCell ref="AM105:AN105"/>
    <mergeCell ref="AO105:AP105"/>
    <mergeCell ref="AA106:AB106"/>
    <mergeCell ref="BK107:BL107"/>
    <mergeCell ref="BM107:BN107"/>
    <mergeCell ref="BO107:BP107"/>
    <mergeCell ref="BQ107:BR107"/>
    <mergeCell ref="BS107:BT107"/>
    <mergeCell ref="BU107:BV107"/>
    <mergeCell ref="BW107:BX107"/>
    <mergeCell ref="AQ105:AR105"/>
    <mergeCell ref="AS105:AT105"/>
    <mergeCell ref="BS106:BT106"/>
    <mergeCell ref="BU106:BV106"/>
    <mergeCell ref="BW106:BX106"/>
    <mergeCell ref="BK106:BL106"/>
    <mergeCell ref="BM106:BN106"/>
    <mergeCell ref="BO106:BP106"/>
    <mergeCell ref="BS110:BT110"/>
    <mergeCell ref="BU110:BV110"/>
    <mergeCell ref="BW110:BX110"/>
    <mergeCell ref="BE110:BF110"/>
    <mergeCell ref="BG110:BH110"/>
    <mergeCell ref="BI110:BJ110"/>
    <mergeCell ref="BK110:BL110"/>
    <mergeCell ref="BM110:BN110"/>
    <mergeCell ref="BO110:BP110"/>
    <mergeCell ref="BQ110:BR110"/>
    <mergeCell ref="AQ110:AR110"/>
    <mergeCell ref="AS110:AT110"/>
    <mergeCell ref="AU110:AV110"/>
    <mergeCell ref="AW110:AX110"/>
    <mergeCell ref="AY110:AZ110"/>
    <mergeCell ref="BA110:BB110"/>
    <mergeCell ref="BC110:BD110"/>
    <mergeCell ref="AQ111:AR111"/>
    <mergeCell ref="AS111:AT111"/>
    <mergeCell ref="AU111:AV111"/>
    <mergeCell ref="AW111:AX111"/>
    <mergeCell ref="AY111:AZ111"/>
    <mergeCell ref="BA111:BB111"/>
    <mergeCell ref="BC111:BD111"/>
    <mergeCell ref="BS111:BT111"/>
    <mergeCell ref="BU111:BV111"/>
    <mergeCell ref="BW111:BX111"/>
    <mergeCell ref="BE111:BF111"/>
    <mergeCell ref="BG111:BH111"/>
    <mergeCell ref="BI111:BJ111"/>
    <mergeCell ref="BK111:BL111"/>
    <mergeCell ref="BM111:BN111"/>
    <mergeCell ref="BO111:BP111"/>
    <mergeCell ref="BQ111:BR111"/>
    <mergeCell ref="I109:J109"/>
    <mergeCell ref="K109:L109"/>
    <mergeCell ref="M109:N109"/>
    <mergeCell ref="O109:P109"/>
    <mergeCell ref="Q109:R109"/>
    <mergeCell ref="S109:T109"/>
    <mergeCell ref="K100:L100"/>
    <mergeCell ref="M100:N100"/>
    <mergeCell ref="O100:P100"/>
    <mergeCell ref="Q100:R100"/>
    <mergeCell ref="B105:B111"/>
    <mergeCell ref="C105:C111"/>
    <mergeCell ref="F105:F111"/>
    <mergeCell ref="I113:J113"/>
    <mergeCell ref="K113:L113"/>
    <mergeCell ref="M113:N113"/>
    <mergeCell ref="O113:P113"/>
    <mergeCell ref="Q113:R113"/>
    <mergeCell ref="S113:T113"/>
    <mergeCell ref="U113:V113"/>
    <mergeCell ref="I114:J114"/>
    <mergeCell ref="K114:L114"/>
    <mergeCell ref="M114:N114"/>
    <mergeCell ref="O114:P114"/>
    <mergeCell ref="Q114:R114"/>
    <mergeCell ref="S114:T114"/>
    <mergeCell ref="U114:V114"/>
    <mergeCell ref="BC114:BD114"/>
    <mergeCell ref="BE114:BF114"/>
    <mergeCell ref="AO114:AP114"/>
    <mergeCell ref="AQ114:AR114"/>
    <mergeCell ref="AS114:AT114"/>
    <mergeCell ref="AU114:AV114"/>
    <mergeCell ref="AW114:AX114"/>
    <mergeCell ref="AY114:AZ114"/>
    <mergeCell ref="BA114:BB114"/>
    <mergeCell ref="D105:D111"/>
    <mergeCell ref="E105:E111"/>
    <mergeCell ref="B113:B122"/>
    <mergeCell ref="C113:C122"/>
    <mergeCell ref="D113:D122"/>
    <mergeCell ref="E113:E115"/>
    <mergeCell ref="F113:F122"/>
    <mergeCell ref="AU105:AV105"/>
    <mergeCell ref="AW105:AX105"/>
    <mergeCell ref="AY105:AZ105"/>
    <mergeCell ref="BA105:BB105"/>
    <mergeCell ref="BC105:BD105"/>
    <mergeCell ref="E116:E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AI122:AJ122"/>
    <mergeCell ref="AK122:AL122"/>
    <mergeCell ref="AM122:AN122"/>
    <mergeCell ref="AO122:AP122"/>
    <mergeCell ref="AQ122:AR122"/>
    <mergeCell ref="AS122:AT122"/>
    <mergeCell ref="AU122:AV122"/>
    <mergeCell ref="CC122:CD122"/>
    <mergeCell ref="CE122:CF122"/>
    <mergeCell ref="CG122:CH122"/>
    <mergeCell ref="CI122:CJ122"/>
    <mergeCell ref="CK122:CL122"/>
    <mergeCell ref="W125:X125"/>
    <mergeCell ref="Y125:Z125"/>
    <mergeCell ref="I125:J125"/>
    <mergeCell ref="K125:L125"/>
    <mergeCell ref="M125:N125"/>
    <mergeCell ref="O125:P125"/>
    <mergeCell ref="Q125:R125"/>
    <mergeCell ref="S125:T125"/>
    <mergeCell ref="U125:V125"/>
    <mergeCell ref="AO125:AP125"/>
    <mergeCell ref="AQ125:AR125"/>
    <mergeCell ref="AA125:AB125"/>
    <mergeCell ref="AC125:AD125"/>
    <mergeCell ref="AE125:AF125"/>
    <mergeCell ref="AG125:AH125"/>
    <mergeCell ref="AI125:AJ125"/>
    <mergeCell ref="AK125:AL125"/>
    <mergeCell ref="AM125:AN125"/>
    <mergeCell ref="BG125:BH125"/>
    <mergeCell ref="BI125:BJ125"/>
    <mergeCell ref="AS125:AT125"/>
    <mergeCell ref="AU125:AV125"/>
    <mergeCell ref="AW125:AX125"/>
    <mergeCell ref="AY125:AZ125"/>
    <mergeCell ref="BA125:BB125"/>
    <mergeCell ref="BC125:BD125"/>
    <mergeCell ref="BE125:BF125"/>
    <mergeCell ref="CS125:CT125"/>
    <mergeCell ref="CO124:CP124"/>
    <mergeCell ref="CQ124:CR124"/>
    <mergeCell ref="CS124:CT124"/>
    <mergeCell ref="AE124:AF124"/>
    <mergeCell ref="AG124:AH124"/>
    <mergeCell ref="DU124:DU131"/>
    <mergeCell ref="CA124:CB124"/>
    <mergeCell ref="CC124:CD124"/>
    <mergeCell ref="CE124:CF124"/>
    <mergeCell ref="CG124:CH124"/>
    <mergeCell ref="CI124:CJ124"/>
    <mergeCell ref="CK124:CL124"/>
    <mergeCell ref="CM124:CN124"/>
    <mergeCell ref="EC124:EC131"/>
    <mergeCell ref="ED124:ED131"/>
    <mergeCell ref="EE124:EE131"/>
    <mergeCell ref="DV124:DV131"/>
    <mergeCell ref="DW124:DW131"/>
    <mergeCell ref="DX124:DX131"/>
    <mergeCell ref="DY124:DY131"/>
    <mergeCell ref="DZ124:DZ131"/>
    <mergeCell ref="EA124:EA131"/>
    <mergeCell ref="EB124:EB131"/>
    <mergeCell ref="BM124:BN124"/>
    <mergeCell ref="BO124:BP124"/>
    <mergeCell ref="BQ124:BR124"/>
    <mergeCell ref="BS124:BT124"/>
    <mergeCell ref="BU124:BV124"/>
    <mergeCell ref="BW124:BX124"/>
    <mergeCell ref="BY124:BZ124"/>
    <mergeCell ref="CA125:CB125"/>
    <mergeCell ref="CC125:CD125"/>
    <mergeCell ref="CE125:CF125"/>
    <mergeCell ref="CG125:CH125"/>
    <mergeCell ref="CI125:CJ125"/>
    <mergeCell ref="CK125:CL125"/>
    <mergeCell ref="CM125:CN125"/>
    <mergeCell ref="BM125:BN125"/>
    <mergeCell ref="BO125:BP125"/>
    <mergeCell ref="BQ125:BR125"/>
    <mergeCell ref="BS125:BT125"/>
    <mergeCell ref="BU125:BV125"/>
    <mergeCell ref="BW125:BX125"/>
    <mergeCell ref="BY125:BZ125"/>
    <mergeCell ref="CO125:CP125"/>
    <mergeCell ref="CQ125:CR125"/>
    <mergeCell ref="CU125:CV125"/>
    <mergeCell ref="CW125:CX125"/>
    <mergeCell ref="CY125:CZ125"/>
    <mergeCell ref="CU124:CV124"/>
    <mergeCell ref="CW124:CX124"/>
    <mergeCell ref="CY124:CZ124"/>
    <mergeCell ref="CK133:CL133"/>
    <mergeCell ref="CM133:CN133"/>
    <mergeCell ref="CO133:CP133"/>
    <mergeCell ref="CQ133:CR133"/>
    <mergeCell ref="CS133:CT133"/>
    <mergeCell ref="CU133:CV133"/>
    <mergeCell ref="CW133:CX133"/>
    <mergeCell ref="CY133:CZ133"/>
    <mergeCell ref="BW133:BX133"/>
    <mergeCell ref="BY133:BZ133"/>
    <mergeCell ref="CA133:CB133"/>
    <mergeCell ref="CC133:CD133"/>
    <mergeCell ref="CE133:CF133"/>
    <mergeCell ref="CG133:CH133"/>
    <mergeCell ref="CI133:CJ133"/>
    <mergeCell ref="U109:V109"/>
    <mergeCell ref="W109:X109"/>
    <mergeCell ref="Y109:Z109"/>
    <mergeCell ref="M110:N110"/>
    <mergeCell ref="O110:P110"/>
    <mergeCell ref="S110:T110"/>
    <mergeCell ref="U110:V110"/>
    <mergeCell ref="W110:X110"/>
    <mergeCell ref="Y110:Z110"/>
    <mergeCell ref="AA110:AB110"/>
    <mergeCell ref="AC110:AD110"/>
    <mergeCell ref="AE110:AF110"/>
    <mergeCell ref="AG110:AH110"/>
    <mergeCell ref="AI110:AJ110"/>
    <mergeCell ref="AK110:AL110"/>
    <mergeCell ref="AM110:AN110"/>
    <mergeCell ref="AO110:AP110"/>
    <mergeCell ref="AI111:AJ111"/>
    <mergeCell ref="AK111:AL111"/>
    <mergeCell ref="AM111:AN111"/>
    <mergeCell ref="AO111:AP111"/>
    <mergeCell ref="AO113:AP113"/>
    <mergeCell ref="U111:V111"/>
    <mergeCell ref="W111:X111"/>
    <mergeCell ref="Y111:Z111"/>
    <mergeCell ref="AA111:AB111"/>
    <mergeCell ref="AC111:AD111"/>
    <mergeCell ref="AE111:AF111"/>
    <mergeCell ref="AG111:AH111"/>
    <mergeCell ref="AA114:AB114"/>
    <mergeCell ref="AC114:AD114"/>
    <mergeCell ref="Y122:Z122"/>
    <mergeCell ref="AA122:AB122"/>
    <mergeCell ref="AC122:AD122"/>
    <mergeCell ref="AE122:AF122"/>
    <mergeCell ref="AG122:AH122"/>
    <mergeCell ref="AY122:AZ122"/>
    <mergeCell ref="BA122:BB122"/>
    <mergeCell ref="BU122:BV122"/>
    <mergeCell ref="BW122:BX122"/>
    <mergeCell ref="CM122:CN122"/>
    <mergeCell ref="CO122:CP122"/>
    <mergeCell ref="CQ122:CR122"/>
    <mergeCell ref="CS122:CT122"/>
    <mergeCell ref="CU122:CV122"/>
    <mergeCell ref="CW122:CX122"/>
    <mergeCell ref="CY122:CZ122"/>
    <mergeCell ref="BY122:BZ122"/>
    <mergeCell ref="CA122:CB122"/>
    <mergeCell ref="DY135:DY138"/>
    <mergeCell ref="DZ135:DZ138"/>
    <mergeCell ref="EA135:EA138"/>
    <mergeCell ref="EB135:EB138"/>
    <mergeCell ref="EC135:EC138"/>
    <mergeCell ref="ED135:ED138"/>
    <mergeCell ref="EE135:EE138"/>
    <mergeCell ref="CE135:CF135"/>
    <mergeCell ref="CG135:CH135"/>
    <mergeCell ref="CI135:CJ135"/>
    <mergeCell ref="CK135:CL135"/>
    <mergeCell ref="CM135:CN135"/>
    <mergeCell ref="CO135:CP135"/>
    <mergeCell ref="CQ135:CR135"/>
    <mergeCell ref="CS136:CT136"/>
    <mergeCell ref="CU136:CV136"/>
    <mergeCell ref="CW136:CX136"/>
    <mergeCell ref="CY136:CZ136"/>
    <mergeCell ref="CE136:CF136"/>
    <mergeCell ref="CG136:CH136"/>
    <mergeCell ref="CI136:CJ136"/>
    <mergeCell ref="CK136:CL136"/>
    <mergeCell ref="CM136:CN136"/>
    <mergeCell ref="CO136:CP136"/>
    <mergeCell ref="CQ136:CR136"/>
    <mergeCell ref="CS137:CT137"/>
    <mergeCell ref="CU137:CV137"/>
    <mergeCell ref="CE138:CF138"/>
    <mergeCell ref="CG138:CH138"/>
    <mergeCell ref="CI138:CJ138"/>
    <mergeCell ref="CK138:CL138"/>
    <mergeCell ref="CM138:CN138"/>
    <mergeCell ref="CO138:CP138"/>
    <mergeCell ref="CQ138:CR138"/>
    <mergeCell ref="CE137:CF137"/>
    <mergeCell ref="CG137:CH137"/>
    <mergeCell ref="CI137:CJ137"/>
    <mergeCell ref="CK137:CL137"/>
    <mergeCell ref="CM137:CN137"/>
    <mergeCell ref="CO137:CP137"/>
    <mergeCell ref="CQ137:CR137"/>
    <mergeCell ref="AO142:AP142"/>
    <mergeCell ref="AQ142:AR142"/>
    <mergeCell ref="AS142:AT142"/>
    <mergeCell ref="AU142:AV142"/>
    <mergeCell ref="AW142:AX142"/>
    <mergeCell ref="AY142:AZ142"/>
    <mergeCell ref="BA142:BB142"/>
    <mergeCell ref="BC142:BD142"/>
    <mergeCell ref="BE142:BF142"/>
    <mergeCell ref="BG142:BH142"/>
    <mergeCell ref="BI142:BJ142"/>
    <mergeCell ref="BK142:BL142"/>
    <mergeCell ref="I137:J137"/>
    <mergeCell ref="K137:L137"/>
    <mergeCell ref="M137:N137"/>
    <mergeCell ref="O137:P137"/>
    <mergeCell ref="Q137:R137"/>
    <mergeCell ref="S137:T137"/>
    <mergeCell ref="U137:V137"/>
    <mergeCell ref="CW137:CX137"/>
    <mergeCell ref="CY137:CZ137"/>
    <mergeCell ref="CS138:CT138"/>
    <mergeCell ref="CU138:CV138"/>
    <mergeCell ref="CW138:CX138"/>
    <mergeCell ref="CY138:CZ138"/>
    <mergeCell ref="CS135:CT135"/>
    <mergeCell ref="CU135:CV135"/>
    <mergeCell ref="CW135:CX135"/>
    <mergeCell ref="CY135:CZ135"/>
    <mergeCell ref="DU135:DU138"/>
    <mergeCell ref="DV135:DV138"/>
    <mergeCell ref="DW135:DW138"/>
    <mergeCell ref="DX135:DX138"/>
    <mergeCell ref="W136:X136"/>
    <mergeCell ref="Y136:Z136"/>
    <mergeCell ref="I136:J136"/>
    <mergeCell ref="K136:L136"/>
    <mergeCell ref="M136:N136"/>
    <mergeCell ref="O136:P136"/>
    <mergeCell ref="Q136:R136"/>
    <mergeCell ref="S136:T136"/>
    <mergeCell ref="U136:V136"/>
    <mergeCell ref="AO136:AP136"/>
    <mergeCell ref="AQ136:AR136"/>
    <mergeCell ref="AA136:AB136"/>
    <mergeCell ref="AC136:AD136"/>
    <mergeCell ref="AE136:AF136"/>
    <mergeCell ref="AG136:AH136"/>
    <mergeCell ref="AI136:AJ136"/>
    <mergeCell ref="AK136:AL136"/>
    <mergeCell ref="AM136:AN136"/>
    <mergeCell ref="BG136:BH136"/>
    <mergeCell ref="BI136:BJ136"/>
    <mergeCell ref="AS136:AT136"/>
    <mergeCell ref="AU136:AV136"/>
    <mergeCell ref="AW136:AX136"/>
    <mergeCell ref="AY136:AZ136"/>
    <mergeCell ref="BA136:BB136"/>
    <mergeCell ref="BC136:BD136"/>
    <mergeCell ref="BE136:BF136"/>
    <mergeCell ref="BY136:BZ136"/>
    <mergeCell ref="CA136:CB136"/>
    <mergeCell ref="BK136:BL136"/>
    <mergeCell ref="BM136:BN136"/>
    <mergeCell ref="B140:B145"/>
    <mergeCell ref="C140:C145"/>
    <mergeCell ref="D140:D145"/>
    <mergeCell ref="E140:E145"/>
    <mergeCell ref="F140:F145"/>
    <mergeCell ref="I140:J140"/>
    <mergeCell ref="K140:L140"/>
    <mergeCell ref="CS142:CT142"/>
    <mergeCell ref="CU142:CV142"/>
    <mergeCell ref="CW142:CX142"/>
    <mergeCell ref="CY142:CZ142"/>
    <mergeCell ref="CS144:CT144"/>
    <mergeCell ref="CU144:CV144"/>
    <mergeCell ref="CW144:CX144"/>
    <mergeCell ref="CY144:CZ144"/>
    <mergeCell ref="CS145:CT145"/>
    <mergeCell ref="CU145:CV145"/>
    <mergeCell ref="CW145:CX145"/>
    <mergeCell ref="CY145:CZ145"/>
    <mergeCell ref="CS140:CT140"/>
    <mergeCell ref="CU140:CV140"/>
    <mergeCell ref="CW140:CX140"/>
    <mergeCell ref="CY140:CZ140"/>
    <mergeCell ref="DU140:DU145"/>
    <mergeCell ref="DV140:DV145"/>
    <mergeCell ref="DW140:DW145"/>
    <mergeCell ref="BQ140:BR140"/>
    <mergeCell ref="BS140:BT140"/>
    <mergeCell ref="BU140:BV140"/>
    <mergeCell ref="BW140:BX140"/>
    <mergeCell ref="BY140:BZ140"/>
    <mergeCell ref="CA140:CB140"/>
    <mergeCell ref="CC140:CD140"/>
    <mergeCell ref="I142:J142"/>
    <mergeCell ref="K142:L142"/>
    <mergeCell ref="M142:N142"/>
    <mergeCell ref="O142:P142"/>
    <mergeCell ref="Q142:R142"/>
    <mergeCell ref="S142:T142"/>
    <mergeCell ref="U142:V142"/>
    <mergeCell ref="CA142:CB142"/>
    <mergeCell ref="CC142:CD142"/>
    <mergeCell ref="CC144:CD144"/>
    <mergeCell ref="BU145:BV145"/>
    <mergeCell ref="BW145:BX145"/>
    <mergeCell ref="BY145:BZ145"/>
    <mergeCell ref="CA145:CB145"/>
    <mergeCell ref="CC145:CD145"/>
    <mergeCell ref="BM142:BN142"/>
    <mergeCell ref="BO142:BP142"/>
    <mergeCell ref="BQ142:BR142"/>
    <mergeCell ref="BS142:BT142"/>
    <mergeCell ref="BU142:BV142"/>
    <mergeCell ref="BW142:BX142"/>
    <mergeCell ref="BY142:BZ142"/>
    <mergeCell ref="W142:X142"/>
    <mergeCell ref="Y142:Z142"/>
    <mergeCell ref="AA142:AB142"/>
    <mergeCell ref="AC142:AD142"/>
    <mergeCell ref="AE142:AF142"/>
    <mergeCell ref="AG142:AH142"/>
    <mergeCell ref="AI142:AJ142"/>
    <mergeCell ref="AK142:AL142"/>
    <mergeCell ref="AM142:AN142"/>
    <mergeCell ref="DX140:DX145"/>
    <mergeCell ref="DY140:DY145"/>
    <mergeCell ref="DZ140:DZ145"/>
    <mergeCell ref="EA140:EA145"/>
    <mergeCell ref="EB140:EB145"/>
    <mergeCell ref="EC140:EC145"/>
    <mergeCell ref="ED140:ED145"/>
    <mergeCell ref="EE140:EE145"/>
    <mergeCell ref="CE140:CF140"/>
    <mergeCell ref="CG140:CH140"/>
    <mergeCell ref="CI140:CJ140"/>
    <mergeCell ref="CK140:CL140"/>
    <mergeCell ref="CM140:CN140"/>
    <mergeCell ref="CO140:CP140"/>
    <mergeCell ref="CQ140:CR140"/>
    <mergeCell ref="CS141:CT141"/>
    <mergeCell ref="CU141:CV141"/>
    <mergeCell ref="CW141:CX141"/>
    <mergeCell ref="CY141:CZ141"/>
    <mergeCell ref="CE141:CF141"/>
    <mergeCell ref="CG141:CH141"/>
    <mergeCell ref="CI141:CJ141"/>
    <mergeCell ref="CK141:CL141"/>
    <mergeCell ref="CM141:CN141"/>
    <mergeCell ref="CO141:CP141"/>
    <mergeCell ref="CQ141:CR141"/>
    <mergeCell ref="CO145:CP145"/>
    <mergeCell ref="CQ145:CR145"/>
    <mergeCell ref="BQ145:BR145"/>
    <mergeCell ref="BS145:BT145"/>
    <mergeCell ref="CE145:CF145"/>
    <mergeCell ref="CG145:CH145"/>
    <mergeCell ref="CI145:CJ145"/>
    <mergeCell ref="CK145:CL145"/>
    <mergeCell ref="CM145:CN145"/>
    <mergeCell ref="CO144:CP144"/>
    <mergeCell ref="CQ144:CR144"/>
    <mergeCell ref="DZ153:DZ157"/>
    <mergeCell ref="EA153:EA157"/>
    <mergeCell ref="EB153:EB157"/>
    <mergeCell ref="EC153:EC157"/>
    <mergeCell ref="ED153:ED157"/>
    <mergeCell ref="EE153:EE157"/>
    <mergeCell ref="BQ153:BR153"/>
    <mergeCell ref="BS153:BT153"/>
    <mergeCell ref="BU153:BV153"/>
    <mergeCell ref="BW153:BX153"/>
    <mergeCell ref="BY153:BZ153"/>
    <mergeCell ref="CA153:CB153"/>
    <mergeCell ref="CC153:CD153"/>
    <mergeCell ref="CS154:CT154"/>
    <mergeCell ref="CU154:CV154"/>
    <mergeCell ref="CW154:CX154"/>
    <mergeCell ref="CY154:CZ154"/>
    <mergeCell ref="CE155:CF155"/>
    <mergeCell ref="CG155:CH155"/>
    <mergeCell ref="CI155:CJ155"/>
    <mergeCell ref="CK155:CL155"/>
    <mergeCell ref="CM155:CN155"/>
    <mergeCell ref="CO155:CP155"/>
    <mergeCell ref="CQ155:CR155"/>
    <mergeCell ref="BQ155:BR155"/>
    <mergeCell ref="BS155:BT155"/>
    <mergeCell ref="BU155:BV155"/>
    <mergeCell ref="BW155:BX155"/>
    <mergeCell ref="BY155:BZ155"/>
    <mergeCell ref="CA155:CB155"/>
    <mergeCell ref="CC155:CD155"/>
    <mergeCell ref="CO154:CP154"/>
    <mergeCell ref="CQ154:CR154"/>
    <mergeCell ref="CO157:CP157"/>
    <mergeCell ref="CQ157:CR157"/>
    <mergeCell ref="CK157:CL157"/>
    <mergeCell ref="CM157:CN157"/>
    <mergeCell ref="DX181:DX187"/>
    <mergeCell ref="DY181:DY187"/>
    <mergeCell ref="AY182:AZ182"/>
    <mergeCell ref="BA182:BB182"/>
    <mergeCell ref="BC182:BD182"/>
    <mergeCell ref="BE182:BF182"/>
    <mergeCell ref="BG182:BH182"/>
    <mergeCell ref="BI182:BJ182"/>
    <mergeCell ref="BK182:BL182"/>
    <mergeCell ref="CE182:CF182"/>
    <mergeCell ref="CG182:CH182"/>
    <mergeCell ref="BQ182:BR182"/>
    <mergeCell ref="BS182:BT182"/>
    <mergeCell ref="BU182:BV182"/>
    <mergeCell ref="BW182:BX182"/>
    <mergeCell ref="BY182:BZ182"/>
    <mergeCell ref="CA182:CB182"/>
    <mergeCell ref="CC182:CD182"/>
    <mergeCell ref="AC183:AD183"/>
    <mergeCell ref="AE183:AF183"/>
    <mergeCell ref="CS155:CT155"/>
    <mergeCell ref="CU155:CV155"/>
    <mergeCell ref="CW155:CX155"/>
    <mergeCell ref="CY155:CZ155"/>
    <mergeCell ref="CS157:CT157"/>
    <mergeCell ref="CU157:CV157"/>
    <mergeCell ref="CW157:CX157"/>
    <mergeCell ref="CY157:CZ157"/>
    <mergeCell ref="CS153:CT153"/>
    <mergeCell ref="CU153:CV153"/>
    <mergeCell ref="CW153:CX153"/>
    <mergeCell ref="CY153:CZ153"/>
    <mergeCell ref="DU153:DU157"/>
    <mergeCell ref="DV153:DV157"/>
    <mergeCell ref="DW153:DW157"/>
    <mergeCell ref="CE153:CF153"/>
    <mergeCell ref="CG153:CH153"/>
    <mergeCell ref="CI153:CJ153"/>
    <mergeCell ref="CK153:CL153"/>
    <mergeCell ref="CM153:CN153"/>
    <mergeCell ref="CO153:CP153"/>
    <mergeCell ref="CQ153:CR153"/>
    <mergeCell ref="DX153:DX157"/>
    <mergeCell ref="DY153:DY157"/>
    <mergeCell ref="AC157:AD157"/>
    <mergeCell ref="AE157:AF157"/>
    <mergeCell ref="CK154:CL154"/>
    <mergeCell ref="CM154:CN154"/>
    <mergeCell ref="CW160:CX160"/>
    <mergeCell ref="CY160:CZ160"/>
    <mergeCell ref="CO161:CP161"/>
    <mergeCell ref="CQ161:CR161"/>
    <mergeCell ref="CS161:CT161"/>
    <mergeCell ref="CU161:CV161"/>
    <mergeCell ref="CW161:CX161"/>
    <mergeCell ref="CY161:CZ161"/>
    <mergeCell ref="CO163:CP163"/>
    <mergeCell ref="CQ163:CR163"/>
    <mergeCell ref="CM163:CN163"/>
    <mergeCell ref="CW163:CX163"/>
    <mergeCell ref="CG163:CH163"/>
    <mergeCell ref="CI163:CJ163"/>
    <mergeCell ref="CK163:CL163"/>
    <mergeCell ref="BG159:BH159"/>
    <mergeCell ref="CW182:CX182"/>
    <mergeCell ref="CY182:CZ182"/>
    <mergeCell ref="CS183:CT183"/>
    <mergeCell ref="CU183:CV183"/>
    <mergeCell ref="CW183:CX183"/>
    <mergeCell ref="CY183:CZ183"/>
    <mergeCell ref="CS181:CT181"/>
    <mergeCell ref="CU181:CV181"/>
    <mergeCell ref="CW181:CX181"/>
    <mergeCell ref="CY181:CZ181"/>
    <mergeCell ref="DU181:DU187"/>
    <mergeCell ref="DV181:DV187"/>
    <mergeCell ref="DW181:DW187"/>
    <mergeCell ref="CE183:CF183"/>
    <mergeCell ref="CG183:CH183"/>
    <mergeCell ref="BQ183:BR183"/>
    <mergeCell ref="BS183:BT183"/>
    <mergeCell ref="BU183:BV183"/>
    <mergeCell ref="BW183:BX183"/>
    <mergeCell ref="BY183:BZ183"/>
    <mergeCell ref="CA183:CB183"/>
    <mergeCell ref="CC183:CD183"/>
    <mergeCell ref="AC181:AD181"/>
    <mergeCell ref="AE181:AF181"/>
    <mergeCell ref="AS181:AT181"/>
    <mergeCell ref="AU181:AV181"/>
    <mergeCell ref="AW181:AX181"/>
    <mergeCell ref="AY181:AZ181"/>
    <mergeCell ref="BA181:BB181"/>
    <mergeCell ref="AS183:AT183"/>
    <mergeCell ref="BM183:BN183"/>
    <mergeCell ref="BO183:BP183"/>
    <mergeCell ref="AY183:AZ183"/>
    <mergeCell ref="BA183:BB183"/>
    <mergeCell ref="BC183:BD183"/>
    <mergeCell ref="BE183:BF183"/>
    <mergeCell ref="BG183:BH183"/>
    <mergeCell ref="BI183:BJ183"/>
    <mergeCell ref="BK183:BL183"/>
    <mergeCell ref="AG181:AH181"/>
    <mergeCell ref="AI181:AJ181"/>
    <mergeCell ref="AK181:AL181"/>
    <mergeCell ref="AM181:AN181"/>
    <mergeCell ref="AO181:AP181"/>
    <mergeCell ref="AQ181:AR181"/>
    <mergeCell ref="AU183:AV183"/>
    <mergeCell ref="AW183:AX183"/>
    <mergeCell ref="DZ181:DZ187"/>
    <mergeCell ref="EA181:EA187"/>
    <mergeCell ref="EB181:EB187"/>
    <mergeCell ref="EC181:EC187"/>
    <mergeCell ref="ED181:ED187"/>
    <mergeCell ref="EE181:EE187"/>
    <mergeCell ref="CE181:CF181"/>
    <mergeCell ref="CG181:CH181"/>
    <mergeCell ref="CI181:CJ181"/>
    <mergeCell ref="CK181:CL181"/>
    <mergeCell ref="CM181:CN181"/>
    <mergeCell ref="CO181:CP181"/>
    <mergeCell ref="CQ181:CR181"/>
    <mergeCell ref="O181:P181"/>
    <mergeCell ref="Q181:R181"/>
    <mergeCell ref="S181:T181"/>
    <mergeCell ref="U181:V181"/>
    <mergeCell ref="W181:X181"/>
    <mergeCell ref="Y181:Z181"/>
    <mergeCell ref="AA181:AB181"/>
    <mergeCell ref="BC181:BD181"/>
    <mergeCell ref="BE181:BF181"/>
    <mergeCell ref="BG181:BH181"/>
    <mergeCell ref="BI181:BJ181"/>
    <mergeCell ref="BK181:BL181"/>
    <mergeCell ref="BM181:BN181"/>
    <mergeCell ref="BO181:BP181"/>
    <mergeCell ref="BQ181:BR181"/>
    <mergeCell ref="BS181:BT181"/>
    <mergeCell ref="BU181:BV181"/>
    <mergeCell ref="BW181:BX181"/>
    <mergeCell ref="BY181:BZ181"/>
    <mergeCell ref="CA181:CB181"/>
    <mergeCell ref="CC181:CD181"/>
    <mergeCell ref="CM183:CN183"/>
    <mergeCell ref="CO183:CP183"/>
    <mergeCell ref="CI182:CJ182"/>
    <mergeCell ref="CK182:CL182"/>
    <mergeCell ref="CM182:CN182"/>
    <mergeCell ref="CO182:CP182"/>
    <mergeCell ref="CQ182:CR182"/>
    <mergeCell ref="CI183:CJ183"/>
    <mergeCell ref="CK183:CL183"/>
    <mergeCell ref="CQ183:CR183"/>
    <mergeCell ref="AC182:AD182"/>
    <mergeCell ref="AE182:AF182"/>
    <mergeCell ref="O182:P182"/>
    <mergeCell ref="Q182:R182"/>
    <mergeCell ref="S182:T182"/>
    <mergeCell ref="U182:V182"/>
    <mergeCell ref="AA182:AB182"/>
    <mergeCell ref="AU182:AV182"/>
    <mergeCell ref="AW182:AX182"/>
    <mergeCell ref="AG182:AH182"/>
    <mergeCell ref="AI182:AJ182"/>
    <mergeCell ref="AK182:AL182"/>
    <mergeCell ref="AM182:AN182"/>
    <mergeCell ref="AO182:AP182"/>
    <mergeCell ref="AQ182:AR182"/>
    <mergeCell ref="AS182:AT182"/>
    <mergeCell ref="BM182:BN182"/>
    <mergeCell ref="BO182:BP182"/>
    <mergeCell ref="CS182:CT182"/>
    <mergeCell ref="CU182:CV182"/>
    <mergeCell ref="AW228:AX228"/>
    <mergeCell ref="AY228:AZ228"/>
    <mergeCell ref="AI228:AJ228"/>
    <mergeCell ref="AK228:AL228"/>
    <mergeCell ref="AM228:AN228"/>
    <mergeCell ref="AO228:AP228"/>
    <mergeCell ref="AQ228:AR228"/>
    <mergeCell ref="AS228:AT228"/>
    <mergeCell ref="AU228:AV228"/>
    <mergeCell ref="BA228:BB228"/>
    <mergeCell ref="BC228:BD228"/>
    <mergeCell ref="BE228:BF228"/>
    <mergeCell ref="BG228:BH228"/>
    <mergeCell ref="BI228:BJ228"/>
    <mergeCell ref="BK228:BL228"/>
    <mergeCell ref="BM228:BN228"/>
    <mergeCell ref="AA226:AB226"/>
    <mergeCell ref="AC226:AD226"/>
    <mergeCell ref="AE226:AF226"/>
    <mergeCell ref="AG226:AH226"/>
    <mergeCell ref="AI226:AJ226"/>
    <mergeCell ref="CO228:CP228"/>
    <mergeCell ref="CQ228:CR228"/>
    <mergeCell ref="AA200:AB200"/>
    <mergeCell ref="AC200:AD200"/>
    <mergeCell ref="AE200:AF200"/>
    <mergeCell ref="AG200:AH200"/>
    <mergeCell ref="AI200:AJ200"/>
    <mergeCell ref="AK200:AL200"/>
    <mergeCell ref="CC226:CD226"/>
    <mergeCell ref="CC227:CD227"/>
    <mergeCell ref="CC228:CD228"/>
    <mergeCell ref="AM200:AN200"/>
    <mergeCell ref="AO200:AP200"/>
    <mergeCell ref="AQ200:AR200"/>
    <mergeCell ref="AS200:AT200"/>
    <mergeCell ref="AU200:AV200"/>
    <mergeCell ref="AW200:AX200"/>
    <mergeCell ref="AY200:AZ200"/>
    <mergeCell ref="BA200:BB200"/>
    <mergeCell ref="BC200:BD200"/>
    <mergeCell ref="BI200:BJ200"/>
    <mergeCell ref="BK200:BL200"/>
    <mergeCell ref="BM200:BN200"/>
    <mergeCell ref="BG207:BH207"/>
    <mergeCell ref="BI207:BJ207"/>
    <mergeCell ref="AS207:AT207"/>
    <mergeCell ref="AU207:AV207"/>
    <mergeCell ref="AW207:AX207"/>
    <mergeCell ref="AY207:AZ207"/>
    <mergeCell ref="BA207:BB207"/>
    <mergeCell ref="BC207:BD207"/>
    <mergeCell ref="BE207:BF207"/>
    <mergeCell ref="AO206:AP206"/>
    <mergeCell ref="AQ206:AR206"/>
    <mergeCell ref="BY206:BZ206"/>
    <mergeCell ref="CA206:CB206"/>
    <mergeCell ref="CC206:CD206"/>
    <mergeCell ref="BQ207:BR207"/>
    <mergeCell ref="BS207:BT207"/>
    <mergeCell ref="BU207:BV207"/>
    <mergeCell ref="BW207:BX207"/>
    <mergeCell ref="BY207:BZ207"/>
    <mergeCell ref="CA207:CB207"/>
    <mergeCell ref="CS228:CT228"/>
    <mergeCell ref="CU228:CV228"/>
    <mergeCell ref="CW228:CX228"/>
    <mergeCell ref="CY228:CZ228"/>
    <mergeCell ref="BO228:BP228"/>
    <mergeCell ref="BQ228:BR228"/>
    <mergeCell ref="CE228:CF228"/>
    <mergeCell ref="CG228:CH228"/>
    <mergeCell ref="CI228:CJ228"/>
    <mergeCell ref="CK228:CL228"/>
    <mergeCell ref="CM228:CN228"/>
    <mergeCell ref="CS227:CT227"/>
    <mergeCell ref="CU227:CV227"/>
    <mergeCell ref="CW227:CX227"/>
    <mergeCell ref="CY227:CZ227"/>
    <mergeCell ref="CE227:CF227"/>
    <mergeCell ref="CG227:CH227"/>
    <mergeCell ref="CI227:CJ227"/>
    <mergeCell ref="CK227:CL227"/>
    <mergeCell ref="CM227:CN227"/>
    <mergeCell ref="CO227:CP227"/>
    <mergeCell ref="CQ227:CR227"/>
    <mergeCell ref="CU229:CV229"/>
    <mergeCell ref="CW229:CX229"/>
    <mergeCell ref="CY229:CZ229"/>
    <mergeCell ref="BK229:BL229"/>
    <mergeCell ref="BM229:BN229"/>
    <mergeCell ref="CE229:CF229"/>
    <mergeCell ref="CG229:CH229"/>
    <mergeCell ref="CI229:CJ229"/>
    <mergeCell ref="CK229:CL229"/>
    <mergeCell ref="CM229:CN229"/>
    <mergeCell ref="CW232:CX232"/>
    <mergeCell ref="CY232:CZ232"/>
    <mergeCell ref="CI232:CJ232"/>
    <mergeCell ref="CK232:CL232"/>
    <mergeCell ref="CM232:CN232"/>
    <mergeCell ref="CO232:CP232"/>
    <mergeCell ref="CQ232:CR232"/>
    <mergeCell ref="CS232:CT232"/>
    <mergeCell ref="CU232:CV232"/>
    <mergeCell ref="CS230:CT230"/>
    <mergeCell ref="CU230:CV230"/>
    <mergeCell ref="CW230:CX230"/>
    <mergeCell ref="CY230:CZ230"/>
    <mergeCell ref="CE230:CF230"/>
    <mergeCell ref="CG230:CH230"/>
    <mergeCell ref="CI230:CJ230"/>
    <mergeCell ref="CK230:CL230"/>
    <mergeCell ref="CM230:CN230"/>
    <mergeCell ref="CO230:CP230"/>
    <mergeCell ref="CQ230:CR230"/>
    <mergeCell ref="CO231:CP231"/>
    <mergeCell ref="CQ231:CR231"/>
    <mergeCell ref="CS231:CT231"/>
    <mergeCell ref="CU231:CV231"/>
    <mergeCell ref="CW231:CX231"/>
    <mergeCell ref="CY231:CZ231"/>
    <mergeCell ref="BM231:BN231"/>
    <mergeCell ref="BO231:BP231"/>
    <mergeCell ref="CE231:CF231"/>
    <mergeCell ref="CG231:CH231"/>
    <mergeCell ref="CI231:CJ231"/>
    <mergeCell ref="CK231:CL231"/>
    <mergeCell ref="CM231:CN231"/>
    <mergeCell ref="AG231:AH231"/>
    <mergeCell ref="AI231:AJ231"/>
    <mergeCell ref="AK231:AL231"/>
    <mergeCell ref="AM231:AN231"/>
    <mergeCell ref="AO231:AP231"/>
    <mergeCell ref="AQ231:AR231"/>
    <mergeCell ref="AS231:AT231"/>
    <mergeCell ref="AG232:AH232"/>
    <mergeCell ref="AI232:AJ232"/>
    <mergeCell ref="AK232:AL232"/>
    <mergeCell ref="AM232:AN232"/>
    <mergeCell ref="AO232:AP232"/>
    <mergeCell ref="AQ232:AR232"/>
    <mergeCell ref="AS232:AT232"/>
    <mergeCell ref="AU232:AV232"/>
    <mergeCell ref="AW232:AX232"/>
    <mergeCell ref="AY232:AZ232"/>
    <mergeCell ref="BA232:BB232"/>
    <mergeCell ref="BC232:BD232"/>
    <mergeCell ref="BE232:BF232"/>
    <mergeCell ref="BG232:BH232"/>
    <mergeCell ref="BI232:BJ232"/>
    <mergeCell ref="BK232:BL232"/>
    <mergeCell ref="BM232:BN232"/>
    <mergeCell ref="BO232:BP232"/>
    <mergeCell ref="BQ232:BR232"/>
    <mergeCell ref="BS232:BT232"/>
    <mergeCell ref="BU232:BV232"/>
    <mergeCell ref="BW232:BX232"/>
    <mergeCell ref="BY232:BZ232"/>
    <mergeCell ref="AW231:AX231"/>
    <mergeCell ref="I226:J226"/>
    <mergeCell ref="K226:L226"/>
    <mergeCell ref="M226:N226"/>
    <mergeCell ref="O226:P226"/>
    <mergeCell ref="Q226:R226"/>
    <mergeCell ref="S226:T226"/>
    <mergeCell ref="U226:V226"/>
    <mergeCell ref="W227:X227"/>
    <mergeCell ref="Y227:Z227"/>
    <mergeCell ref="I227:J227"/>
    <mergeCell ref="K227:L227"/>
    <mergeCell ref="M227:N227"/>
    <mergeCell ref="O227:P227"/>
    <mergeCell ref="Q227:R227"/>
    <mergeCell ref="S227:T227"/>
    <mergeCell ref="U227:V227"/>
    <mergeCell ref="AW229:AX229"/>
    <mergeCell ref="AI229:AJ229"/>
    <mergeCell ref="AK229:AL229"/>
    <mergeCell ref="AM229:AN229"/>
    <mergeCell ref="AO229:AP229"/>
    <mergeCell ref="AQ229:AR229"/>
    <mergeCell ref="AS229:AT229"/>
    <mergeCell ref="AU229:AV229"/>
    <mergeCell ref="I232:J232"/>
    <mergeCell ref="K232:L232"/>
    <mergeCell ref="M232:N232"/>
    <mergeCell ref="O232:P232"/>
    <mergeCell ref="Q232:R232"/>
    <mergeCell ref="S232:T232"/>
    <mergeCell ref="U232:V232"/>
    <mergeCell ref="BI230:BJ230"/>
    <mergeCell ref="AW230:AX230"/>
    <mergeCell ref="W226:X226"/>
    <mergeCell ref="Y226:Z226"/>
    <mergeCell ref="AY231:AZ231"/>
    <mergeCell ref="BA231:BB231"/>
    <mergeCell ref="BC231:BD231"/>
    <mergeCell ref="BE231:BF231"/>
    <mergeCell ref="BG231:BH231"/>
    <mergeCell ref="BI231:BJ231"/>
    <mergeCell ref="BK231:BL231"/>
    <mergeCell ref="AO227:AP227"/>
    <mergeCell ref="AQ227:AR227"/>
    <mergeCell ref="AA227:AB227"/>
    <mergeCell ref="AC227:AD227"/>
    <mergeCell ref="AE227:AF227"/>
    <mergeCell ref="AG227:AH227"/>
    <mergeCell ref="AI227:AJ227"/>
    <mergeCell ref="AK227:AL227"/>
    <mergeCell ref="AM227:AN227"/>
    <mergeCell ref="BG227:BH227"/>
    <mergeCell ref="BI227:BJ227"/>
    <mergeCell ref="AS227:AT227"/>
    <mergeCell ref="AU227:AV227"/>
    <mergeCell ref="AW227:AX227"/>
    <mergeCell ref="AY227:AZ227"/>
    <mergeCell ref="BA227:BB227"/>
    <mergeCell ref="BC227:BD227"/>
    <mergeCell ref="BE227:BF227"/>
    <mergeCell ref="AK226:AL226"/>
    <mergeCell ref="AM226:AN226"/>
    <mergeCell ref="AO226:AP226"/>
    <mergeCell ref="CA226:CB226"/>
    <mergeCell ref="BS228:BT228"/>
    <mergeCell ref="BU228:BV228"/>
    <mergeCell ref="BW228:BX228"/>
    <mergeCell ref="BY228:BZ228"/>
    <mergeCell ref="CA228:CB228"/>
    <mergeCell ref="BM226:BN226"/>
    <mergeCell ref="BO226:BP226"/>
    <mergeCell ref="BQ226:BR226"/>
    <mergeCell ref="BS226:BT226"/>
    <mergeCell ref="BU226:BV226"/>
    <mergeCell ref="BW226:BX226"/>
    <mergeCell ref="BY226:BZ226"/>
    <mergeCell ref="AY226:AZ226"/>
    <mergeCell ref="BA226:BB226"/>
    <mergeCell ref="BC226:BD226"/>
    <mergeCell ref="BE226:BF226"/>
    <mergeCell ref="BG226:BH226"/>
    <mergeCell ref="BI226:BJ226"/>
    <mergeCell ref="BK226:BL226"/>
    <mergeCell ref="BQ231:BR231"/>
    <mergeCell ref="BS231:BT231"/>
    <mergeCell ref="BU231:BV231"/>
    <mergeCell ref="BW231:BX231"/>
    <mergeCell ref="BY231:BZ231"/>
    <mergeCell ref="CA231:CB231"/>
    <mergeCell ref="AQ226:AR226"/>
    <mergeCell ref="AS226:AT226"/>
    <mergeCell ref="AU226:AV226"/>
    <mergeCell ref="AW226:AX226"/>
    <mergeCell ref="BO227:BP227"/>
    <mergeCell ref="BQ227:BR227"/>
    <mergeCell ref="BS227:BT227"/>
    <mergeCell ref="CC231:CD231"/>
    <mergeCell ref="BQ229:BR229"/>
    <mergeCell ref="BS229:BT229"/>
    <mergeCell ref="BU229:BV229"/>
    <mergeCell ref="BW229:BX229"/>
    <mergeCell ref="BY229:BZ229"/>
    <mergeCell ref="CA229:CB229"/>
    <mergeCell ref="CC229:CD229"/>
    <mergeCell ref="AY229:AZ229"/>
    <mergeCell ref="BA229:BB229"/>
    <mergeCell ref="BC229:BD229"/>
    <mergeCell ref="BE229:BF229"/>
    <mergeCell ref="BG229:BH229"/>
    <mergeCell ref="BI229:BJ229"/>
    <mergeCell ref="BY227:BZ227"/>
    <mergeCell ref="CA227:CB227"/>
    <mergeCell ref="BK227:BL227"/>
    <mergeCell ref="BM227:BN227"/>
    <mergeCell ref="BM230:BN230"/>
    <mergeCell ref="BO230:BP230"/>
    <mergeCell ref="BO229:BP229"/>
    <mergeCell ref="AY230:AZ230"/>
    <mergeCell ref="BA230:BB230"/>
    <mergeCell ref="BC230:BD230"/>
    <mergeCell ref="BE230:BF230"/>
    <mergeCell ref="BG230:BH230"/>
    <mergeCell ref="BQ230:BR230"/>
    <mergeCell ref="BS230:BT230"/>
    <mergeCell ref="BU230:BV230"/>
    <mergeCell ref="BW230:BX230"/>
    <mergeCell ref="BY230:BZ230"/>
    <mergeCell ref="CA230:CB230"/>
    <mergeCell ref="CC230:CD230"/>
    <mergeCell ref="BK230:BL230"/>
    <mergeCell ref="BU227:BV227"/>
    <mergeCell ref="BW227:BX227"/>
    <mergeCell ref="W235:X235"/>
    <mergeCell ref="Y235:Z235"/>
    <mergeCell ref="I235:J235"/>
    <mergeCell ref="K235:L235"/>
    <mergeCell ref="M235:N235"/>
    <mergeCell ref="O235:P235"/>
    <mergeCell ref="Q235:R235"/>
    <mergeCell ref="S235:T235"/>
    <mergeCell ref="U235:V235"/>
    <mergeCell ref="CI235:CJ235"/>
    <mergeCell ref="W234:X234"/>
    <mergeCell ref="Y234:Z234"/>
    <mergeCell ref="AA234:AB234"/>
    <mergeCell ref="AC234:AD234"/>
    <mergeCell ref="AE234:AF234"/>
    <mergeCell ref="AG234:AH234"/>
    <mergeCell ref="AI234:AJ234"/>
    <mergeCell ref="I234:J234"/>
    <mergeCell ref="K234:L234"/>
    <mergeCell ref="M234:N234"/>
    <mergeCell ref="O234:P234"/>
    <mergeCell ref="Q234:R234"/>
    <mergeCell ref="S234:T234"/>
    <mergeCell ref="U234:V234"/>
    <mergeCell ref="BG338:BH338"/>
    <mergeCell ref="BI338:BJ338"/>
    <mergeCell ref="BK338:BL338"/>
    <mergeCell ref="AK339:AL339"/>
    <mergeCell ref="AM339:AN339"/>
    <mergeCell ref="W339:X339"/>
    <mergeCell ref="Y339:Z339"/>
    <mergeCell ref="AA339:AB339"/>
    <mergeCell ref="AC339:AD339"/>
    <mergeCell ref="AE339:AF339"/>
    <mergeCell ref="AG339:AH339"/>
    <mergeCell ref="AI339:AJ339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Z336"/>
    <mergeCell ref="AA336:AB336"/>
    <mergeCell ref="AC336:AD336"/>
    <mergeCell ref="I338:J338"/>
    <mergeCell ref="K338:L338"/>
    <mergeCell ref="M338:N338"/>
    <mergeCell ref="O338:P338"/>
    <mergeCell ref="Q338:R338"/>
    <mergeCell ref="S338:T338"/>
    <mergeCell ref="U338:V338"/>
    <mergeCell ref="W338:X338"/>
    <mergeCell ref="Y338:Z338"/>
    <mergeCell ref="AA338:AB338"/>
    <mergeCell ref="AC338:AD338"/>
    <mergeCell ref="AE338:AF338"/>
    <mergeCell ref="AG338:AH338"/>
    <mergeCell ref="AI338:AJ338"/>
    <mergeCell ref="W240:X240"/>
    <mergeCell ref="Y240:Z240"/>
    <mergeCell ref="I240:J240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Z352"/>
    <mergeCell ref="AA352:AB352"/>
    <mergeCell ref="AC352:AD352"/>
    <mergeCell ref="AE352:AF352"/>
    <mergeCell ref="AG352:AH352"/>
    <mergeCell ref="AI352:AJ352"/>
    <mergeCell ref="BM352:BN352"/>
    <mergeCell ref="BO352:BP352"/>
    <mergeCell ref="B348:B353"/>
    <mergeCell ref="C348:C353"/>
    <mergeCell ref="D348:D353"/>
    <mergeCell ref="E348:E353"/>
    <mergeCell ref="F348:F353"/>
    <mergeCell ref="I348:J348"/>
    <mergeCell ref="K348:L348"/>
    <mergeCell ref="I353:J353"/>
    <mergeCell ref="K353:L353"/>
    <mergeCell ref="M353:N353"/>
    <mergeCell ref="O353:P353"/>
    <mergeCell ref="Q353:R353"/>
    <mergeCell ref="S353:T353"/>
    <mergeCell ref="U353:V353"/>
    <mergeCell ref="AK352:AL352"/>
    <mergeCell ref="AM352:AN352"/>
    <mergeCell ref="AO352:AP352"/>
    <mergeCell ref="AQ352:AR352"/>
    <mergeCell ref="AS352:AT352"/>
    <mergeCell ref="AU352:AV352"/>
    <mergeCell ref="AW352:AX352"/>
    <mergeCell ref="BG353:BH353"/>
    <mergeCell ref="BI353:BJ353"/>
    <mergeCell ref="BK353:BL353"/>
    <mergeCell ref="BM353:BN353"/>
    <mergeCell ref="BO353:BP353"/>
    <mergeCell ref="AY352:AZ352"/>
    <mergeCell ref="BA352:BB352"/>
    <mergeCell ref="BC352:BD352"/>
    <mergeCell ref="BE352:BF352"/>
    <mergeCell ref="BG352:BH352"/>
    <mergeCell ref="BI352:BJ352"/>
    <mergeCell ref="BK352:BL352"/>
    <mergeCell ref="W349:X349"/>
    <mergeCell ref="Y349:Z349"/>
    <mergeCell ref="I349:J349"/>
    <mergeCell ref="K349:L349"/>
    <mergeCell ref="M349:N349"/>
    <mergeCell ref="O349:P349"/>
    <mergeCell ref="Q349:R349"/>
    <mergeCell ref="S349:T349"/>
    <mergeCell ref="U349:V349"/>
    <mergeCell ref="AI350:AJ350"/>
    <mergeCell ref="AK350:AL350"/>
    <mergeCell ref="AM350:AN350"/>
    <mergeCell ref="AO350:AP350"/>
    <mergeCell ref="AQ350:AR350"/>
    <mergeCell ref="AS350:AT350"/>
    <mergeCell ref="I363:J363"/>
    <mergeCell ref="K363:L363"/>
    <mergeCell ref="M363:N363"/>
    <mergeCell ref="O363:P363"/>
    <mergeCell ref="Q363:R363"/>
    <mergeCell ref="S363:T363"/>
    <mergeCell ref="U363:V363"/>
    <mergeCell ref="CE363:CF363"/>
    <mergeCell ref="CG363:CH363"/>
    <mergeCell ref="CI363:CJ363"/>
    <mergeCell ref="CK363:CL363"/>
    <mergeCell ref="CM363:CN363"/>
    <mergeCell ref="CO363:CP363"/>
    <mergeCell ref="CQ363:CR363"/>
    <mergeCell ref="BQ363:BR363"/>
    <mergeCell ref="BS363:BT363"/>
    <mergeCell ref="BU363:BV363"/>
    <mergeCell ref="BW363:BX363"/>
    <mergeCell ref="BY363:BZ363"/>
    <mergeCell ref="CA363:CB363"/>
    <mergeCell ref="CC363:CD363"/>
    <mergeCell ref="CE370:CF370"/>
    <mergeCell ref="CG370:CH370"/>
    <mergeCell ref="CI370:CJ370"/>
    <mergeCell ref="CK370:CL370"/>
    <mergeCell ref="CM370:CN370"/>
    <mergeCell ref="CO370:CP370"/>
    <mergeCell ref="CQ370:CR370"/>
    <mergeCell ref="BQ370:BR370"/>
    <mergeCell ref="BS370:BT370"/>
    <mergeCell ref="BU370:BV370"/>
    <mergeCell ref="BW370:BX370"/>
    <mergeCell ref="BY370:BZ370"/>
    <mergeCell ref="CA370:CB370"/>
    <mergeCell ref="CC370:CD370"/>
    <mergeCell ref="BM370:BN370"/>
    <mergeCell ref="BO370:BP370"/>
    <mergeCell ref="BG370:BH370"/>
    <mergeCell ref="BI370:BJ370"/>
    <mergeCell ref="BK370:BL370"/>
    <mergeCell ref="AU363:AV363"/>
    <mergeCell ref="AW363:AX363"/>
    <mergeCell ref="AY363:AZ363"/>
    <mergeCell ref="BA363:BB363"/>
    <mergeCell ref="BC363:BD363"/>
    <mergeCell ref="BE363:BF363"/>
    <mergeCell ref="BC365:BD365"/>
    <mergeCell ref="BE365:BF365"/>
    <mergeCell ref="AO365:AP365"/>
    <mergeCell ref="AQ365:AR365"/>
    <mergeCell ref="AS365:AT365"/>
    <mergeCell ref="AU365:AV365"/>
    <mergeCell ref="AW365:AX365"/>
    <mergeCell ref="AY365:AZ365"/>
    <mergeCell ref="BA365:BB365"/>
    <mergeCell ref="CE365:CF365"/>
    <mergeCell ref="CG365:CH365"/>
    <mergeCell ref="CG364:CH364"/>
    <mergeCell ref="CI364:CJ364"/>
    <mergeCell ref="CK364:CL364"/>
    <mergeCell ref="CM364:CN364"/>
    <mergeCell ref="CO364:CP364"/>
    <mergeCell ref="CQ364:CR364"/>
    <mergeCell ref="BQ364:BR364"/>
    <mergeCell ref="EC369:EC372"/>
    <mergeCell ref="ED369:ED372"/>
    <mergeCell ref="EE369:EE372"/>
    <mergeCell ref="BQ369:BR369"/>
    <mergeCell ref="BS369:BT369"/>
    <mergeCell ref="BU369:BV369"/>
    <mergeCell ref="BW369:BX369"/>
    <mergeCell ref="BY369:BZ369"/>
    <mergeCell ref="CA369:CB369"/>
    <mergeCell ref="CC369:CD369"/>
    <mergeCell ref="CS370:CT370"/>
    <mergeCell ref="CU370:CV370"/>
    <mergeCell ref="CW370:CX370"/>
    <mergeCell ref="CY370:CZ370"/>
    <mergeCell ref="BQ371:BR371"/>
    <mergeCell ref="BS371:BT371"/>
    <mergeCell ref="BU371:BV371"/>
    <mergeCell ref="BW371:BX371"/>
    <mergeCell ref="BY371:BZ371"/>
    <mergeCell ref="CA371:CB371"/>
    <mergeCell ref="CC371:CD371"/>
    <mergeCell ref="CI372:CJ372"/>
    <mergeCell ref="CK372:CL372"/>
    <mergeCell ref="CM372:CN372"/>
    <mergeCell ref="CO372:CP372"/>
    <mergeCell ref="CQ372:CR372"/>
    <mergeCell ref="CE371:CF371"/>
    <mergeCell ref="CG371:CH371"/>
    <mergeCell ref="CI371:CJ371"/>
    <mergeCell ref="CK371:CL371"/>
    <mergeCell ref="CM371:CN371"/>
    <mergeCell ref="CO371:CP371"/>
    <mergeCell ref="CQ371:CR371"/>
    <mergeCell ref="CS371:CT371"/>
    <mergeCell ref="CU371:CV371"/>
    <mergeCell ref="CW371:CX371"/>
    <mergeCell ref="CY371:CZ371"/>
    <mergeCell ref="CS372:CT372"/>
    <mergeCell ref="CU372:CV372"/>
    <mergeCell ref="CW372:CX372"/>
    <mergeCell ref="CY372:CZ372"/>
    <mergeCell ref="CS369:CT369"/>
    <mergeCell ref="CU369:CV369"/>
    <mergeCell ref="CW369:CX369"/>
    <mergeCell ref="CY369:CZ369"/>
    <mergeCell ref="DU369:DU372"/>
    <mergeCell ref="DV369:DV372"/>
    <mergeCell ref="DW369:DW372"/>
    <mergeCell ref="CE372:CF372"/>
    <mergeCell ref="CG372:CH372"/>
    <mergeCell ref="BQ372:BR372"/>
    <mergeCell ref="BS372:BT372"/>
    <mergeCell ref="BU372:BV372"/>
    <mergeCell ref="BW372:BX372"/>
    <mergeCell ref="BY372:BZ372"/>
    <mergeCell ref="CA372:CB372"/>
    <mergeCell ref="CC372:CD372"/>
    <mergeCell ref="CE369:CF369"/>
    <mergeCell ref="CG369:CH369"/>
    <mergeCell ref="CI369:CJ369"/>
    <mergeCell ref="CK369:CL369"/>
    <mergeCell ref="CM369:CN369"/>
    <mergeCell ref="CO369:CP369"/>
    <mergeCell ref="CQ369:CR369"/>
    <mergeCell ref="BE372:BF372"/>
    <mergeCell ref="AO372:AP372"/>
    <mergeCell ref="AQ372:AR372"/>
    <mergeCell ref="AS372:AT372"/>
    <mergeCell ref="AU372:AV372"/>
    <mergeCell ref="AW372:AX372"/>
    <mergeCell ref="AY372:AZ372"/>
    <mergeCell ref="BA372:BB372"/>
    <mergeCell ref="W370:X370"/>
    <mergeCell ref="Y370:Z370"/>
    <mergeCell ref="AA370:AB370"/>
    <mergeCell ref="AC370:AD370"/>
    <mergeCell ref="AE370:AF370"/>
    <mergeCell ref="AG370:AH370"/>
    <mergeCell ref="AI370:AJ370"/>
    <mergeCell ref="AK370:AL370"/>
    <mergeCell ref="AM370:AN370"/>
    <mergeCell ref="AO370:AP370"/>
    <mergeCell ref="AQ370:AR370"/>
    <mergeCell ref="AS370:AT370"/>
    <mergeCell ref="AU370:AV370"/>
    <mergeCell ref="AW370:AX370"/>
    <mergeCell ref="I370:J370"/>
    <mergeCell ref="K370:L370"/>
    <mergeCell ref="M370:N370"/>
    <mergeCell ref="O370:P370"/>
    <mergeCell ref="Q370:R370"/>
    <mergeCell ref="S370:T370"/>
    <mergeCell ref="U370:V370"/>
    <mergeCell ref="AY370:AZ370"/>
    <mergeCell ref="BA370:BB370"/>
    <mergeCell ref="BC370:BD370"/>
    <mergeCell ref="BE370:BF370"/>
    <mergeCell ref="I372:J372"/>
    <mergeCell ref="K372:L372"/>
    <mergeCell ref="M372:N372"/>
    <mergeCell ref="O372:P372"/>
    <mergeCell ref="Q372:R372"/>
    <mergeCell ref="S372:T372"/>
    <mergeCell ref="U372:V372"/>
    <mergeCell ref="AY371:AZ371"/>
    <mergeCell ref="BA371:BB371"/>
    <mergeCell ref="AK371:AL371"/>
    <mergeCell ref="AM371:AN371"/>
    <mergeCell ref="AO371:AP371"/>
    <mergeCell ref="AQ371:AR371"/>
    <mergeCell ref="AS371:AT371"/>
    <mergeCell ref="AU371:AV371"/>
    <mergeCell ref="BC371:BD371"/>
    <mergeCell ref="BE371:BF371"/>
    <mergeCell ref="W353:X353"/>
    <mergeCell ref="Y353:Z353"/>
    <mergeCell ref="AA353:AB353"/>
    <mergeCell ref="AC353:AD353"/>
    <mergeCell ref="AE353:AF353"/>
    <mergeCell ref="AG353:AH353"/>
    <mergeCell ref="AI353:AJ353"/>
    <mergeCell ref="M355:N355"/>
    <mergeCell ref="O355:P355"/>
    <mergeCell ref="Q355:R355"/>
    <mergeCell ref="S355:T355"/>
    <mergeCell ref="U355:V355"/>
    <mergeCell ref="W355:X355"/>
    <mergeCell ref="Y355:Z355"/>
    <mergeCell ref="AA355:AB355"/>
    <mergeCell ref="AC355:AD355"/>
    <mergeCell ref="AE355:AF355"/>
    <mergeCell ref="AG355:AH355"/>
    <mergeCell ref="AI355:AJ355"/>
    <mergeCell ref="AK355:AL355"/>
    <mergeCell ref="AM355:AN355"/>
    <mergeCell ref="AO355:AP355"/>
    <mergeCell ref="AQ355:AR355"/>
    <mergeCell ref="AS355:AT355"/>
    <mergeCell ref="AU355:AV355"/>
    <mergeCell ref="AW355:AX355"/>
    <mergeCell ref="AY355:AZ355"/>
    <mergeCell ref="BA355:BB355"/>
    <mergeCell ref="BK356:BL356"/>
    <mergeCell ref="BM356:BN356"/>
    <mergeCell ref="BO356:BP356"/>
    <mergeCell ref="BC355:BD355"/>
    <mergeCell ref="BE355:BF355"/>
    <mergeCell ref="BG355:BH355"/>
    <mergeCell ref="BI355:BJ355"/>
    <mergeCell ref="BK355:BL355"/>
    <mergeCell ref="BM355:BN355"/>
    <mergeCell ref="BO355:BP355"/>
    <mergeCell ref="AO356:AP356"/>
    <mergeCell ref="AQ356:AR356"/>
    <mergeCell ref="AA356:AB356"/>
    <mergeCell ref="AC356:AD356"/>
    <mergeCell ref="AE356:AF356"/>
    <mergeCell ref="AG356:AH356"/>
    <mergeCell ref="AI356:AJ356"/>
    <mergeCell ref="AK356:AL356"/>
    <mergeCell ref="AM356:AN356"/>
    <mergeCell ref="BG356:BH356"/>
    <mergeCell ref="BI356:BJ356"/>
    <mergeCell ref="AS356:AT356"/>
    <mergeCell ref="AU356:AV356"/>
    <mergeCell ref="AW356:AX356"/>
    <mergeCell ref="AY356:AZ356"/>
    <mergeCell ref="BA356:BB356"/>
    <mergeCell ref="BC356:BD356"/>
    <mergeCell ref="BE356:BF356"/>
    <mergeCell ref="W356:X356"/>
    <mergeCell ref="Y356:Z356"/>
    <mergeCell ref="AY362:AZ362"/>
    <mergeCell ref="BA362:BB362"/>
    <mergeCell ref="BK363:BL363"/>
    <mergeCell ref="BM363:BN363"/>
    <mergeCell ref="BO363:BP363"/>
    <mergeCell ref="BC362:BD362"/>
    <mergeCell ref="BE362:BF362"/>
    <mergeCell ref="BG362:BH362"/>
    <mergeCell ref="BI362:BJ362"/>
    <mergeCell ref="BK362:BL362"/>
    <mergeCell ref="BM362:BN362"/>
    <mergeCell ref="BO362:BP362"/>
    <mergeCell ref="W358:X358"/>
    <mergeCell ref="Y358:Z358"/>
    <mergeCell ref="AA358:AB358"/>
    <mergeCell ref="AC358:AD358"/>
    <mergeCell ref="AE358:AF358"/>
    <mergeCell ref="AG358:AH358"/>
    <mergeCell ref="M358:N358"/>
    <mergeCell ref="O358:P358"/>
    <mergeCell ref="Q358:R358"/>
    <mergeCell ref="S358:T358"/>
    <mergeCell ref="U358:V358"/>
    <mergeCell ref="M359:N359"/>
    <mergeCell ref="O359:P359"/>
    <mergeCell ref="Q359:R359"/>
    <mergeCell ref="S359:T359"/>
    <mergeCell ref="U359:V359"/>
    <mergeCell ref="W359:X359"/>
    <mergeCell ref="Y359:Z359"/>
    <mergeCell ref="AA359:AB359"/>
    <mergeCell ref="AC359:AD359"/>
    <mergeCell ref="AE359:AF359"/>
    <mergeCell ref="AG359:AH359"/>
    <mergeCell ref="AO363:AP363"/>
    <mergeCell ref="AQ363:AR363"/>
    <mergeCell ref="AA363:AB363"/>
    <mergeCell ref="AC363:AD363"/>
    <mergeCell ref="AE363:AF363"/>
    <mergeCell ref="AG363:AH363"/>
    <mergeCell ref="AI363:AJ363"/>
    <mergeCell ref="AK363:AL363"/>
    <mergeCell ref="AM363:AN363"/>
    <mergeCell ref="BG363:BH363"/>
    <mergeCell ref="BI363:BJ363"/>
    <mergeCell ref="AS363:AT363"/>
    <mergeCell ref="W363:X363"/>
    <mergeCell ref="Y363:Z363"/>
    <mergeCell ref="AI359:AJ359"/>
    <mergeCell ref="BM359:BN359"/>
    <mergeCell ref="BO359:BP359"/>
    <mergeCell ref="BK359:BL359"/>
    <mergeCell ref="DU378:DU385"/>
    <mergeCell ref="DV378:DV385"/>
    <mergeCell ref="DW378:DW385"/>
    <mergeCell ref="CE378:CF378"/>
    <mergeCell ref="CG378:CH378"/>
    <mergeCell ref="CI378:CJ378"/>
    <mergeCell ref="CK378:CL378"/>
    <mergeCell ref="CM378:CN378"/>
    <mergeCell ref="CO378:CP378"/>
    <mergeCell ref="CQ378:CR378"/>
    <mergeCell ref="DX378:DX385"/>
    <mergeCell ref="DY378:DY385"/>
    <mergeCell ref="DZ378:DZ385"/>
    <mergeCell ref="EA378:EA385"/>
    <mergeCell ref="EB378:EB385"/>
    <mergeCell ref="EC378:EC385"/>
    <mergeCell ref="CC375:CD375"/>
    <mergeCell ref="CE375:CF375"/>
    <mergeCell ref="CG375:CH375"/>
    <mergeCell ref="CI375:CJ375"/>
    <mergeCell ref="CK375:CL375"/>
    <mergeCell ref="CM375:CN375"/>
    <mergeCell ref="CO375:CP375"/>
    <mergeCell ref="CQ375:CR375"/>
    <mergeCell ref="BG379:BH379"/>
    <mergeCell ref="BI379:BJ379"/>
    <mergeCell ref="AS379:AT379"/>
    <mergeCell ref="AU379:AV379"/>
    <mergeCell ref="AW379:AX379"/>
    <mergeCell ref="AY379:AZ379"/>
    <mergeCell ref="BA379:BB379"/>
    <mergeCell ref="BC379:BD379"/>
    <mergeCell ref="BE379:BF379"/>
    <mergeCell ref="BY375:BZ375"/>
    <mergeCell ref="CA375:CB375"/>
    <mergeCell ref="BK375:BL375"/>
    <mergeCell ref="BM375:BN375"/>
    <mergeCell ref="BO375:BP375"/>
    <mergeCell ref="BQ375:BR375"/>
    <mergeCell ref="BS375:BT375"/>
    <mergeCell ref="BU375:BV375"/>
    <mergeCell ref="BW375:BX375"/>
    <mergeCell ref="CI379:CJ379"/>
    <mergeCell ref="CK379:CL379"/>
    <mergeCell ref="CM379:CN379"/>
    <mergeCell ref="CO379:CP379"/>
    <mergeCell ref="CQ379:CR379"/>
    <mergeCell ref="BK379:BL379"/>
    <mergeCell ref="BM379:BN379"/>
    <mergeCell ref="BO379:BP379"/>
    <mergeCell ref="CE379:CF379"/>
    <mergeCell ref="CG379:CH379"/>
    <mergeCell ref="BQ379:BR379"/>
    <mergeCell ref="BS379:BT379"/>
    <mergeCell ref="BU379:BV379"/>
    <mergeCell ref="BW379:BX379"/>
    <mergeCell ref="BY379:BZ379"/>
    <mergeCell ref="CA379:CB379"/>
    <mergeCell ref="CC379:CD379"/>
    <mergeCell ref="CE376:CF376"/>
    <mergeCell ref="EC374:EC376"/>
    <mergeCell ref="CE374:CF374"/>
    <mergeCell ref="DS380:DT380"/>
    <mergeCell ref="AQ380:AR380"/>
    <mergeCell ref="AS380:AT380"/>
    <mergeCell ref="AU380:AV380"/>
    <mergeCell ref="AW380:AX380"/>
    <mergeCell ref="BM380:BN380"/>
    <mergeCell ref="BO380:BP380"/>
    <mergeCell ref="AY380:AZ380"/>
    <mergeCell ref="BA380:BB380"/>
    <mergeCell ref="BC380:BD380"/>
    <mergeCell ref="BE380:BF380"/>
    <mergeCell ref="BG380:BH380"/>
    <mergeCell ref="BI380:BJ380"/>
    <mergeCell ref="BK380:BL380"/>
    <mergeCell ref="AA379:AB379"/>
    <mergeCell ref="AC379:AD379"/>
    <mergeCell ref="AE379:AF379"/>
    <mergeCell ref="AG379:AH379"/>
    <mergeCell ref="AI379:AJ379"/>
    <mergeCell ref="AK379:AL379"/>
    <mergeCell ref="AM379:AN379"/>
    <mergeCell ref="AK372:AL372"/>
    <mergeCell ref="AM372:AN372"/>
    <mergeCell ref="W372:X372"/>
    <mergeCell ref="Y372:Z372"/>
    <mergeCell ref="AA372:AB372"/>
    <mergeCell ref="AC372:AD372"/>
    <mergeCell ref="AE372:AF372"/>
    <mergeCell ref="AG372:AH372"/>
    <mergeCell ref="AI372:AJ372"/>
    <mergeCell ref="CS380:CT380"/>
    <mergeCell ref="CU380:CV380"/>
    <mergeCell ref="CW380:CX380"/>
    <mergeCell ref="CY380:CZ380"/>
    <mergeCell ref="CS378:CT378"/>
    <mergeCell ref="CU378:CV378"/>
    <mergeCell ref="CW378:CX378"/>
    <mergeCell ref="CY378:CZ378"/>
    <mergeCell ref="BG372:BH372"/>
    <mergeCell ref="BI372:BJ372"/>
    <mergeCell ref="BK372:BL372"/>
    <mergeCell ref="BM372:BN372"/>
    <mergeCell ref="BO372:BP372"/>
    <mergeCell ref="CG374:CH374"/>
    <mergeCell ref="CI374:CJ374"/>
    <mergeCell ref="CK374:CL374"/>
    <mergeCell ref="CM374:CN374"/>
    <mergeCell ref="CO374:CP374"/>
    <mergeCell ref="CQ374:CR374"/>
    <mergeCell ref="AA374:AB374"/>
    <mergeCell ref="AC374:AD374"/>
    <mergeCell ref="AE374:AF374"/>
    <mergeCell ref="AG374:AH374"/>
    <mergeCell ref="AI374:AJ374"/>
    <mergeCell ref="AK374:AL374"/>
    <mergeCell ref="AM374:AN374"/>
    <mergeCell ref="AO374:AP374"/>
    <mergeCell ref="AQ374:AR374"/>
    <mergeCell ref="AS374:AT374"/>
    <mergeCell ref="AU374:AV374"/>
    <mergeCell ref="AW374:AX374"/>
    <mergeCell ref="AY374:AZ374"/>
    <mergeCell ref="BA374:BB374"/>
    <mergeCell ref="BC374:BD374"/>
    <mergeCell ref="BE374:BF374"/>
    <mergeCell ref="AC396:AD396"/>
    <mergeCell ref="AE396:AF396"/>
    <mergeCell ref="AG396:AH396"/>
    <mergeCell ref="AI396:AJ396"/>
    <mergeCell ref="AK396:AL396"/>
    <mergeCell ref="AM396:AN396"/>
    <mergeCell ref="AO396:AP396"/>
    <mergeCell ref="AQ396:AR396"/>
    <mergeCell ref="AS396:AT396"/>
    <mergeCell ref="AU396:AV396"/>
    <mergeCell ref="AW396:AX396"/>
    <mergeCell ref="AY396:AZ396"/>
    <mergeCell ref="BA396:BB396"/>
    <mergeCell ref="B396:B405"/>
    <mergeCell ref="C396:C405"/>
    <mergeCell ref="D396:D405"/>
    <mergeCell ref="E396:E405"/>
    <mergeCell ref="F396:F405"/>
    <mergeCell ref="AO379:AP379"/>
    <mergeCell ref="AQ379:AR379"/>
    <mergeCell ref="ED378:ED385"/>
    <mergeCell ref="EE378:EE385"/>
    <mergeCell ref="BQ378:BR378"/>
    <mergeCell ref="BS378:BT378"/>
    <mergeCell ref="BU378:BV378"/>
    <mergeCell ref="BW378:BX378"/>
    <mergeCell ref="BY378:BZ378"/>
    <mergeCell ref="CA378:CB378"/>
    <mergeCell ref="CC378:CD378"/>
    <mergeCell ref="CS379:CT379"/>
    <mergeCell ref="CU379:CV379"/>
    <mergeCell ref="CW379:CX379"/>
    <mergeCell ref="CY379:CZ379"/>
    <mergeCell ref="CE380:CF380"/>
    <mergeCell ref="CG380:CH380"/>
    <mergeCell ref="CI380:CJ380"/>
    <mergeCell ref="CK380:CL380"/>
    <mergeCell ref="CM380:CN380"/>
    <mergeCell ref="CO380:CP380"/>
    <mergeCell ref="CQ380:CR380"/>
    <mergeCell ref="BQ380:BR380"/>
    <mergeCell ref="BS380:BT380"/>
    <mergeCell ref="BU380:BV380"/>
    <mergeCell ref="BW380:BX380"/>
    <mergeCell ref="BY380:BZ380"/>
    <mergeCell ref="CA380:CB380"/>
    <mergeCell ref="CC380:CD380"/>
    <mergeCell ref="I380:J380"/>
    <mergeCell ref="K380:L380"/>
    <mergeCell ref="M380:N380"/>
    <mergeCell ref="O380:P380"/>
    <mergeCell ref="Q380:R380"/>
    <mergeCell ref="S380:T380"/>
    <mergeCell ref="U380:V380"/>
    <mergeCell ref="W380:X380"/>
    <mergeCell ref="Y380:Z380"/>
    <mergeCell ref="AA380:AB380"/>
    <mergeCell ref="AC380:AD380"/>
    <mergeCell ref="AE380:AF380"/>
    <mergeCell ref="AG380:AH380"/>
    <mergeCell ref="AI380:AJ380"/>
    <mergeCell ref="AK380:AL380"/>
    <mergeCell ref="AM380:AN380"/>
    <mergeCell ref="AO380:AP380"/>
    <mergeCell ref="I396:J396"/>
    <mergeCell ref="K396:L396"/>
    <mergeCell ref="I399:J399"/>
    <mergeCell ref="K399:L399"/>
    <mergeCell ref="M399:N399"/>
    <mergeCell ref="O399:P399"/>
    <mergeCell ref="Q399:R399"/>
    <mergeCell ref="S399:T399"/>
    <mergeCell ref="U399:V399"/>
    <mergeCell ref="AK398:AL398"/>
    <mergeCell ref="AM398:AN398"/>
    <mergeCell ref="AO398:AP398"/>
    <mergeCell ref="AQ398:AR398"/>
    <mergeCell ref="AS398:AT398"/>
    <mergeCell ref="AU398:AV398"/>
    <mergeCell ref="AW398:AX398"/>
    <mergeCell ref="BG399:BH399"/>
    <mergeCell ref="BI399:BJ399"/>
    <mergeCell ref="BK399:BL399"/>
    <mergeCell ref="BM399:BN399"/>
    <mergeCell ref="E382:E385"/>
    <mergeCell ref="F382:F385"/>
    <mergeCell ref="B378:B385"/>
    <mergeCell ref="C378:C385"/>
    <mergeCell ref="D378:D385"/>
    <mergeCell ref="E378:E381"/>
    <mergeCell ref="F378:F381"/>
    <mergeCell ref="I378:J378"/>
    <mergeCell ref="K378:L378"/>
    <mergeCell ref="AO397:AP397"/>
    <mergeCell ref="AQ397:AR397"/>
    <mergeCell ref="AA397:AB397"/>
    <mergeCell ref="AC397:AD397"/>
    <mergeCell ref="AE397:AF397"/>
    <mergeCell ref="AG397:AH397"/>
    <mergeCell ref="AI397:AJ397"/>
    <mergeCell ref="AK397:AL397"/>
    <mergeCell ref="AM397:AN397"/>
    <mergeCell ref="BG397:BH397"/>
    <mergeCell ref="BI397:BJ397"/>
    <mergeCell ref="AS397:AT397"/>
    <mergeCell ref="AU397:AV397"/>
    <mergeCell ref="AW397:AX397"/>
    <mergeCell ref="AY397:AZ397"/>
    <mergeCell ref="BA397:BB397"/>
    <mergeCell ref="BC397:BD397"/>
    <mergeCell ref="BE397:BF397"/>
    <mergeCell ref="W379:X379"/>
    <mergeCell ref="Y379:Z379"/>
    <mergeCell ref="I379:J379"/>
    <mergeCell ref="K379:L379"/>
    <mergeCell ref="M379:N379"/>
    <mergeCell ref="O379:P379"/>
    <mergeCell ref="Q379:R379"/>
    <mergeCell ref="S379:T379"/>
    <mergeCell ref="U379:V379"/>
    <mergeCell ref="M396:N396"/>
    <mergeCell ref="O396:P396"/>
    <mergeCell ref="Q396:R396"/>
    <mergeCell ref="S396:T396"/>
    <mergeCell ref="U396:V396"/>
    <mergeCell ref="W396:X396"/>
    <mergeCell ref="Y396:Z396"/>
    <mergeCell ref="AA396:AB396"/>
    <mergeCell ref="AK399:AL399"/>
    <mergeCell ref="AM399:AN399"/>
    <mergeCell ref="W399:X399"/>
    <mergeCell ref="Y399:Z399"/>
    <mergeCell ref="AA399:AB399"/>
    <mergeCell ref="AC399:AD399"/>
    <mergeCell ref="AE399:AF399"/>
    <mergeCell ref="AG399:AH399"/>
    <mergeCell ref="AI399:AJ399"/>
    <mergeCell ref="BC399:BD399"/>
    <mergeCell ref="BE399:BF399"/>
    <mergeCell ref="AO399:AP399"/>
    <mergeCell ref="AQ399:AR399"/>
    <mergeCell ref="AS399:AT399"/>
    <mergeCell ref="AU399:AV399"/>
    <mergeCell ref="AW399:AX399"/>
    <mergeCell ref="AY399:AZ399"/>
    <mergeCell ref="BA399:BB399"/>
    <mergeCell ref="I398:J398"/>
    <mergeCell ref="K398:L398"/>
    <mergeCell ref="M398:N398"/>
    <mergeCell ref="O398:P398"/>
    <mergeCell ref="Q398:R398"/>
    <mergeCell ref="S398:T398"/>
    <mergeCell ref="U398:V398"/>
    <mergeCell ref="W398:X398"/>
    <mergeCell ref="Y398:Z398"/>
    <mergeCell ref="AA398:AB398"/>
    <mergeCell ref="AC398:AD398"/>
    <mergeCell ref="AE398:AF398"/>
    <mergeCell ref="AG398:AH398"/>
    <mergeCell ref="AI398:AJ398"/>
    <mergeCell ref="BM398:BN398"/>
    <mergeCell ref="BO399:BP399"/>
    <mergeCell ref="AY398:AZ398"/>
    <mergeCell ref="BA398:BB398"/>
    <mergeCell ref="BC398:BD398"/>
    <mergeCell ref="BE398:BF398"/>
    <mergeCell ref="BG398:BH398"/>
    <mergeCell ref="BI398:BJ398"/>
    <mergeCell ref="BK398:BL398"/>
    <mergeCell ref="CS398:CT398"/>
    <mergeCell ref="CU398:CV398"/>
    <mergeCell ref="CW398:CX398"/>
    <mergeCell ref="CY398:CZ398"/>
    <mergeCell ref="CS399:CT399"/>
    <mergeCell ref="CU399:CV399"/>
    <mergeCell ref="CW399:CX399"/>
    <mergeCell ref="CY399:CZ399"/>
    <mergeCell ref="CS396:CT396"/>
    <mergeCell ref="CU396:CV396"/>
    <mergeCell ref="CW396:CX396"/>
    <mergeCell ref="CY396:CZ396"/>
    <mergeCell ref="DU396:DU405"/>
    <mergeCell ref="DV396:DV405"/>
    <mergeCell ref="DW396:DW405"/>
    <mergeCell ref="CE399:CF399"/>
    <mergeCell ref="CG399:CH399"/>
    <mergeCell ref="BQ399:BR399"/>
    <mergeCell ref="BS399:BT399"/>
    <mergeCell ref="BU399:BV399"/>
    <mergeCell ref="BW399:BX399"/>
    <mergeCell ref="BY399:BZ399"/>
    <mergeCell ref="CA399:CB399"/>
    <mergeCell ref="CC399:CD399"/>
    <mergeCell ref="CE396:CF396"/>
    <mergeCell ref="CG396:CH396"/>
    <mergeCell ref="CI396:CJ396"/>
    <mergeCell ref="CK396:CL396"/>
    <mergeCell ref="CM396:CN396"/>
    <mergeCell ref="CO396:CP396"/>
    <mergeCell ref="CQ396:CR396"/>
    <mergeCell ref="BK397:BL397"/>
    <mergeCell ref="BM397:BN397"/>
    <mergeCell ref="BO397:BP397"/>
    <mergeCell ref="BC396:BD396"/>
    <mergeCell ref="BE396:BF396"/>
    <mergeCell ref="BG396:BH396"/>
    <mergeCell ref="BI396:BJ396"/>
    <mergeCell ref="BK396:BL396"/>
    <mergeCell ref="BM396:BN396"/>
    <mergeCell ref="BO396:BP396"/>
    <mergeCell ref="BO398:BP398"/>
    <mergeCell ref="DS396:DT396"/>
    <mergeCell ref="DS397:DT397"/>
    <mergeCell ref="DS398:DT398"/>
    <mergeCell ref="DS399:DT399"/>
    <mergeCell ref="DX396:DX405"/>
    <mergeCell ref="DY396:DY405"/>
    <mergeCell ref="DZ396:DZ405"/>
    <mergeCell ref="EA396:EA405"/>
    <mergeCell ref="EB396:EB405"/>
    <mergeCell ref="EC396:EC405"/>
    <mergeCell ref="ED396:ED405"/>
    <mergeCell ref="EE396:EE405"/>
    <mergeCell ref="BQ396:BR396"/>
    <mergeCell ref="BS396:BT396"/>
    <mergeCell ref="BU396:BV396"/>
    <mergeCell ref="BW396:BX396"/>
    <mergeCell ref="BY396:BZ396"/>
    <mergeCell ref="CA396:CB396"/>
    <mergeCell ref="CC396:CD396"/>
    <mergeCell ref="CS397:CT397"/>
    <mergeCell ref="CU397:CV397"/>
    <mergeCell ref="CW397:CX397"/>
    <mergeCell ref="CY397:CZ397"/>
    <mergeCell ref="BQ398:BR398"/>
    <mergeCell ref="BS398:BT398"/>
    <mergeCell ref="BU398:BV398"/>
    <mergeCell ref="BW398:BX398"/>
    <mergeCell ref="BY398:BZ398"/>
    <mergeCell ref="CA398:CB398"/>
    <mergeCell ref="CC398:CD398"/>
    <mergeCell ref="CI399:CJ399"/>
    <mergeCell ref="CK399:CL399"/>
    <mergeCell ref="CM399:CN399"/>
    <mergeCell ref="CO399:CP399"/>
    <mergeCell ref="CQ399:CR399"/>
    <mergeCell ref="CE398:CF398"/>
    <mergeCell ref="CG398:CH398"/>
    <mergeCell ref="CI398:CJ398"/>
    <mergeCell ref="CK398:CL398"/>
    <mergeCell ref="CM398:CN398"/>
    <mergeCell ref="CO398:CP398"/>
    <mergeCell ref="CQ398:CR398"/>
    <mergeCell ref="DQ396:DR396"/>
    <mergeCell ref="DQ397:DR397"/>
    <mergeCell ref="DQ398:DR398"/>
    <mergeCell ref="DQ399:DR399"/>
    <mergeCell ref="M378:N378"/>
    <mergeCell ref="O378:P378"/>
    <mergeCell ref="Q378:R378"/>
    <mergeCell ref="S378:T378"/>
    <mergeCell ref="U378:V378"/>
    <mergeCell ref="W378:X378"/>
    <mergeCell ref="Y378:Z378"/>
    <mergeCell ref="AA378:AB378"/>
    <mergeCell ref="AC378:AD378"/>
    <mergeCell ref="AE378:AF378"/>
    <mergeCell ref="AG378:AH378"/>
    <mergeCell ref="AI378:AJ378"/>
    <mergeCell ref="AK378:AL378"/>
    <mergeCell ref="AM378:AN378"/>
    <mergeCell ref="AO378:AP378"/>
    <mergeCell ref="AQ378:AR378"/>
    <mergeCell ref="AS378:AT378"/>
    <mergeCell ref="AU378:AV378"/>
    <mergeCell ref="AW378:AX378"/>
    <mergeCell ref="AY378:AZ378"/>
    <mergeCell ref="BA378:BB378"/>
    <mergeCell ref="BC378:BD378"/>
    <mergeCell ref="BE378:BF378"/>
    <mergeCell ref="BG378:BH378"/>
    <mergeCell ref="BI378:BJ378"/>
    <mergeCell ref="BK378:BL378"/>
    <mergeCell ref="BM378:BN378"/>
    <mergeCell ref="BO378:BP378"/>
    <mergeCell ref="CC376:CD376"/>
    <mergeCell ref="M374:N374"/>
    <mergeCell ref="O374:P374"/>
    <mergeCell ref="Q374:R374"/>
    <mergeCell ref="S374:T374"/>
    <mergeCell ref="U374:V374"/>
    <mergeCell ref="W374:X374"/>
    <mergeCell ref="Y374:Z374"/>
    <mergeCell ref="W375:X375"/>
    <mergeCell ref="Y375:Z375"/>
    <mergeCell ref="BI375:BJ375"/>
    <mergeCell ref="AS375:AT375"/>
    <mergeCell ref="AU375:AV375"/>
    <mergeCell ref="AW375:AX375"/>
    <mergeCell ref="AY375:AZ375"/>
    <mergeCell ref="BA375:BB375"/>
    <mergeCell ref="BC375:BD375"/>
    <mergeCell ref="BE375:BF375"/>
    <mergeCell ref="BI376:BJ376"/>
    <mergeCell ref="BK376:BL376"/>
    <mergeCell ref="BM376:BN376"/>
    <mergeCell ref="BO376:BP376"/>
    <mergeCell ref="BQ376:BR376"/>
    <mergeCell ref="BS376:BT376"/>
    <mergeCell ref="BU376:BV376"/>
    <mergeCell ref="BW376:BX376"/>
    <mergeCell ref="W397:X397"/>
    <mergeCell ref="Y397:Z397"/>
    <mergeCell ref="I397:J397"/>
    <mergeCell ref="K397:L397"/>
    <mergeCell ref="M397:N397"/>
    <mergeCell ref="O397:P397"/>
    <mergeCell ref="Q397:R397"/>
    <mergeCell ref="S397:T397"/>
    <mergeCell ref="U397:V397"/>
    <mergeCell ref="CE397:CF397"/>
    <mergeCell ref="CG397:CH397"/>
    <mergeCell ref="CI397:CJ397"/>
    <mergeCell ref="CK397:CL397"/>
    <mergeCell ref="CM397:CN397"/>
    <mergeCell ref="CO397:CP397"/>
    <mergeCell ref="CQ397:CR397"/>
    <mergeCell ref="BQ397:BR397"/>
    <mergeCell ref="BS397:BT397"/>
    <mergeCell ref="BU397:BV397"/>
    <mergeCell ref="BW397:BX397"/>
    <mergeCell ref="BY397:BZ397"/>
    <mergeCell ref="CA397:CB397"/>
    <mergeCell ref="CC397:CD397"/>
    <mergeCell ref="CE350:CF350"/>
    <mergeCell ref="CG350:CH350"/>
    <mergeCell ref="CI350:CJ350"/>
    <mergeCell ref="CK350:CL350"/>
    <mergeCell ref="CM350:CN350"/>
    <mergeCell ref="CO350:CP350"/>
    <mergeCell ref="CQ350:CR350"/>
    <mergeCell ref="BQ350:BR350"/>
    <mergeCell ref="BS350:BT350"/>
    <mergeCell ref="BU350:BV350"/>
    <mergeCell ref="BW350:BX350"/>
    <mergeCell ref="BY350:BZ350"/>
    <mergeCell ref="CA350:CB350"/>
    <mergeCell ref="CC350:CD350"/>
    <mergeCell ref="CE360:CF360"/>
    <mergeCell ref="CG360:CH360"/>
    <mergeCell ref="CI360:CJ360"/>
    <mergeCell ref="CK360:CL360"/>
    <mergeCell ref="CM360:CN360"/>
    <mergeCell ref="CO360:CP360"/>
    <mergeCell ref="CQ360:CR360"/>
    <mergeCell ref="BQ360:BR360"/>
    <mergeCell ref="BS360:BT360"/>
    <mergeCell ref="BU360:BV360"/>
    <mergeCell ref="BW360:BX360"/>
    <mergeCell ref="BY360:BZ360"/>
    <mergeCell ref="CA360:CB360"/>
    <mergeCell ref="CC360:CD36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Z350"/>
    <mergeCell ref="AA350:AB350"/>
    <mergeCell ref="AC350:AD350"/>
    <mergeCell ref="AE350:AF350"/>
    <mergeCell ref="AG350:AH350"/>
    <mergeCell ref="CE348:CF348"/>
    <mergeCell ref="CG348:CH348"/>
    <mergeCell ref="CI348:CJ348"/>
    <mergeCell ref="CK348:CL348"/>
    <mergeCell ref="CM348:CN348"/>
    <mergeCell ref="CO348:CP348"/>
    <mergeCell ref="CQ348:CR348"/>
    <mergeCell ref="DX348:DX353"/>
    <mergeCell ref="DY348:DY353"/>
    <mergeCell ref="DZ348:DZ353"/>
    <mergeCell ref="EA348:EA353"/>
    <mergeCell ref="EB348:EB353"/>
    <mergeCell ref="EC348:EC353"/>
    <mergeCell ref="ED348:ED353"/>
    <mergeCell ref="EE348:EE353"/>
    <mergeCell ref="BQ348:BR348"/>
    <mergeCell ref="BS348:BT348"/>
    <mergeCell ref="BU348:BV348"/>
    <mergeCell ref="BW348:BX348"/>
    <mergeCell ref="BY348:BZ348"/>
    <mergeCell ref="CA348:CB348"/>
    <mergeCell ref="CC348:CD348"/>
    <mergeCell ref="CS349:CT349"/>
    <mergeCell ref="CU349:CV349"/>
    <mergeCell ref="CW349:CX349"/>
    <mergeCell ref="CY349:CZ349"/>
    <mergeCell ref="CI352:CJ352"/>
    <mergeCell ref="CK352:CL352"/>
    <mergeCell ref="CM352:CN352"/>
    <mergeCell ref="CO352:CP352"/>
    <mergeCell ref="CQ352:CR352"/>
    <mergeCell ref="CE353:CF353"/>
    <mergeCell ref="CG353:CH353"/>
    <mergeCell ref="CI353:CJ353"/>
    <mergeCell ref="CK353:CL353"/>
    <mergeCell ref="CM353:CN353"/>
    <mergeCell ref="CO353:CP353"/>
    <mergeCell ref="CQ353:CR353"/>
    <mergeCell ref="BQ353:BR353"/>
    <mergeCell ref="BS353:BT353"/>
    <mergeCell ref="BU353:BV353"/>
    <mergeCell ref="BW353:BX353"/>
    <mergeCell ref="BY353:BZ353"/>
    <mergeCell ref="CA353:CB353"/>
    <mergeCell ref="CC353:CD353"/>
    <mergeCell ref="CE349:CF349"/>
    <mergeCell ref="CG349:CH349"/>
    <mergeCell ref="CI349:CJ349"/>
    <mergeCell ref="CK349:CL349"/>
    <mergeCell ref="CM349:CN349"/>
    <mergeCell ref="CO349:CP349"/>
    <mergeCell ref="CQ349:CR349"/>
    <mergeCell ref="BQ349:BR349"/>
    <mergeCell ref="BS349:BT349"/>
    <mergeCell ref="BU349:BV349"/>
    <mergeCell ref="BW349:BX349"/>
    <mergeCell ref="BY349:BZ349"/>
    <mergeCell ref="CA349:CB349"/>
    <mergeCell ref="CC349:CD349"/>
    <mergeCell ref="DC350:DD350"/>
    <mergeCell ref="DC352:DD352"/>
    <mergeCell ref="DC353:DD353"/>
    <mergeCell ref="DG350:DH350"/>
    <mergeCell ref="DG352:DH352"/>
    <mergeCell ref="CW356:CX356"/>
    <mergeCell ref="CY356:CZ356"/>
    <mergeCell ref="CW357:CX357"/>
    <mergeCell ref="CY357:CZ357"/>
    <mergeCell ref="CW359:CX359"/>
    <mergeCell ref="CY359:CZ359"/>
    <mergeCell ref="CW360:CX360"/>
    <mergeCell ref="CY360:CZ360"/>
    <mergeCell ref="CW353:CX353"/>
    <mergeCell ref="CY353:CZ353"/>
    <mergeCell ref="DU355:DU360"/>
    <mergeCell ref="DV355:DV360"/>
    <mergeCell ref="DW355:DW360"/>
    <mergeCell ref="DX355:DX360"/>
    <mergeCell ref="DY355:DY360"/>
    <mergeCell ref="CS350:CT350"/>
    <mergeCell ref="CU350:CV350"/>
    <mergeCell ref="CW350:CX350"/>
    <mergeCell ref="CY350:CZ350"/>
    <mergeCell ref="CS352:CT352"/>
    <mergeCell ref="CU352:CV352"/>
    <mergeCell ref="CW352:CX352"/>
    <mergeCell ref="CY352:CZ352"/>
    <mergeCell ref="CS348:CT348"/>
    <mergeCell ref="CU348:CV348"/>
    <mergeCell ref="CW348:CX348"/>
    <mergeCell ref="CY348:CZ348"/>
    <mergeCell ref="DU348:DU353"/>
    <mergeCell ref="DV348:DV353"/>
    <mergeCell ref="DW348:DW353"/>
    <mergeCell ref="DZ355:DZ360"/>
    <mergeCell ref="EA355:EA360"/>
    <mergeCell ref="EB355:EB360"/>
    <mergeCell ref="DA356:DB356"/>
    <mergeCell ref="DA357:DB357"/>
    <mergeCell ref="DA359:DB359"/>
    <mergeCell ref="DA360:DB360"/>
    <mergeCell ref="DE356:DF356"/>
    <mergeCell ref="DE357:DF357"/>
    <mergeCell ref="DE359:DF359"/>
    <mergeCell ref="DE360:DF360"/>
    <mergeCell ref="DC355:DD355"/>
    <mergeCell ref="DC356:DD356"/>
    <mergeCell ref="DC357:DD357"/>
    <mergeCell ref="DC359:DD359"/>
    <mergeCell ref="DC360:DD360"/>
    <mergeCell ref="DG353:DH353"/>
    <mergeCell ref="DG355:DH355"/>
    <mergeCell ref="DG356:DH356"/>
    <mergeCell ref="DG357:DH357"/>
    <mergeCell ref="DG359:DH359"/>
    <mergeCell ref="DG360:DH360"/>
    <mergeCell ref="DI350:DJ350"/>
    <mergeCell ref="DI352:DJ352"/>
    <mergeCell ref="DI353:DJ353"/>
    <mergeCell ref="DI355:DJ355"/>
    <mergeCell ref="DI356:DJ356"/>
    <mergeCell ref="DI357:DJ357"/>
    <mergeCell ref="DI359:DJ359"/>
    <mergeCell ref="DI360:DJ360"/>
    <mergeCell ref="DK350:DL350"/>
    <mergeCell ref="DK352:DL352"/>
    <mergeCell ref="DK353:DL353"/>
    <mergeCell ref="DK355:DL355"/>
    <mergeCell ref="AS348:AT348"/>
    <mergeCell ref="EC355:EC360"/>
    <mergeCell ref="ED355:ED360"/>
    <mergeCell ref="EE355:EE360"/>
    <mergeCell ref="CS359:CT359"/>
    <mergeCell ref="CS360:CT360"/>
    <mergeCell ref="CS353:CT353"/>
    <mergeCell ref="CU353:CV353"/>
    <mergeCell ref="CS356:CT356"/>
    <mergeCell ref="CU356:CV356"/>
    <mergeCell ref="CS357:CT357"/>
    <mergeCell ref="CU357:CV357"/>
    <mergeCell ref="CU359:CV359"/>
    <mergeCell ref="CU360:CV360"/>
    <mergeCell ref="CE359:CF359"/>
    <mergeCell ref="CG359:CH359"/>
    <mergeCell ref="CI359:CJ359"/>
    <mergeCell ref="CK359:CL359"/>
    <mergeCell ref="CM359:CN359"/>
    <mergeCell ref="CO359:CP359"/>
    <mergeCell ref="CQ359:CR359"/>
    <mergeCell ref="BQ359:BR359"/>
    <mergeCell ref="BS359:BT359"/>
    <mergeCell ref="BU359:BV359"/>
    <mergeCell ref="BW359:BX359"/>
    <mergeCell ref="BY359:BZ359"/>
    <mergeCell ref="CA359:CB359"/>
    <mergeCell ref="CC359:CD359"/>
    <mergeCell ref="CE352:CF352"/>
    <mergeCell ref="CG352:CH352"/>
    <mergeCell ref="BQ352:BR352"/>
    <mergeCell ref="BS352:BT352"/>
    <mergeCell ref="BU352:BV352"/>
    <mergeCell ref="BW352:BX352"/>
    <mergeCell ref="BY352:BZ352"/>
    <mergeCell ref="CA352:CB352"/>
    <mergeCell ref="CC352:CD352"/>
    <mergeCell ref="CE356:CF356"/>
    <mergeCell ref="CG356:CH356"/>
    <mergeCell ref="CI356:CJ356"/>
    <mergeCell ref="CK356:CL356"/>
    <mergeCell ref="CM356:CN356"/>
    <mergeCell ref="BQ355:BR355"/>
    <mergeCell ref="BS355:BT355"/>
    <mergeCell ref="BU355:BV355"/>
    <mergeCell ref="BW355:BX355"/>
    <mergeCell ref="BY355:BZ355"/>
    <mergeCell ref="CA355:CB355"/>
    <mergeCell ref="CC355:CD355"/>
    <mergeCell ref="CS355:CT355"/>
    <mergeCell ref="CU355:CV355"/>
    <mergeCell ref="CW355:CX355"/>
    <mergeCell ref="CY355:CZ355"/>
    <mergeCell ref="CE355:CF355"/>
    <mergeCell ref="CG355:CH355"/>
    <mergeCell ref="CI355:CJ355"/>
    <mergeCell ref="CK355:CL355"/>
    <mergeCell ref="CM355:CN355"/>
    <mergeCell ref="CO355:CP355"/>
    <mergeCell ref="CQ355:CR355"/>
    <mergeCell ref="BU357:BV357"/>
    <mergeCell ref="BW357:BX357"/>
    <mergeCell ref="BY357:BZ357"/>
    <mergeCell ref="CA357:CB357"/>
    <mergeCell ref="I344:J344"/>
    <mergeCell ref="K344:L344"/>
    <mergeCell ref="M344:N344"/>
    <mergeCell ref="O344:P344"/>
    <mergeCell ref="Q344:R344"/>
    <mergeCell ref="S344:T344"/>
    <mergeCell ref="U344:V344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Z345"/>
    <mergeCell ref="AA345:AB345"/>
    <mergeCell ref="AC345:AD345"/>
    <mergeCell ref="AE345:AF345"/>
    <mergeCell ref="AG345:AH345"/>
    <mergeCell ref="AO349:AP349"/>
    <mergeCell ref="AQ349:AR349"/>
    <mergeCell ref="AA349:AB349"/>
    <mergeCell ref="AC349:AD349"/>
    <mergeCell ref="AE349:AF349"/>
    <mergeCell ref="AG349:AH349"/>
    <mergeCell ref="AI349:AJ349"/>
    <mergeCell ref="AK349:AL349"/>
    <mergeCell ref="AM349:AN349"/>
    <mergeCell ref="M348:N348"/>
    <mergeCell ref="O348:P348"/>
    <mergeCell ref="Q348:R348"/>
    <mergeCell ref="S348:T348"/>
    <mergeCell ref="U348:V348"/>
    <mergeCell ref="W348:X348"/>
    <mergeCell ref="Y348:Z348"/>
    <mergeCell ref="AA348:AB348"/>
    <mergeCell ref="AC348:AD348"/>
    <mergeCell ref="AE348:AF348"/>
    <mergeCell ref="AG348:AH348"/>
    <mergeCell ref="AI348:AJ348"/>
    <mergeCell ref="AK348:AL348"/>
    <mergeCell ref="AM348:AN348"/>
    <mergeCell ref="AO348:AP348"/>
    <mergeCell ref="AQ348:AR348"/>
    <mergeCell ref="AG344:AH344"/>
    <mergeCell ref="AU348:AV348"/>
    <mergeCell ref="AW348:AX348"/>
    <mergeCell ref="AY348:AZ348"/>
    <mergeCell ref="BA348:BB348"/>
    <mergeCell ref="BK349:BL349"/>
    <mergeCell ref="BM349:BN349"/>
    <mergeCell ref="BO349:BP349"/>
    <mergeCell ref="BC348:BD348"/>
    <mergeCell ref="BE348:BF348"/>
    <mergeCell ref="M341:N341"/>
    <mergeCell ref="O341:P341"/>
    <mergeCell ref="Q341:R341"/>
    <mergeCell ref="S341:T341"/>
    <mergeCell ref="U341:V341"/>
    <mergeCell ref="W341:X341"/>
    <mergeCell ref="Y341:Z341"/>
    <mergeCell ref="AA341:AB341"/>
    <mergeCell ref="AC341:AD341"/>
    <mergeCell ref="AE341:AF341"/>
    <mergeCell ref="AG341:AH341"/>
    <mergeCell ref="AI341:AJ341"/>
    <mergeCell ref="AK341:AL341"/>
    <mergeCell ref="AM341:AN341"/>
    <mergeCell ref="AO341:AP341"/>
    <mergeCell ref="AQ341:AR341"/>
    <mergeCell ref="AS341:AT341"/>
    <mergeCell ref="AU341:AV341"/>
    <mergeCell ref="AW341:AX341"/>
    <mergeCell ref="AY341:AZ341"/>
    <mergeCell ref="BA341:BB341"/>
    <mergeCell ref="BK342:BL342"/>
    <mergeCell ref="BM342:BN342"/>
    <mergeCell ref="BO342:BP342"/>
    <mergeCell ref="BC341:BD341"/>
    <mergeCell ref="BE341:BF341"/>
    <mergeCell ref="BG341:BH341"/>
    <mergeCell ref="BI341:BJ341"/>
    <mergeCell ref="BK341:BL341"/>
    <mergeCell ref="BM341:BN341"/>
    <mergeCell ref="BO341:BP341"/>
    <mergeCell ref="BM345:BN345"/>
    <mergeCell ref="BO345:BP345"/>
    <mergeCell ref="BG349:BH349"/>
    <mergeCell ref="BI349:BJ349"/>
    <mergeCell ref="AS349:AT349"/>
    <mergeCell ref="AU349:AV349"/>
    <mergeCell ref="AW349:AX349"/>
    <mergeCell ref="AY349:AZ349"/>
    <mergeCell ref="BA349:BB349"/>
    <mergeCell ref="BC349:BD349"/>
    <mergeCell ref="BE349:BF349"/>
    <mergeCell ref="W342:X342"/>
    <mergeCell ref="Y342:Z342"/>
    <mergeCell ref="AI345:AJ345"/>
    <mergeCell ref="BG348:BH348"/>
    <mergeCell ref="BI348:BJ348"/>
    <mergeCell ref="BK348:BL348"/>
    <mergeCell ref="BM348:BN348"/>
    <mergeCell ref="BO348:BP348"/>
    <mergeCell ref="W344:X344"/>
    <mergeCell ref="Y344:Z344"/>
    <mergeCell ref="AA344:AB344"/>
    <mergeCell ref="AC344:AD344"/>
    <mergeCell ref="AE344:AF344"/>
    <mergeCell ref="BM357:BN357"/>
    <mergeCell ref="BO357:BP357"/>
    <mergeCell ref="AY357:AZ357"/>
    <mergeCell ref="BA357:BB357"/>
    <mergeCell ref="BC357:BD357"/>
    <mergeCell ref="BE357:BF357"/>
    <mergeCell ref="BG357:BH357"/>
    <mergeCell ref="BI357:BJ357"/>
    <mergeCell ref="BK357:BL357"/>
    <mergeCell ref="CO356:CP356"/>
    <mergeCell ref="CQ356:CR356"/>
    <mergeCell ref="BQ356:BR356"/>
    <mergeCell ref="BS356:BT356"/>
    <mergeCell ref="BU356:BV356"/>
    <mergeCell ref="BW356:BX356"/>
    <mergeCell ref="BY356:BZ356"/>
    <mergeCell ref="CA356:CB356"/>
    <mergeCell ref="CC356:CD356"/>
    <mergeCell ref="CE357:CF357"/>
    <mergeCell ref="CG357:CH357"/>
    <mergeCell ref="CI357:CJ357"/>
    <mergeCell ref="CK357:CL357"/>
    <mergeCell ref="CM357:CN357"/>
    <mergeCell ref="CO357:CP357"/>
    <mergeCell ref="CQ357:CR357"/>
    <mergeCell ref="BM350:BN350"/>
    <mergeCell ref="BO350:BP350"/>
    <mergeCell ref="AY350:AZ350"/>
    <mergeCell ref="BA350:BB350"/>
    <mergeCell ref="BC350:BD350"/>
    <mergeCell ref="BE350:BF350"/>
    <mergeCell ref="BG350:BH350"/>
    <mergeCell ref="BI350:BJ350"/>
    <mergeCell ref="BK350:BL350"/>
    <mergeCell ref="BC353:BD353"/>
    <mergeCell ref="BE353:BF353"/>
    <mergeCell ref="AY353:AZ353"/>
    <mergeCell ref="BA353:BB353"/>
    <mergeCell ref="BQ357:BR357"/>
    <mergeCell ref="BS357:BT357"/>
    <mergeCell ref="CC357:CD357"/>
    <mergeCell ref="I356:J356"/>
    <mergeCell ref="K356:L356"/>
    <mergeCell ref="M356:N356"/>
    <mergeCell ref="O356:P356"/>
    <mergeCell ref="Q356:R356"/>
    <mergeCell ref="S356:T356"/>
    <mergeCell ref="U356:V356"/>
    <mergeCell ref="I358:J358"/>
    <mergeCell ref="K358:L358"/>
    <mergeCell ref="I359:J359"/>
    <mergeCell ref="K359:L359"/>
    <mergeCell ref="AK360:AL360"/>
    <mergeCell ref="AM360:AN360"/>
    <mergeCell ref="W360:X360"/>
    <mergeCell ref="Y360:Z360"/>
    <mergeCell ref="AA360:AB360"/>
    <mergeCell ref="AC360:AD360"/>
    <mergeCell ref="AE360:AF360"/>
    <mergeCell ref="AG360:AH360"/>
    <mergeCell ref="AI360:AJ360"/>
    <mergeCell ref="BC360:BD360"/>
    <mergeCell ref="BE360:BF360"/>
    <mergeCell ref="AO360:AP360"/>
    <mergeCell ref="AQ360:AR360"/>
    <mergeCell ref="AS360:AT360"/>
    <mergeCell ref="AU360:AV360"/>
    <mergeCell ref="AW360:AX360"/>
    <mergeCell ref="AY360:AZ360"/>
    <mergeCell ref="BA360:BB360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Z357"/>
    <mergeCell ref="AA357:AB357"/>
    <mergeCell ref="AC357:AD357"/>
    <mergeCell ref="AE357:AF357"/>
    <mergeCell ref="AG357:AH357"/>
    <mergeCell ref="AI357:AJ357"/>
    <mergeCell ref="AK357:AL357"/>
    <mergeCell ref="AM357:AN357"/>
    <mergeCell ref="AO357:AP357"/>
    <mergeCell ref="AQ357:AR357"/>
    <mergeCell ref="AS357:AT357"/>
    <mergeCell ref="AU357:AV357"/>
    <mergeCell ref="AW357:AX357"/>
    <mergeCell ref="BU364:BV364"/>
    <mergeCell ref="BW364:BX364"/>
    <mergeCell ref="BY364:BZ364"/>
    <mergeCell ref="CA364:CB364"/>
    <mergeCell ref="CC364:CD364"/>
    <mergeCell ref="CE366:CF366"/>
    <mergeCell ref="CG366:CH366"/>
    <mergeCell ref="CI366:CJ366"/>
    <mergeCell ref="CK366:CL366"/>
    <mergeCell ref="CM366:CN366"/>
    <mergeCell ref="CO366:CP366"/>
    <mergeCell ref="CQ366:CR366"/>
    <mergeCell ref="BQ366:BR366"/>
    <mergeCell ref="BS366:BT366"/>
    <mergeCell ref="BU366:BV366"/>
    <mergeCell ref="BW366:BX366"/>
    <mergeCell ref="BY366:BZ366"/>
    <mergeCell ref="CA366:CB366"/>
    <mergeCell ref="CC366:CD366"/>
    <mergeCell ref="CE362:CF362"/>
    <mergeCell ref="CG362:CH362"/>
    <mergeCell ref="CI362:CJ362"/>
    <mergeCell ref="CK362:CL362"/>
    <mergeCell ref="CM362:CN362"/>
    <mergeCell ref="CO362:CP362"/>
    <mergeCell ref="CQ362:CR362"/>
    <mergeCell ref="BQ365:BR365"/>
    <mergeCell ref="BS365:BT365"/>
    <mergeCell ref="BU365:BV365"/>
    <mergeCell ref="BW365:BX365"/>
    <mergeCell ref="BY365:BZ365"/>
    <mergeCell ref="DX362:DX367"/>
    <mergeCell ref="B355:B360"/>
    <mergeCell ref="C355:C360"/>
    <mergeCell ref="D355:D360"/>
    <mergeCell ref="E355:E360"/>
    <mergeCell ref="F355:F360"/>
    <mergeCell ref="I355:J355"/>
    <mergeCell ref="K355:L355"/>
    <mergeCell ref="I360:J360"/>
    <mergeCell ref="K360:L360"/>
    <mergeCell ref="M360:N360"/>
    <mergeCell ref="O360:P360"/>
    <mergeCell ref="Q360:R360"/>
    <mergeCell ref="S360:T360"/>
    <mergeCell ref="U360:V360"/>
    <mergeCell ref="AK359:AL359"/>
    <mergeCell ref="AM359:AN359"/>
    <mergeCell ref="AO359:AP359"/>
    <mergeCell ref="AQ359:AR359"/>
    <mergeCell ref="AS359:AT359"/>
    <mergeCell ref="AU359:AV359"/>
    <mergeCell ref="AW359:AX359"/>
    <mergeCell ref="BG360:BH360"/>
    <mergeCell ref="BI360:BJ360"/>
    <mergeCell ref="BK360:BL360"/>
    <mergeCell ref="BM360:BN360"/>
    <mergeCell ref="BO360:BP360"/>
    <mergeCell ref="AY359:AZ359"/>
    <mergeCell ref="BA359:BB359"/>
    <mergeCell ref="BC359:BD359"/>
    <mergeCell ref="BE359:BF359"/>
    <mergeCell ref="BG359:BH359"/>
    <mergeCell ref="BI359:BJ359"/>
    <mergeCell ref="DY362:DY367"/>
    <mergeCell ref="DZ362:DZ367"/>
    <mergeCell ref="EA362:EA367"/>
    <mergeCell ref="EB362:EB367"/>
    <mergeCell ref="EC362:EC367"/>
    <mergeCell ref="ED362:ED367"/>
    <mergeCell ref="EE362:EE367"/>
    <mergeCell ref="BQ362:BR362"/>
    <mergeCell ref="BS362:BT362"/>
    <mergeCell ref="BU362:BV362"/>
    <mergeCell ref="BW362:BX362"/>
    <mergeCell ref="BY362:BZ362"/>
    <mergeCell ref="CA362:CB362"/>
    <mergeCell ref="CC362:CD362"/>
    <mergeCell ref="CS363:CT363"/>
    <mergeCell ref="CU363:CV363"/>
    <mergeCell ref="CW363:CX363"/>
    <mergeCell ref="CY363:CZ363"/>
    <mergeCell ref="CI365:CJ365"/>
    <mergeCell ref="CK365:CL365"/>
    <mergeCell ref="CM365:CN365"/>
    <mergeCell ref="CO365:CP365"/>
    <mergeCell ref="CQ365:CR365"/>
    <mergeCell ref="CE367:CF367"/>
    <mergeCell ref="CG367:CH367"/>
    <mergeCell ref="CI367:CJ367"/>
    <mergeCell ref="CK367:CL367"/>
    <mergeCell ref="CM367:CN367"/>
    <mergeCell ref="CO367:CP367"/>
    <mergeCell ref="CQ367:CR367"/>
    <mergeCell ref="BQ367:BR367"/>
    <mergeCell ref="BS367:BT367"/>
    <mergeCell ref="BU367:BV367"/>
    <mergeCell ref="BW367:BX367"/>
    <mergeCell ref="BY367:BZ367"/>
    <mergeCell ref="CA367:CB367"/>
    <mergeCell ref="CC367:CD367"/>
    <mergeCell ref="CW367:CX367"/>
    <mergeCell ref="CY367:CZ367"/>
    <mergeCell ref="CS362:CT362"/>
    <mergeCell ref="CU362:CV362"/>
    <mergeCell ref="CW362:CX362"/>
    <mergeCell ref="CY362:CZ362"/>
    <mergeCell ref="DU362:DU367"/>
    <mergeCell ref="DV362:DV367"/>
    <mergeCell ref="DW362:DW367"/>
    <mergeCell ref="CS364:CT364"/>
    <mergeCell ref="CU364:CV364"/>
    <mergeCell ref="CW364:CX364"/>
    <mergeCell ref="CY364:CZ364"/>
    <mergeCell ref="CS365:CT365"/>
    <mergeCell ref="CU365:CV365"/>
    <mergeCell ref="CW365:CX365"/>
    <mergeCell ref="CY365:CZ365"/>
    <mergeCell ref="CS366:CT366"/>
    <mergeCell ref="CU366:CV366"/>
    <mergeCell ref="CW366:CX366"/>
    <mergeCell ref="CY366:CZ366"/>
    <mergeCell ref="CS367:CT367"/>
    <mergeCell ref="CU367:CV367"/>
    <mergeCell ref="CA365:CB365"/>
    <mergeCell ref="CC365:CD365"/>
    <mergeCell ref="CE364:CF364"/>
    <mergeCell ref="BS364:BT364"/>
    <mergeCell ref="BK364:BL364"/>
    <mergeCell ref="AK364:AL364"/>
    <mergeCell ref="AM364:AN364"/>
    <mergeCell ref="AO364:AP364"/>
    <mergeCell ref="AQ364:AR364"/>
    <mergeCell ref="AS364:AT364"/>
    <mergeCell ref="AU364:AV364"/>
    <mergeCell ref="AW364:AX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Z364"/>
    <mergeCell ref="AA364:AB364"/>
    <mergeCell ref="AC364:AD364"/>
    <mergeCell ref="AE364:AF364"/>
    <mergeCell ref="AG364:AH364"/>
    <mergeCell ref="AI364:AJ364"/>
    <mergeCell ref="BM364:BN364"/>
    <mergeCell ref="BO364:BP364"/>
    <mergeCell ref="I365:J365"/>
    <mergeCell ref="K365:L365"/>
    <mergeCell ref="M365:N365"/>
    <mergeCell ref="O365:P365"/>
    <mergeCell ref="Q365:R365"/>
    <mergeCell ref="S365:T365"/>
    <mergeCell ref="U365:V365"/>
    <mergeCell ref="BG365:BH365"/>
    <mergeCell ref="BI365:BJ365"/>
    <mergeCell ref="BK365:BL365"/>
    <mergeCell ref="BM365:BN365"/>
    <mergeCell ref="BO365:BP365"/>
    <mergeCell ref="BG366:BH366"/>
    <mergeCell ref="BI366:BJ366"/>
    <mergeCell ref="BK366:BL366"/>
    <mergeCell ref="BM366:BN366"/>
    <mergeCell ref="BO366:BP366"/>
    <mergeCell ref="AS366:AT366"/>
    <mergeCell ref="AU366:AV366"/>
    <mergeCell ref="AW366:AX366"/>
    <mergeCell ref="AY366:AZ366"/>
    <mergeCell ref="BA366:BB366"/>
    <mergeCell ref="BC366:BD366"/>
    <mergeCell ref="BE366:BF366"/>
    <mergeCell ref="B362:B367"/>
    <mergeCell ref="C362:C367"/>
    <mergeCell ref="D362:D367"/>
    <mergeCell ref="E362:E367"/>
    <mergeCell ref="F362:F367"/>
    <mergeCell ref="I362:J362"/>
    <mergeCell ref="K362:L362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Z367"/>
    <mergeCell ref="AA367:AB367"/>
    <mergeCell ref="AC367:AD367"/>
    <mergeCell ref="AE367:AF367"/>
    <mergeCell ref="AG367:AH367"/>
    <mergeCell ref="AI367:AJ367"/>
    <mergeCell ref="AK367:AL367"/>
    <mergeCell ref="AM367:AN367"/>
    <mergeCell ref="AO367:AP367"/>
    <mergeCell ref="AQ367:AR367"/>
    <mergeCell ref="AS367:AT367"/>
    <mergeCell ref="AU367:AV367"/>
    <mergeCell ref="AW367:AX367"/>
    <mergeCell ref="BM367:BN367"/>
    <mergeCell ref="BO367:BP367"/>
    <mergeCell ref="AY367:AZ367"/>
    <mergeCell ref="BA367:BB367"/>
    <mergeCell ref="BC367:BD367"/>
    <mergeCell ref="BE367:BF367"/>
    <mergeCell ref="BG367:BH367"/>
    <mergeCell ref="BI367:BJ367"/>
    <mergeCell ref="BK367:BL367"/>
    <mergeCell ref="AK365:AL365"/>
    <mergeCell ref="AM365:AN365"/>
    <mergeCell ref="W365:X365"/>
    <mergeCell ref="Y365:Z365"/>
    <mergeCell ref="AA365:AB365"/>
    <mergeCell ref="AC365:AD365"/>
    <mergeCell ref="AE365:AF365"/>
    <mergeCell ref="AG365:AH365"/>
    <mergeCell ref="AI365:AJ365"/>
    <mergeCell ref="AY364:AZ364"/>
    <mergeCell ref="BA364:BB364"/>
    <mergeCell ref="BC364:BD364"/>
    <mergeCell ref="BE364:BF364"/>
    <mergeCell ref="BG364:BH364"/>
    <mergeCell ref="BI364:BJ364"/>
    <mergeCell ref="ED374:ED376"/>
    <mergeCell ref="EE374:EE376"/>
    <mergeCell ref="CS375:CT375"/>
    <mergeCell ref="CU375:CV375"/>
    <mergeCell ref="CW375:CX375"/>
    <mergeCell ref="CY375:CZ375"/>
    <mergeCell ref="CS376:CT376"/>
    <mergeCell ref="CU376:CV376"/>
    <mergeCell ref="CW376:CX376"/>
    <mergeCell ref="CY376:CZ376"/>
    <mergeCell ref="CS374:CT374"/>
    <mergeCell ref="CU374:CV374"/>
    <mergeCell ref="CW374:CX374"/>
    <mergeCell ref="CY374:CZ374"/>
    <mergeCell ref="DU374:DU376"/>
    <mergeCell ref="DV374:DV376"/>
    <mergeCell ref="DW374:DW376"/>
    <mergeCell ref="BY376:BZ376"/>
    <mergeCell ref="CO376:CP376"/>
    <mergeCell ref="CQ376:CR376"/>
    <mergeCell ref="CA376:CB376"/>
    <mergeCell ref="CK376:CL376"/>
    <mergeCell ref="CM376:CN376"/>
    <mergeCell ref="M369:N369"/>
    <mergeCell ref="O369:P369"/>
    <mergeCell ref="Q369:R369"/>
    <mergeCell ref="S369:T369"/>
    <mergeCell ref="U369:V369"/>
    <mergeCell ref="W369:X369"/>
    <mergeCell ref="Y369:Z369"/>
    <mergeCell ref="AA369:AB369"/>
    <mergeCell ref="AC369:AD369"/>
    <mergeCell ref="AE369:AF369"/>
    <mergeCell ref="AG369:AH369"/>
    <mergeCell ref="AI369:AJ369"/>
    <mergeCell ref="AK369:AL369"/>
    <mergeCell ref="AM369:AN369"/>
    <mergeCell ref="AO369:AP369"/>
    <mergeCell ref="AQ369:AR369"/>
    <mergeCell ref="AS369:AT369"/>
    <mergeCell ref="AU369:AV369"/>
    <mergeCell ref="AW369:AX369"/>
    <mergeCell ref="AY369:AZ369"/>
    <mergeCell ref="BA369:BB369"/>
    <mergeCell ref="BC369:BD369"/>
    <mergeCell ref="BE369:BF369"/>
    <mergeCell ref="BG369:BH369"/>
    <mergeCell ref="BI369:BJ369"/>
    <mergeCell ref="BK369:BL369"/>
    <mergeCell ref="BM369:BN369"/>
    <mergeCell ref="BO369:BP369"/>
    <mergeCell ref="BG374:BH374"/>
    <mergeCell ref="BI374:BJ374"/>
    <mergeCell ref="BK374:BL374"/>
    <mergeCell ref="BM374:BN374"/>
    <mergeCell ref="BO374:BP374"/>
    <mergeCell ref="BQ374:BR374"/>
    <mergeCell ref="BS374:BT374"/>
    <mergeCell ref="BU374:BV374"/>
    <mergeCell ref="BW374:BX374"/>
    <mergeCell ref="BY374:BZ374"/>
    <mergeCell ref="CA374:CB374"/>
    <mergeCell ref="CC374:CD374"/>
    <mergeCell ref="BG375:BH375"/>
    <mergeCell ref="BG371:BH371"/>
    <mergeCell ref="BI371:BJ371"/>
    <mergeCell ref="BK371:BL371"/>
    <mergeCell ref="BM371:BN371"/>
    <mergeCell ref="BO371:BP371"/>
    <mergeCell ref="AW371:AX371"/>
    <mergeCell ref="BE376:BF376"/>
    <mergeCell ref="BG376:BH376"/>
    <mergeCell ref="DX374:DX376"/>
    <mergeCell ref="DY374:DY376"/>
    <mergeCell ref="DZ374:DZ376"/>
    <mergeCell ref="EA374:EA376"/>
    <mergeCell ref="EB374:EB376"/>
    <mergeCell ref="DZ369:DZ372"/>
    <mergeCell ref="EA369:EA372"/>
    <mergeCell ref="EB369:EB372"/>
    <mergeCell ref="DX369:DX372"/>
    <mergeCell ref="DY369:DY372"/>
    <mergeCell ref="B374:B376"/>
    <mergeCell ref="C374:C376"/>
    <mergeCell ref="D374:D376"/>
    <mergeCell ref="E374:E376"/>
    <mergeCell ref="F374:F376"/>
    <mergeCell ref="I374:J374"/>
    <mergeCell ref="K374:L374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Z376"/>
    <mergeCell ref="AA376:AB376"/>
    <mergeCell ref="AC376:AD376"/>
    <mergeCell ref="AE376:AF376"/>
    <mergeCell ref="AG376:AH376"/>
    <mergeCell ref="AI376:AJ376"/>
    <mergeCell ref="AK376:AL376"/>
    <mergeCell ref="AM376:AN376"/>
    <mergeCell ref="AO376:AP376"/>
    <mergeCell ref="AQ376:AR376"/>
    <mergeCell ref="AS376:AT376"/>
    <mergeCell ref="AU376:AV376"/>
    <mergeCell ref="AW376:AX376"/>
    <mergeCell ref="AY376:AZ376"/>
    <mergeCell ref="BA376:BB376"/>
    <mergeCell ref="BC376:BD376"/>
    <mergeCell ref="W371:X371"/>
    <mergeCell ref="Y371:Z371"/>
    <mergeCell ref="AA371:AB371"/>
    <mergeCell ref="AC371:AD371"/>
    <mergeCell ref="AE371:AF371"/>
    <mergeCell ref="AG371:AH371"/>
    <mergeCell ref="AI371:AJ371"/>
    <mergeCell ref="I371:J371"/>
    <mergeCell ref="K371:L371"/>
    <mergeCell ref="M371:N371"/>
    <mergeCell ref="O371:P371"/>
    <mergeCell ref="Q371:R371"/>
    <mergeCell ref="S371:T371"/>
    <mergeCell ref="U371:V371"/>
    <mergeCell ref="BC372:BD372"/>
    <mergeCell ref="AU350:AV350"/>
    <mergeCell ref="AW350:AX350"/>
    <mergeCell ref="I375:J375"/>
    <mergeCell ref="K375:L375"/>
    <mergeCell ref="M375:N375"/>
    <mergeCell ref="O375:P375"/>
    <mergeCell ref="Q375:R375"/>
    <mergeCell ref="S375:T375"/>
    <mergeCell ref="U375:V375"/>
    <mergeCell ref="AO375:AP375"/>
    <mergeCell ref="AQ375:AR375"/>
    <mergeCell ref="AA375:AB375"/>
    <mergeCell ref="AC375:AD375"/>
    <mergeCell ref="AE375:AF375"/>
    <mergeCell ref="AG375:AH375"/>
    <mergeCell ref="AI375:AJ375"/>
    <mergeCell ref="AK375:AL375"/>
    <mergeCell ref="AM375:AN375"/>
    <mergeCell ref="B369:B372"/>
    <mergeCell ref="C369:C372"/>
    <mergeCell ref="D369:D372"/>
    <mergeCell ref="E369:E372"/>
    <mergeCell ref="F369:F372"/>
    <mergeCell ref="I369:J369"/>
    <mergeCell ref="K369:L369"/>
    <mergeCell ref="M362:N362"/>
    <mergeCell ref="O362:P362"/>
    <mergeCell ref="Q362:R362"/>
    <mergeCell ref="S362:T362"/>
    <mergeCell ref="U362:V362"/>
    <mergeCell ref="W362:X362"/>
    <mergeCell ref="Y362:Z362"/>
    <mergeCell ref="AA362:AB362"/>
    <mergeCell ref="W351:X351"/>
    <mergeCell ref="Y351:Z351"/>
    <mergeCell ref="AA351:AB351"/>
    <mergeCell ref="AC351:AD351"/>
    <mergeCell ref="AE351:AF351"/>
    <mergeCell ref="AG351:AH351"/>
    <mergeCell ref="I351:J351"/>
    <mergeCell ref="K351:L351"/>
    <mergeCell ref="M351:N351"/>
    <mergeCell ref="O351:P351"/>
    <mergeCell ref="Q351:R351"/>
    <mergeCell ref="S351:T351"/>
    <mergeCell ref="U351:V351"/>
    <mergeCell ref="AO353:AP353"/>
    <mergeCell ref="AQ353:AR353"/>
    <mergeCell ref="AS353:AT353"/>
    <mergeCell ref="AU353:AV353"/>
    <mergeCell ref="AW353:AX353"/>
    <mergeCell ref="AC362:AD362"/>
    <mergeCell ref="AE362:AF362"/>
    <mergeCell ref="AG362:AH362"/>
    <mergeCell ref="AI362:AJ362"/>
    <mergeCell ref="AK362:AL362"/>
    <mergeCell ref="AM362:AN362"/>
    <mergeCell ref="AO362:AP362"/>
    <mergeCell ref="AQ362:AR362"/>
    <mergeCell ref="AS362:AT362"/>
    <mergeCell ref="AU362:AV362"/>
    <mergeCell ref="AW362:AX362"/>
    <mergeCell ref="AK353:AL353"/>
    <mergeCell ref="AM353:AN353"/>
    <mergeCell ref="B334:B339"/>
    <mergeCell ref="C334:C339"/>
    <mergeCell ref="D334:D339"/>
    <mergeCell ref="E334:E339"/>
    <mergeCell ref="F334:F339"/>
    <mergeCell ref="I334:J334"/>
    <mergeCell ref="AY153:AZ153"/>
    <mergeCell ref="BA153:BB153"/>
    <mergeCell ref="CG376:CH376"/>
    <mergeCell ref="CI376:CJ376"/>
    <mergeCell ref="CE154:CF154"/>
    <mergeCell ref="CG154:CH154"/>
    <mergeCell ref="CI154:CJ154"/>
    <mergeCell ref="BQ154:BR154"/>
    <mergeCell ref="BS154:BT154"/>
    <mergeCell ref="BU154:BV154"/>
    <mergeCell ref="BW154:BX154"/>
    <mergeCell ref="BY154:BZ154"/>
    <mergeCell ref="CA154:CB154"/>
    <mergeCell ref="CC154:CD154"/>
    <mergeCell ref="W157:X157"/>
    <mergeCell ref="Y157:Z157"/>
    <mergeCell ref="I157:J157"/>
    <mergeCell ref="K157:L157"/>
    <mergeCell ref="M157:N157"/>
    <mergeCell ref="O157:P157"/>
    <mergeCell ref="Q157:R157"/>
    <mergeCell ref="S157:T157"/>
    <mergeCell ref="U157:V157"/>
    <mergeCell ref="AU160:AV160"/>
    <mergeCell ref="AW160:AX160"/>
    <mergeCell ref="AY160:AZ160"/>
    <mergeCell ref="BA160:BB160"/>
    <mergeCell ref="BC160:BD160"/>
    <mergeCell ref="BE160:BF160"/>
    <mergeCell ref="AO159:AP159"/>
    <mergeCell ref="AQ159:AR159"/>
    <mergeCell ref="BY163:BZ163"/>
    <mergeCell ref="CA163:CB163"/>
    <mergeCell ref="CC163:CD163"/>
    <mergeCell ref="CE163:CF163"/>
    <mergeCell ref="BI159:BJ159"/>
    <mergeCell ref="BQ159:BR159"/>
    <mergeCell ref="BS159:BT159"/>
    <mergeCell ref="BU159:BV159"/>
    <mergeCell ref="BW159:BX159"/>
    <mergeCell ref="BY159:BZ159"/>
    <mergeCell ref="AG157:AH157"/>
    <mergeCell ref="AI157:AJ157"/>
    <mergeCell ref="AK157:AL157"/>
    <mergeCell ref="AM157:AN157"/>
    <mergeCell ref="AO157:AP157"/>
    <mergeCell ref="AQ157:AR157"/>
    <mergeCell ref="AS157:AT157"/>
    <mergeCell ref="BQ157:BR157"/>
    <mergeCell ref="BS157:BT157"/>
    <mergeCell ref="BU157:BV157"/>
    <mergeCell ref="BW157:BX157"/>
    <mergeCell ref="BY157:BZ157"/>
    <mergeCell ref="CA157:CB157"/>
    <mergeCell ref="CC157:CD157"/>
    <mergeCell ref="CE157:CF157"/>
    <mergeCell ref="CG157:CH157"/>
    <mergeCell ref="CI157:CJ157"/>
    <mergeCell ref="W145:X145"/>
    <mergeCell ref="Y145:Z145"/>
    <mergeCell ref="I145:J145"/>
    <mergeCell ref="K145:L145"/>
    <mergeCell ref="M145:N145"/>
    <mergeCell ref="O145:P145"/>
    <mergeCell ref="Q145:R145"/>
    <mergeCell ref="S145:T145"/>
    <mergeCell ref="U145:V145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I147:AJ147"/>
    <mergeCell ref="AK147:AL147"/>
    <mergeCell ref="AM147:AN147"/>
    <mergeCell ref="AO147:AP147"/>
    <mergeCell ref="AQ147:AR147"/>
    <mergeCell ref="AS147:AT147"/>
    <mergeCell ref="AU147:AV147"/>
    <mergeCell ref="AW147:AX147"/>
    <mergeCell ref="AY147:AZ147"/>
    <mergeCell ref="BA147:BB147"/>
    <mergeCell ref="BC147:BD147"/>
    <mergeCell ref="BE147:BF147"/>
    <mergeCell ref="BG147:BH147"/>
    <mergeCell ref="B147:B151"/>
    <mergeCell ref="C147:C151"/>
    <mergeCell ref="D147:D151"/>
    <mergeCell ref="E147:E151"/>
    <mergeCell ref="F147:F151"/>
    <mergeCell ref="I147:J147"/>
    <mergeCell ref="K147:L147"/>
    <mergeCell ref="W154:X154"/>
    <mergeCell ref="Y154:Z154"/>
    <mergeCell ref="I154:J154"/>
    <mergeCell ref="K154:L154"/>
    <mergeCell ref="M154:N154"/>
    <mergeCell ref="O154:P154"/>
    <mergeCell ref="Q154:R154"/>
    <mergeCell ref="S154:T154"/>
    <mergeCell ref="U154:V154"/>
    <mergeCell ref="AO154:AP154"/>
    <mergeCell ref="AQ154:AR154"/>
    <mergeCell ref="AA154:AB154"/>
    <mergeCell ref="AC154:AD154"/>
    <mergeCell ref="AE154:AF154"/>
    <mergeCell ref="AG154:AH154"/>
    <mergeCell ref="AI154:AJ154"/>
    <mergeCell ref="AK154:AL154"/>
    <mergeCell ref="AM154:AN154"/>
    <mergeCell ref="AS154:AT154"/>
    <mergeCell ref="AU154:AV154"/>
    <mergeCell ref="AW154:AX154"/>
    <mergeCell ref="AY154:AZ154"/>
    <mergeCell ref="BA154:BB154"/>
    <mergeCell ref="BC154:BD154"/>
    <mergeCell ref="BE154:BF154"/>
    <mergeCell ref="W148:X148"/>
    <mergeCell ref="Y148:Z148"/>
    <mergeCell ref="I148:J148"/>
    <mergeCell ref="K148:L148"/>
    <mergeCell ref="M148:N148"/>
    <mergeCell ref="O148:P148"/>
    <mergeCell ref="Q148:R148"/>
    <mergeCell ref="S148:T148"/>
    <mergeCell ref="U148:V148"/>
    <mergeCell ref="M153:N153"/>
    <mergeCell ref="O153:P153"/>
    <mergeCell ref="Q153:R153"/>
    <mergeCell ref="S153:T153"/>
    <mergeCell ref="U153:V153"/>
    <mergeCell ref="W153:X153"/>
    <mergeCell ref="Y153:Z153"/>
    <mergeCell ref="AA153:AB153"/>
    <mergeCell ref="AC153:AD153"/>
    <mergeCell ref="AE153:AF153"/>
    <mergeCell ref="AG153:AH153"/>
    <mergeCell ref="AI153:AJ153"/>
    <mergeCell ref="AK153:AL153"/>
    <mergeCell ref="AM153:AN153"/>
    <mergeCell ref="AO153:AP153"/>
    <mergeCell ref="AI151:AJ151"/>
    <mergeCell ref="AK151:AL151"/>
    <mergeCell ref="AM151:AN151"/>
    <mergeCell ref="AO151:AP151"/>
    <mergeCell ref="AQ151:AR151"/>
    <mergeCell ref="AS151:AT151"/>
    <mergeCell ref="AY151:AZ151"/>
    <mergeCell ref="BA151:BB151"/>
    <mergeCell ref="AS159:AT159"/>
    <mergeCell ref="AU159:AV159"/>
    <mergeCell ref="AW159:AX159"/>
    <mergeCell ref="AY159:AZ159"/>
    <mergeCell ref="BA159:BB159"/>
    <mergeCell ref="BC159:BD159"/>
    <mergeCell ref="BE159:BF159"/>
    <mergeCell ref="AS160:AT160"/>
    <mergeCell ref="BG161:BH161"/>
    <mergeCell ref="BI161:BJ161"/>
    <mergeCell ref="AS161:AT161"/>
    <mergeCell ref="AU161:AV161"/>
    <mergeCell ref="AW161:AX161"/>
    <mergeCell ref="AY161:AZ161"/>
    <mergeCell ref="BA161:BB161"/>
    <mergeCell ref="BC161:BD161"/>
    <mergeCell ref="BE161:BF161"/>
    <mergeCell ref="EC159:EC163"/>
    <mergeCell ref="ED159:ED163"/>
    <mergeCell ref="EE159:EE163"/>
    <mergeCell ref="DV159:DV163"/>
    <mergeCell ref="DW159:DW163"/>
    <mergeCell ref="DX159:DX163"/>
    <mergeCell ref="DY159:DY163"/>
    <mergeCell ref="DZ159:DZ163"/>
    <mergeCell ref="EA159:EA163"/>
    <mergeCell ref="EB159:EB163"/>
    <mergeCell ref="CA159:CB159"/>
    <mergeCell ref="CC159:CD159"/>
    <mergeCell ref="CE159:CF159"/>
    <mergeCell ref="CG159:CH159"/>
    <mergeCell ref="CI159:CJ159"/>
    <mergeCell ref="CK159:CL159"/>
    <mergeCell ref="CM159:CN159"/>
    <mergeCell ref="CC160:CD160"/>
    <mergeCell ref="CC161:CD161"/>
    <mergeCell ref="CE161:CF161"/>
    <mergeCell ref="CG161:CH161"/>
    <mergeCell ref="CI161:CJ161"/>
    <mergeCell ref="CK161:CL161"/>
    <mergeCell ref="CM161:CN161"/>
    <mergeCell ref="BY160:BZ160"/>
    <mergeCell ref="CA160:CB160"/>
    <mergeCell ref="CE160:CF160"/>
    <mergeCell ref="CG160:CH160"/>
    <mergeCell ref="CI160:CJ160"/>
    <mergeCell ref="CK160:CL160"/>
    <mergeCell ref="CM160:CN160"/>
    <mergeCell ref="AS163:AT163"/>
    <mergeCell ref="AU163:AV163"/>
    <mergeCell ref="AW163:AX163"/>
    <mergeCell ref="AY163:AZ163"/>
    <mergeCell ref="BA163:BB163"/>
    <mergeCell ref="BC163:BD163"/>
    <mergeCell ref="BE163:BF163"/>
    <mergeCell ref="BK159:BL159"/>
    <mergeCell ref="BM159:BN159"/>
    <mergeCell ref="BO159:BP159"/>
    <mergeCell ref="BU163:BV163"/>
    <mergeCell ref="BW163:BX163"/>
    <mergeCell ref="BG163:BH163"/>
    <mergeCell ref="BI163:BJ163"/>
    <mergeCell ref="BK163:BL163"/>
    <mergeCell ref="BM163:BN163"/>
    <mergeCell ref="BO163:BP163"/>
    <mergeCell ref="BQ163:BR163"/>
    <mergeCell ref="BS163:BT163"/>
    <mergeCell ref="CS163:CT163"/>
    <mergeCell ref="CU163:CV163"/>
    <mergeCell ref="CO159:CP159"/>
    <mergeCell ref="CQ159:CR159"/>
    <mergeCell ref="CS159:CT159"/>
    <mergeCell ref="CU159:CV159"/>
    <mergeCell ref="CW159:CX159"/>
    <mergeCell ref="CY159:CZ159"/>
    <mergeCell ref="DU159:DU163"/>
    <mergeCell ref="CY163:CZ163"/>
    <mergeCell ref="CO160:CP160"/>
    <mergeCell ref="CQ160:CR160"/>
    <mergeCell ref="CS160:CT160"/>
    <mergeCell ref="CU160:CV160"/>
    <mergeCell ref="BK154:BL154"/>
    <mergeCell ref="BM154:BN154"/>
    <mergeCell ref="BO154:BP154"/>
    <mergeCell ref="BC153:BD153"/>
    <mergeCell ref="BE153:BF153"/>
    <mergeCell ref="BG153:BH153"/>
    <mergeCell ref="BI153:BJ153"/>
    <mergeCell ref="BK153:BL153"/>
    <mergeCell ref="BM153:BN153"/>
    <mergeCell ref="BO153:BP153"/>
    <mergeCell ref="BI157:BJ157"/>
    <mergeCell ref="BK157:BL157"/>
    <mergeCell ref="BG154:BH154"/>
    <mergeCell ref="BI154:BJ154"/>
    <mergeCell ref="BY161:BZ161"/>
    <mergeCell ref="CA161:CB161"/>
    <mergeCell ref="BK161:BL161"/>
    <mergeCell ref="BM161:BN161"/>
    <mergeCell ref="BO161:BP161"/>
    <mergeCell ref="BQ161:BR161"/>
    <mergeCell ref="BS161:BT161"/>
    <mergeCell ref="BU161:BV161"/>
    <mergeCell ref="BW161:BX161"/>
    <mergeCell ref="AU157:AV157"/>
    <mergeCell ref="AW157:AX157"/>
    <mergeCell ref="AY157:AZ157"/>
    <mergeCell ref="BA157:BB157"/>
    <mergeCell ref="BC157:BD157"/>
    <mergeCell ref="BE157:BF157"/>
    <mergeCell ref="BG157:BH157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I155:AJ155"/>
    <mergeCell ref="BM155:BN155"/>
    <mergeCell ref="BO155:BP155"/>
    <mergeCell ref="BM157:BN157"/>
    <mergeCell ref="BO157:BP157"/>
    <mergeCell ref="AY155:AZ155"/>
    <mergeCell ref="BA155:BB155"/>
    <mergeCell ref="BC155:BD155"/>
    <mergeCell ref="BE155:BF155"/>
    <mergeCell ref="BG155:BH155"/>
    <mergeCell ref="BI155:BJ155"/>
    <mergeCell ref="BK155:BL155"/>
    <mergeCell ref="K156:L156"/>
    <mergeCell ref="M156:N156"/>
    <mergeCell ref="O156:P156"/>
    <mergeCell ref="Q156:R156"/>
    <mergeCell ref="S156:T156"/>
    <mergeCell ref="U156:V156"/>
    <mergeCell ref="AA157:AB157"/>
    <mergeCell ref="AK155:AL155"/>
    <mergeCell ref="AM155:AN155"/>
    <mergeCell ref="AO155:AP155"/>
    <mergeCell ref="AQ155:AR155"/>
    <mergeCell ref="AS155:AT155"/>
    <mergeCell ref="AU155:AV155"/>
    <mergeCell ref="AW155:AX155"/>
    <mergeCell ref="AQ153:AR153"/>
    <mergeCell ref="AS153:AT153"/>
    <mergeCell ref="AU153:AV153"/>
    <mergeCell ref="AW153:AX153"/>
    <mergeCell ref="AK166:AL166"/>
    <mergeCell ref="AM166:AN166"/>
    <mergeCell ref="W166:X166"/>
    <mergeCell ref="Y166:Z166"/>
    <mergeCell ref="AA166:AB166"/>
    <mergeCell ref="AC166:AD166"/>
    <mergeCell ref="AE166:AF166"/>
    <mergeCell ref="AG166:AH166"/>
    <mergeCell ref="AI166:AJ166"/>
    <mergeCell ref="BC166:BD166"/>
    <mergeCell ref="BE166:BF166"/>
    <mergeCell ref="AO166:AP166"/>
    <mergeCell ref="AQ166:AR166"/>
    <mergeCell ref="AS166:AT166"/>
    <mergeCell ref="AU166:AV166"/>
    <mergeCell ref="AW166:AX166"/>
    <mergeCell ref="AY166:AZ166"/>
    <mergeCell ref="BA166:BB166"/>
    <mergeCell ref="BU166:BV166"/>
    <mergeCell ref="BW166:BX166"/>
    <mergeCell ref="BG166:BH166"/>
    <mergeCell ref="BI166:BJ166"/>
    <mergeCell ref="BK166:BL166"/>
    <mergeCell ref="BM166:BN166"/>
    <mergeCell ref="BO166:BP166"/>
    <mergeCell ref="BQ166:BR166"/>
    <mergeCell ref="BS166:BT166"/>
    <mergeCell ref="AO165:AP165"/>
    <mergeCell ref="AQ165:AR165"/>
    <mergeCell ref="AS165:AT165"/>
    <mergeCell ref="AU165:AV165"/>
    <mergeCell ref="AW165:AX165"/>
    <mergeCell ref="AY165:AZ165"/>
    <mergeCell ref="BA165:BB165"/>
    <mergeCell ref="AA165:AB165"/>
    <mergeCell ref="AC165:AD165"/>
    <mergeCell ref="AE165:AF165"/>
    <mergeCell ref="AG165:AH165"/>
    <mergeCell ref="AI165:AJ165"/>
    <mergeCell ref="AA159:AB159"/>
    <mergeCell ref="AC159:AD159"/>
    <mergeCell ref="AE159:AF159"/>
    <mergeCell ref="AG159:AH159"/>
    <mergeCell ref="AI159:AJ159"/>
    <mergeCell ref="AK159:AL159"/>
    <mergeCell ref="AM159:AN159"/>
    <mergeCell ref="AM160:AN160"/>
    <mergeCell ref="AO160:AP160"/>
    <mergeCell ref="AQ160:AR160"/>
    <mergeCell ref="Y160:Z160"/>
    <mergeCell ref="AA160:AB160"/>
    <mergeCell ref="AC160:AD160"/>
    <mergeCell ref="AE160:AF160"/>
    <mergeCell ref="AG160:AH160"/>
    <mergeCell ref="AI160:AJ160"/>
    <mergeCell ref="AK160:AL160"/>
    <mergeCell ref="AM161:AN161"/>
    <mergeCell ref="AO161:AP161"/>
    <mergeCell ref="AQ161:AR161"/>
    <mergeCell ref="Y161:Z161"/>
    <mergeCell ref="AS168:AT168"/>
    <mergeCell ref="AU168:AV168"/>
    <mergeCell ref="AW168:AX168"/>
    <mergeCell ref="BM168:BN168"/>
    <mergeCell ref="BO168:BP168"/>
    <mergeCell ref="BQ168:BR168"/>
    <mergeCell ref="BS168:BT168"/>
    <mergeCell ref="BU168:BV168"/>
    <mergeCell ref="BW168:BX168"/>
    <mergeCell ref="AY168:AZ168"/>
    <mergeCell ref="BA168:BB168"/>
    <mergeCell ref="BC168:BD168"/>
    <mergeCell ref="BE168:BF168"/>
    <mergeCell ref="BG168:BH168"/>
    <mergeCell ref="BI168:BJ168"/>
    <mergeCell ref="BK168:BL168"/>
    <mergeCell ref="AK169:AL169"/>
    <mergeCell ref="AM169:AN169"/>
    <mergeCell ref="AO169:AP169"/>
    <mergeCell ref="AQ169:AR169"/>
    <mergeCell ref="AS169:AT169"/>
    <mergeCell ref="AU169:AV169"/>
    <mergeCell ref="AW169:AX169"/>
    <mergeCell ref="BM169:BN169"/>
    <mergeCell ref="BO169:BP169"/>
    <mergeCell ref="BQ169:BR169"/>
    <mergeCell ref="BS169:BT169"/>
    <mergeCell ref="BU169:BV169"/>
    <mergeCell ref="BW169:BX169"/>
    <mergeCell ref="AY169:AZ169"/>
    <mergeCell ref="BA169:BB169"/>
    <mergeCell ref="BC169:BD169"/>
    <mergeCell ref="BE169:BF169"/>
    <mergeCell ref="BG169:BH169"/>
    <mergeCell ref="BI169:BJ169"/>
    <mergeCell ref="BK169:BL169"/>
    <mergeCell ref="AQ168:AR168"/>
    <mergeCell ref="BG167:BH167"/>
    <mergeCell ref="BI167:BJ167"/>
    <mergeCell ref="AS167:AT167"/>
    <mergeCell ref="AU167:AV167"/>
    <mergeCell ref="AW167:AX167"/>
    <mergeCell ref="AY167:AZ167"/>
    <mergeCell ref="BA167:BB167"/>
    <mergeCell ref="BC167:BD167"/>
    <mergeCell ref="BE167:BF167"/>
    <mergeCell ref="BY167:BZ167"/>
    <mergeCell ref="CA167:CB167"/>
    <mergeCell ref="BK167:BL167"/>
    <mergeCell ref="BM167:BN167"/>
    <mergeCell ref="BO167:BP167"/>
    <mergeCell ref="BQ167:BR167"/>
    <mergeCell ref="BS167:BT167"/>
    <mergeCell ref="BU167:BV167"/>
    <mergeCell ref="BW167:BX167"/>
    <mergeCell ref="B159:B163"/>
    <mergeCell ref="C159:C163"/>
    <mergeCell ref="D159:D163"/>
    <mergeCell ref="E159:E163"/>
    <mergeCell ref="F159:F163"/>
    <mergeCell ref="I159:J159"/>
    <mergeCell ref="K159:L159"/>
    <mergeCell ref="I166:J166"/>
    <mergeCell ref="K166:L166"/>
    <mergeCell ref="M166:N166"/>
    <mergeCell ref="O166:P166"/>
    <mergeCell ref="Q166:R166"/>
    <mergeCell ref="S166:T166"/>
    <mergeCell ref="U166:V166"/>
    <mergeCell ref="I167:J167"/>
    <mergeCell ref="K167:L167"/>
    <mergeCell ref="M167:N167"/>
    <mergeCell ref="O167:P167"/>
    <mergeCell ref="Q167:R167"/>
    <mergeCell ref="S167:T167"/>
    <mergeCell ref="U167:V167"/>
    <mergeCell ref="M159:N159"/>
    <mergeCell ref="O159:P159"/>
    <mergeCell ref="Q159:R159"/>
    <mergeCell ref="S159:T159"/>
    <mergeCell ref="U159:V159"/>
    <mergeCell ref="W159:X159"/>
    <mergeCell ref="Y159:Z159"/>
    <mergeCell ref="BU160:BV160"/>
    <mergeCell ref="BW160:BX160"/>
    <mergeCell ref="BG160:BH160"/>
    <mergeCell ref="BI160:BJ160"/>
    <mergeCell ref="BK160:BL160"/>
    <mergeCell ref="BM160:BN160"/>
    <mergeCell ref="BO160:BP160"/>
    <mergeCell ref="BQ160:BR160"/>
    <mergeCell ref="BS160:BT160"/>
    <mergeCell ref="B165:B169"/>
    <mergeCell ref="C165:C169"/>
    <mergeCell ref="D165:D169"/>
    <mergeCell ref="E165:E169"/>
    <mergeCell ref="F165:F169"/>
    <mergeCell ref="I165:J165"/>
    <mergeCell ref="K165:L165"/>
    <mergeCell ref="I169:J169"/>
    <mergeCell ref="K169:L169"/>
    <mergeCell ref="CM167:CN167"/>
    <mergeCell ref="CO167:CP167"/>
    <mergeCell ref="CQ167:CR167"/>
    <mergeCell ref="CO168:CP168"/>
    <mergeCell ref="CQ168:CR168"/>
    <mergeCell ref="CC167:CD167"/>
    <mergeCell ref="BY168:BZ168"/>
    <mergeCell ref="CA168:CB168"/>
    <mergeCell ref="CC168:CD168"/>
    <mergeCell ref="CE168:CF168"/>
    <mergeCell ref="CG168:CH168"/>
    <mergeCell ref="CI168:CJ168"/>
    <mergeCell ref="CE165:CF165"/>
    <mergeCell ref="CG165:CH165"/>
    <mergeCell ref="CI165:CJ165"/>
    <mergeCell ref="CK165:CL165"/>
    <mergeCell ref="CM165:CN165"/>
    <mergeCell ref="CO165:CP165"/>
    <mergeCell ref="CQ165:CR165"/>
    <mergeCell ref="CI172:CJ172"/>
    <mergeCell ref="CM172:CN172"/>
    <mergeCell ref="CO172:CP172"/>
    <mergeCell ref="CM166:CN166"/>
    <mergeCell ref="CO166:CP166"/>
    <mergeCell ref="BY166:BZ166"/>
    <mergeCell ref="CA166:CB166"/>
    <mergeCell ref="CC166:CD166"/>
    <mergeCell ref="CE166:CF166"/>
    <mergeCell ref="CG166:CH166"/>
    <mergeCell ref="CI166:CJ166"/>
    <mergeCell ref="CK166:CL166"/>
    <mergeCell ref="CQ172:CR172"/>
    <mergeCell ref="CI169:CJ169"/>
    <mergeCell ref="CK169:CL169"/>
    <mergeCell ref="CQ179:CR179"/>
    <mergeCell ref="AS178:AT178"/>
    <mergeCell ref="AU178:AV178"/>
    <mergeCell ref="AW178:AX178"/>
    <mergeCell ref="AY178:AZ178"/>
    <mergeCell ref="BA178:BB178"/>
    <mergeCell ref="BC178:BD178"/>
    <mergeCell ref="BE178:BF178"/>
    <mergeCell ref="AS179:AT179"/>
    <mergeCell ref="AU179:AV179"/>
    <mergeCell ref="AW179:AX179"/>
    <mergeCell ref="AY179:AZ179"/>
    <mergeCell ref="BA179:BB179"/>
    <mergeCell ref="BC179:BD179"/>
    <mergeCell ref="BE179:BF179"/>
    <mergeCell ref="BU178:BV178"/>
    <mergeCell ref="BW178:BX178"/>
    <mergeCell ref="BY178:BZ178"/>
    <mergeCell ref="CA178:CB178"/>
    <mergeCell ref="CC178:CD178"/>
    <mergeCell ref="CE178:CF178"/>
    <mergeCell ref="CG178:CH178"/>
    <mergeCell ref="AK165:AL165"/>
    <mergeCell ref="AM165:AN165"/>
    <mergeCell ref="BC176:BD176"/>
    <mergeCell ref="BE176:BF176"/>
    <mergeCell ref="BG176:BH176"/>
    <mergeCell ref="BI176:BJ176"/>
    <mergeCell ref="CO176:CP176"/>
    <mergeCell ref="CQ176:CR176"/>
    <mergeCell ref="CO177:CP177"/>
    <mergeCell ref="CQ177:CR177"/>
    <mergeCell ref="CA176:CB176"/>
    <mergeCell ref="CC176:CD176"/>
    <mergeCell ref="CE176:CF176"/>
    <mergeCell ref="CG176:CH176"/>
    <mergeCell ref="CI176:CJ176"/>
    <mergeCell ref="CK176:CL176"/>
    <mergeCell ref="CM176:CN176"/>
    <mergeCell ref="BM172:BN172"/>
    <mergeCell ref="BO172:BP172"/>
    <mergeCell ref="AU176:AV176"/>
    <mergeCell ref="AW176:AX176"/>
    <mergeCell ref="AY176:AZ176"/>
    <mergeCell ref="BA176:BB176"/>
    <mergeCell ref="BO176:BP176"/>
    <mergeCell ref="AS176:AT176"/>
    <mergeCell ref="AS177:AT177"/>
    <mergeCell ref="AU177:AV177"/>
    <mergeCell ref="AW177:AX177"/>
    <mergeCell ref="AY177:AZ177"/>
    <mergeCell ref="BA177:BB177"/>
    <mergeCell ref="BC177:BD177"/>
    <mergeCell ref="BK176:BL176"/>
    <mergeCell ref="BM176:BN176"/>
    <mergeCell ref="BQ176:BR176"/>
    <mergeCell ref="BS176:BT176"/>
    <mergeCell ref="BU176:BV176"/>
    <mergeCell ref="BW176:BX176"/>
    <mergeCell ref="BY176:BZ176"/>
    <mergeCell ref="CE167:CF167"/>
    <mergeCell ref="CG167:CH167"/>
    <mergeCell ref="CI167:CJ167"/>
    <mergeCell ref="CK167:CL167"/>
    <mergeCell ref="DZ165:DZ169"/>
    <mergeCell ref="EA165:EA169"/>
    <mergeCell ref="EB165:EB169"/>
    <mergeCell ref="EC165:EC169"/>
    <mergeCell ref="ED165:ED169"/>
    <mergeCell ref="EE165:EE169"/>
    <mergeCell ref="CQ166:CR166"/>
    <mergeCell ref="CS166:CT166"/>
    <mergeCell ref="BC165:BD165"/>
    <mergeCell ref="BE165:BF165"/>
    <mergeCell ref="BG165:BH165"/>
    <mergeCell ref="BI165:BJ165"/>
    <mergeCell ref="BK165:BL165"/>
    <mergeCell ref="BM165:BN165"/>
    <mergeCell ref="BO165:BP165"/>
    <mergeCell ref="BQ165:BR165"/>
    <mergeCell ref="BS165:BT165"/>
    <mergeCell ref="BU165:BV165"/>
    <mergeCell ref="BW165:BX165"/>
    <mergeCell ref="BY165:BZ165"/>
    <mergeCell ref="CA165:CB165"/>
    <mergeCell ref="CC165:CD165"/>
    <mergeCell ref="AA168:AB168"/>
    <mergeCell ref="AC168:AD168"/>
    <mergeCell ref="CM169:CN169"/>
    <mergeCell ref="CO169:CP169"/>
    <mergeCell ref="CQ169:CR169"/>
    <mergeCell ref="CW172:CX172"/>
    <mergeCell ref="CY172:CZ172"/>
    <mergeCell ref="CW176:CX176"/>
    <mergeCell ref="CY176:CZ176"/>
    <mergeCell ref="DZ171:DZ179"/>
    <mergeCell ref="EA171:EA179"/>
    <mergeCell ref="EB171:EB179"/>
    <mergeCell ref="EC171:EC179"/>
    <mergeCell ref="ED171:ED179"/>
    <mergeCell ref="EE171:EE179"/>
    <mergeCell ref="CS178:CT178"/>
    <mergeCell ref="CS179:CT179"/>
    <mergeCell ref="CS165:CT165"/>
    <mergeCell ref="CS167:CT167"/>
    <mergeCell ref="CS168:CT168"/>
    <mergeCell ref="CS169:CT169"/>
    <mergeCell ref="CS172:CT172"/>
    <mergeCell ref="CS176:CT176"/>
    <mergeCell ref="CS177:CT177"/>
    <mergeCell ref="CK168:CL168"/>
    <mergeCell ref="CM168:CN168"/>
    <mergeCell ref="BY169:BZ169"/>
    <mergeCell ref="CA169:CB169"/>
    <mergeCell ref="CC169:CD169"/>
    <mergeCell ref="CE169:CF169"/>
    <mergeCell ref="CG169:CH169"/>
    <mergeCell ref="BQ172:BR172"/>
    <mergeCell ref="BS172:BT172"/>
    <mergeCell ref="BU172:BV172"/>
    <mergeCell ref="BW172:BX172"/>
    <mergeCell ref="BY172:BZ172"/>
    <mergeCell ref="CA172:CB172"/>
    <mergeCell ref="CC172:CD172"/>
    <mergeCell ref="CE172:CF172"/>
    <mergeCell ref="CG172:CH172"/>
    <mergeCell ref="CM179:CN179"/>
    <mergeCell ref="CO179:CP179"/>
    <mergeCell ref="CY177:CZ177"/>
    <mergeCell ref="CW178:CX178"/>
    <mergeCell ref="CY178:CZ178"/>
    <mergeCell ref="CW179:CX179"/>
    <mergeCell ref="CY179:CZ179"/>
    <mergeCell ref="CW169:CX169"/>
    <mergeCell ref="CY169:CZ169"/>
    <mergeCell ref="DU171:DU179"/>
    <mergeCell ref="DV171:DV179"/>
    <mergeCell ref="DW171:DW179"/>
    <mergeCell ref="DX171:DX179"/>
    <mergeCell ref="DY171:DY179"/>
    <mergeCell ref="CU166:CV166"/>
    <mergeCell ref="CW166:CX166"/>
    <mergeCell ref="CU167:CV167"/>
    <mergeCell ref="CW167:CX167"/>
    <mergeCell ref="CU165:CV165"/>
    <mergeCell ref="CU168:CV168"/>
    <mergeCell ref="CU169:CV169"/>
    <mergeCell ref="CU172:CV172"/>
    <mergeCell ref="CU176:CV176"/>
    <mergeCell ref="CU177:CV177"/>
    <mergeCell ref="CU178:CV178"/>
    <mergeCell ref="CU179:CV179"/>
    <mergeCell ref="CW168:CX168"/>
    <mergeCell ref="CY168:CZ168"/>
    <mergeCell ref="CW165:CX165"/>
    <mergeCell ref="CY165:CZ165"/>
    <mergeCell ref="DU165:DU169"/>
    <mergeCell ref="DV165:DV169"/>
    <mergeCell ref="DW165:DW169"/>
    <mergeCell ref="CY166:CZ166"/>
    <mergeCell ref="CY167:CZ167"/>
    <mergeCell ref="DX165:DX169"/>
    <mergeCell ref="DY165:DY169"/>
    <mergeCell ref="BI172:BJ172"/>
    <mergeCell ref="BK172:BL172"/>
    <mergeCell ref="CK172:CL172"/>
    <mergeCell ref="CK177:CL177"/>
    <mergeCell ref="CM177:CN177"/>
    <mergeCell ref="BW177:BX177"/>
    <mergeCell ref="BY177:BZ177"/>
    <mergeCell ref="CA177:CB177"/>
    <mergeCell ref="CC177:CD177"/>
    <mergeCell ref="CE177:CF177"/>
    <mergeCell ref="CG177:CH177"/>
    <mergeCell ref="CI177:CJ177"/>
    <mergeCell ref="BU179:BV179"/>
    <mergeCell ref="BW179:BX179"/>
    <mergeCell ref="BG179:BH179"/>
    <mergeCell ref="BI179:BJ179"/>
    <mergeCell ref="BK179:BL179"/>
    <mergeCell ref="BM179:BN179"/>
    <mergeCell ref="BO179:BP179"/>
    <mergeCell ref="BQ179:BR179"/>
    <mergeCell ref="BS179:BT179"/>
    <mergeCell ref="CU199:CV199"/>
    <mergeCell ref="CW199:CX199"/>
    <mergeCell ref="CQ198:CR198"/>
    <mergeCell ref="CQ200:CR200"/>
    <mergeCell ref="CS200:CT200"/>
    <mergeCell ref="CU200:CV200"/>
    <mergeCell ref="CW200:CX200"/>
    <mergeCell ref="BE200:BF200"/>
    <mergeCell ref="BG200:BH200"/>
    <mergeCell ref="BM198:BN198"/>
    <mergeCell ref="BM199:BN199"/>
    <mergeCell ref="CW177:CX177"/>
    <mergeCell ref="BY179:BZ179"/>
    <mergeCell ref="CA179:CB179"/>
    <mergeCell ref="CC179:CD179"/>
    <mergeCell ref="CE179:CF179"/>
    <mergeCell ref="CG179:CH179"/>
    <mergeCell ref="CI179:CJ179"/>
    <mergeCell ref="CK179:CL179"/>
    <mergeCell ref="BS177:BT177"/>
    <mergeCell ref="BU177:BV177"/>
    <mergeCell ref="BE177:BF177"/>
    <mergeCell ref="BG177:BH177"/>
    <mergeCell ref="BI177:BJ177"/>
    <mergeCell ref="BK177:BL177"/>
    <mergeCell ref="BM177:BN177"/>
    <mergeCell ref="BO177:BP177"/>
    <mergeCell ref="BQ177:BR177"/>
    <mergeCell ref="BG178:BH178"/>
    <mergeCell ref="BI178:BJ178"/>
    <mergeCell ref="BK178:BL178"/>
    <mergeCell ref="BM178:BN178"/>
    <mergeCell ref="BO178:BP178"/>
    <mergeCell ref="BQ178:BR178"/>
    <mergeCell ref="BS178:BT178"/>
    <mergeCell ref="CI178:CJ178"/>
    <mergeCell ref="CK178:CL178"/>
    <mergeCell ref="CS198:CT198"/>
    <mergeCell ref="CU198:CV198"/>
    <mergeCell ref="CW198:CX198"/>
    <mergeCell ref="CM178:CN178"/>
    <mergeCell ref="CO178:CP178"/>
    <mergeCell ref="CQ178:CR178"/>
    <mergeCell ref="CY198:CZ198"/>
    <mergeCell ref="DU198:DU204"/>
    <mergeCell ref="DV198:DV204"/>
    <mergeCell ref="CY199:CZ199"/>
    <mergeCell ref="CC198:CD198"/>
    <mergeCell ref="CE198:CF198"/>
    <mergeCell ref="CG198:CH198"/>
    <mergeCell ref="CI198:CJ198"/>
    <mergeCell ref="CK198:CL198"/>
    <mergeCell ref="CM198:CN198"/>
    <mergeCell ref="CO198:CP198"/>
    <mergeCell ref="ED198:ED204"/>
    <mergeCell ref="EE198:EE204"/>
    <mergeCell ref="DW198:DW204"/>
    <mergeCell ref="DX198:DX204"/>
    <mergeCell ref="DY198:DY204"/>
    <mergeCell ref="DZ198:DZ204"/>
    <mergeCell ref="EA198:EA204"/>
    <mergeCell ref="EB198:EB204"/>
    <mergeCell ref="EC198:EC204"/>
    <mergeCell ref="BO198:BP198"/>
    <mergeCell ref="BQ198:BR198"/>
    <mergeCell ref="BS198:BT198"/>
    <mergeCell ref="BU198:BV198"/>
    <mergeCell ref="BW198:BX198"/>
    <mergeCell ref="BY198:BZ198"/>
    <mergeCell ref="CA198:CB198"/>
    <mergeCell ref="CQ199:CR199"/>
    <mergeCell ref="CS199:CT199"/>
    <mergeCell ref="BO199:BP199"/>
    <mergeCell ref="BQ199:BR199"/>
    <mergeCell ref="BS199:BT199"/>
    <mergeCell ref="BU199:BV199"/>
    <mergeCell ref="BW199:BX199"/>
    <mergeCell ref="BY199:BZ199"/>
    <mergeCell ref="CA199:CB199"/>
    <mergeCell ref="CG200:CH200"/>
    <mergeCell ref="CI200:CJ200"/>
    <mergeCell ref="CK200:CL200"/>
    <mergeCell ref="CM200:CN200"/>
    <mergeCell ref="CO200:CP200"/>
    <mergeCell ref="CC199:CD199"/>
    <mergeCell ref="CE199:CF199"/>
    <mergeCell ref="CG199:CH199"/>
    <mergeCell ref="CI199:CJ199"/>
    <mergeCell ref="CK199:CL199"/>
    <mergeCell ref="CM199:CN199"/>
    <mergeCell ref="CO199:CP199"/>
    <mergeCell ref="CE200:CF200"/>
    <mergeCell ref="CY200:CZ200"/>
    <mergeCell ref="CC200:CD200"/>
    <mergeCell ref="BO200:BP200"/>
    <mergeCell ref="BQ200:BR200"/>
    <mergeCell ref="BS200:BT200"/>
    <mergeCell ref="BU200:BV200"/>
    <mergeCell ref="BW200:BX200"/>
    <mergeCell ref="BY200:BZ200"/>
    <mergeCell ref="CA200:CB200"/>
    <mergeCell ref="BC172:BD172"/>
    <mergeCell ref="BE172:BF172"/>
    <mergeCell ref="BG172:BH172"/>
    <mergeCell ref="AM168:AN168"/>
    <mergeCell ref="AO168:AP168"/>
    <mergeCell ref="AG169:AH169"/>
    <mergeCell ref="AQ163:AR163"/>
    <mergeCell ref="W163:X163"/>
    <mergeCell ref="Y163:Z163"/>
    <mergeCell ref="AA163:AB163"/>
    <mergeCell ref="AC163:AD163"/>
    <mergeCell ref="AE163:AF163"/>
    <mergeCell ref="AG163:AH163"/>
    <mergeCell ref="AI163:AJ163"/>
    <mergeCell ref="M165:N165"/>
    <mergeCell ref="O165:P165"/>
    <mergeCell ref="Q165:R165"/>
    <mergeCell ref="S165:T165"/>
    <mergeCell ref="U165:V165"/>
    <mergeCell ref="W165:X165"/>
    <mergeCell ref="Y165:Z165"/>
    <mergeCell ref="AA183:AB183"/>
    <mergeCell ref="AG183:AH183"/>
    <mergeCell ref="AI183:AJ183"/>
    <mergeCell ref="AK183:AL183"/>
    <mergeCell ref="AM183:AN183"/>
    <mergeCell ref="AO183:AP183"/>
    <mergeCell ref="AQ183:AR183"/>
    <mergeCell ref="AQ176:AR176"/>
    <mergeCell ref="AQ177:AR177"/>
    <mergeCell ref="Y179:Z179"/>
    <mergeCell ref="AA179:AB179"/>
    <mergeCell ref="AC179:AD179"/>
    <mergeCell ref="AE179:AF179"/>
    <mergeCell ref="AG179:AH179"/>
    <mergeCell ref="AI179:AJ179"/>
    <mergeCell ref="AK179:AL179"/>
    <mergeCell ref="O179:P179"/>
    <mergeCell ref="Q179:R179"/>
    <mergeCell ref="S179:T179"/>
    <mergeCell ref="U179:V179"/>
    <mergeCell ref="AO167:AP167"/>
    <mergeCell ref="AQ167:AR167"/>
    <mergeCell ref="AA167:AB167"/>
    <mergeCell ref="AC167:AD167"/>
    <mergeCell ref="AE167:AF167"/>
    <mergeCell ref="AG167:AH167"/>
    <mergeCell ref="AI167:AJ167"/>
    <mergeCell ref="AK167:AL167"/>
    <mergeCell ref="AM167:AN167"/>
    <mergeCell ref="M168:N168"/>
    <mergeCell ref="O168:P168"/>
    <mergeCell ref="Q168:R168"/>
    <mergeCell ref="S168:T168"/>
    <mergeCell ref="U168:V168"/>
    <mergeCell ref="M169:N169"/>
    <mergeCell ref="O169:P169"/>
    <mergeCell ref="Q169:R169"/>
    <mergeCell ref="S169:T169"/>
    <mergeCell ref="U169:V169"/>
    <mergeCell ref="M163:N163"/>
    <mergeCell ref="O163:P163"/>
    <mergeCell ref="Q163:R163"/>
    <mergeCell ref="S163:T163"/>
    <mergeCell ref="U163:V163"/>
    <mergeCell ref="AA176:AB176"/>
    <mergeCell ref="AK178:AL178"/>
    <mergeCell ref="AG161:AH161"/>
    <mergeCell ref="AI161:AJ161"/>
    <mergeCell ref="AK161:AL161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I179:J179"/>
    <mergeCell ref="K179:L179"/>
    <mergeCell ref="I168:J168"/>
    <mergeCell ref="K168:L168"/>
    <mergeCell ref="I163:J163"/>
    <mergeCell ref="K163:L163"/>
    <mergeCell ref="W167:X167"/>
    <mergeCell ref="Y167:Z167"/>
    <mergeCell ref="W168:X168"/>
    <mergeCell ref="Y168:Z168"/>
    <mergeCell ref="AE168:AF168"/>
    <mergeCell ref="W169:X169"/>
    <mergeCell ref="Y169:Z169"/>
    <mergeCell ref="AA169:AB169"/>
    <mergeCell ref="AC169:AD169"/>
    <mergeCell ref="AE169:AF169"/>
    <mergeCell ref="AG168:AH168"/>
    <mergeCell ref="AI168:AJ168"/>
    <mergeCell ref="AK168:AL168"/>
    <mergeCell ref="W177:X177"/>
    <mergeCell ref="M177:N177"/>
    <mergeCell ref="I178:J178"/>
    <mergeCell ref="K178:L178"/>
    <mergeCell ref="M178:N178"/>
    <mergeCell ref="O178:P178"/>
    <mergeCell ref="Q178:R178"/>
    <mergeCell ref="S178:T178"/>
    <mergeCell ref="U177:V177"/>
    <mergeCell ref="M179:N179"/>
    <mergeCell ref="AI178:AJ178"/>
    <mergeCell ref="B153:B157"/>
    <mergeCell ref="C153:C157"/>
    <mergeCell ref="D153:D157"/>
    <mergeCell ref="E153:E157"/>
    <mergeCell ref="F153:F157"/>
    <mergeCell ref="I153:J153"/>
    <mergeCell ref="K153:L153"/>
    <mergeCell ref="AM177:AN177"/>
    <mergeCell ref="AO177:AP177"/>
    <mergeCell ref="Y177:Z177"/>
    <mergeCell ref="AA177:AB177"/>
    <mergeCell ref="AC177:AD177"/>
    <mergeCell ref="AE177:AF177"/>
    <mergeCell ref="AG177:AH177"/>
    <mergeCell ref="AI177:AJ177"/>
    <mergeCell ref="AK177:AL177"/>
    <mergeCell ref="O171:P171"/>
    <mergeCell ref="Q171:R171"/>
    <mergeCell ref="S171:T171"/>
    <mergeCell ref="U171:V171"/>
    <mergeCell ref="W171:X171"/>
    <mergeCell ref="Y172:Z172"/>
    <mergeCell ref="AA172:AB172"/>
    <mergeCell ref="AC172:AD172"/>
    <mergeCell ref="AE172:AF172"/>
    <mergeCell ref="K172:L172"/>
    <mergeCell ref="M172:N172"/>
    <mergeCell ref="O172:P172"/>
    <mergeCell ref="Q172:R172"/>
    <mergeCell ref="S172:T172"/>
    <mergeCell ref="U172:V172"/>
    <mergeCell ref="W172:X172"/>
    <mergeCell ref="I176:J176"/>
    <mergeCell ref="Q176:R176"/>
    <mergeCell ref="S176:T176"/>
    <mergeCell ref="AI169:AJ169"/>
    <mergeCell ref="AK163:AL163"/>
    <mergeCell ref="AM163:AN163"/>
    <mergeCell ref="AO163:AP163"/>
    <mergeCell ref="B171:B179"/>
    <mergeCell ref="U176:V176"/>
    <mergeCell ref="W176:X176"/>
    <mergeCell ref="Y176:Z176"/>
    <mergeCell ref="I177:J177"/>
    <mergeCell ref="K177:L177"/>
    <mergeCell ref="O177:P177"/>
    <mergeCell ref="Q177:R177"/>
    <mergeCell ref="S177:T177"/>
    <mergeCell ref="AC176:AD176"/>
    <mergeCell ref="AE176:AF176"/>
    <mergeCell ref="AG176:AH176"/>
    <mergeCell ref="AI176:AJ176"/>
    <mergeCell ref="AK176:AL176"/>
    <mergeCell ref="AM176:AN176"/>
    <mergeCell ref="AO176:AP176"/>
    <mergeCell ref="C171:C179"/>
    <mergeCell ref="D171:D179"/>
    <mergeCell ref="E171:E179"/>
    <mergeCell ref="F171:F179"/>
    <mergeCell ref="K171:L171"/>
    <mergeCell ref="M171:N171"/>
    <mergeCell ref="AA161:AB161"/>
    <mergeCell ref="AC161:AD161"/>
    <mergeCell ref="AE161:AF161"/>
    <mergeCell ref="BM206:BN206"/>
    <mergeCell ref="BO206:BP206"/>
    <mergeCell ref="AA198:AB198"/>
    <mergeCell ref="AC198:AD198"/>
    <mergeCell ref="AE198:AF198"/>
    <mergeCell ref="AG198:AH198"/>
    <mergeCell ref="AI198:AJ198"/>
    <mergeCell ref="AK198:AL198"/>
    <mergeCell ref="AM198:AN198"/>
    <mergeCell ref="AO198:AP198"/>
    <mergeCell ref="AQ198:AR198"/>
    <mergeCell ref="AS198:AT198"/>
    <mergeCell ref="AU198:AV198"/>
    <mergeCell ref="AW198:AX198"/>
    <mergeCell ref="AY198:AZ198"/>
    <mergeCell ref="BI198:BJ198"/>
    <mergeCell ref="BA198:BB198"/>
    <mergeCell ref="BC198:BD198"/>
    <mergeCell ref="BE198:BF198"/>
    <mergeCell ref="BG198:BH198"/>
    <mergeCell ref="BK198:BL198"/>
    <mergeCell ref="AA199:AB199"/>
    <mergeCell ref="AM178:AN178"/>
    <mergeCell ref="AO178:AP178"/>
    <mergeCell ref="AQ178:AR178"/>
    <mergeCell ref="U178:V178"/>
    <mergeCell ref="W178:X178"/>
    <mergeCell ref="Y178:Z178"/>
    <mergeCell ref="AA178:AB178"/>
    <mergeCell ref="AC178:AD178"/>
    <mergeCell ref="AE178:AF178"/>
    <mergeCell ref="AG178:AH178"/>
    <mergeCell ref="AM179:AN179"/>
    <mergeCell ref="AO179:AP179"/>
    <mergeCell ref="AQ179:AR179"/>
    <mergeCell ref="AQ199:AR199"/>
    <mergeCell ref="U198:V198"/>
    <mergeCell ref="W198:X198"/>
    <mergeCell ref="AS199:AT199"/>
    <mergeCell ref="AC199:AD199"/>
    <mergeCell ref="AE199:AF199"/>
    <mergeCell ref="AG199:AH199"/>
    <mergeCell ref="AI199:AJ199"/>
    <mergeCell ref="AK199:AL199"/>
    <mergeCell ref="AM199:AN199"/>
    <mergeCell ref="AO199:AP199"/>
    <mergeCell ref="BI199:BJ199"/>
    <mergeCell ref="BK199:BL199"/>
    <mergeCell ref="AU199:AV199"/>
    <mergeCell ref="AW199:AX199"/>
    <mergeCell ref="AY199:AZ199"/>
    <mergeCell ref="BA199:BB199"/>
    <mergeCell ref="BC199:BD199"/>
    <mergeCell ref="BE199:BF199"/>
    <mergeCell ref="BG199:BH199"/>
    <mergeCell ref="W179:X179"/>
    <mergeCell ref="D198:D204"/>
    <mergeCell ref="E198:E204"/>
    <mergeCell ref="F198:F204"/>
    <mergeCell ref="Y198:Z198"/>
    <mergeCell ref="U200:V200"/>
    <mergeCell ref="W200:X200"/>
    <mergeCell ref="M199:N199"/>
    <mergeCell ref="I200:J200"/>
    <mergeCell ref="K200:L200"/>
    <mergeCell ref="M200:N200"/>
    <mergeCell ref="O200:P200"/>
    <mergeCell ref="Q200:R200"/>
    <mergeCell ref="S200:T200"/>
    <mergeCell ref="Y200:Z200"/>
    <mergeCell ref="AS206:AT206"/>
    <mergeCell ref="AU206:AV206"/>
    <mergeCell ref="AW206:AX206"/>
    <mergeCell ref="AY206:AZ206"/>
    <mergeCell ref="BA206:BB206"/>
    <mergeCell ref="BC206:BD206"/>
    <mergeCell ref="BE206:BF206"/>
    <mergeCell ref="BG206:BH206"/>
    <mergeCell ref="BI206:BJ206"/>
    <mergeCell ref="BK206:BL206"/>
    <mergeCell ref="B181:B187"/>
    <mergeCell ref="C181:C187"/>
    <mergeCell ref="D181:D187"/>
    <mergeCell ref="E181:E187"/>
    <mergeCell ref="F181:F187"/>
    <mergeCell ref="W182:X182"/>
    <mergeCell ref="Y182:Z182"/>
    <mergeCell ref="I182:J182"/>
    <mergeCell ref="K182:L182"/>
    <mergeCell ref="M182:N182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Z183"/>
    <mergeCell ref="Y199:Z199"/>
    <mergeCell ref="I199:J199"/>
    <mergeCell ref="K199:L199"/>
    <mergeCell ref="O199:P199"/>
    <mergeCell ref="Q199:R199"/>
    <mergeCell ref="S199:T199"/>
    <mergeCell ref="U199:V199"/>
    <mergeCell ref="W199:X199"/>
    <mergeCell ref="I181:J181"/>
    <mergeCell ref="I198:J198"/>
    <mergeCell ref="K198:L198"/>
    <mergeCell ref="M198:N198"/>
    <mergeCell ref="O198:P198"/>
    <mergeCell ref="Q198:R198"/>
    <mergeCell ref="S198:T198"/>
    <mergeCell ref="K181:L181"/>
    <mergeCell ref="B198:B204"/>
    <mergeCell ref="C198:C204"/>
    <mergeCell ref="M181:N181"/>
    <mergeCell ref="B190:B196"/>
    <mergeCell ref="C190:C196"/>
    <mergeCell ref="CO208:CP208"/>
    <mergeCell ref="CQ208:CR208"/>
    <mergeCell ref="CS208:CT208"/>
    <mergeCell ref="CU208:CV208"/>
    <mergeCell ref="CW208:CX208"/>
    <mergeCell ref="CY208:CZ208"/>
    <mergeCell ref="DU208:DU209"/>
    <mergeCell ref="EC208:EC209"/>
    <mergeCell ref="ED208:ED209"/>
    <mergeCell ref="W207:X207"/>
    <mergeCell ref="Y207:Z207"/>
    <mergeCell ref="I207:J207"/>
    <mergeCell ref="K207:L207"/>
    <mergeCell ref="M207:N207"/>
    <mergeCell ref="O207:P207"/>
    <mergeCell ref="Q207:R207"/>
    <mergeCell ref="S207:T207"/>
    <mergeCell ref="U207:V207"/>
    <mergeCell ref="M206:N206"/>
    <mergeCell ref="O206:P206"/>
    <mergeCell ref="Q206:R206"/>
    <mergeCell ref="S206:T206"/>
    <mergeCell ref="U206:V206"/>
    <mergeCell ref="W206:X206"/>
    <mergeCell ref="Y206:Z206"/>
    <mergeCell ref="AO207:AP207"/>
    <mergeCell ref="AQ207:AR207"/>
    <mergeCell ref="AA207:AB207"/>
    <mergeCell ref="AC207:AD207"/>
    <mergeCell ref="AE207:AF207"/>
    <mergeCell ref="AG207:AH207"/>
    <mergeCell ref="AI207:AJ207"/>
    <mergeCell ref="AK207:AL207"/>
    <mergeCell ref="AM207:AN207"/>
    <mergeCell ref="CS206:CT206"/>
    <mergeCell ref="CU206:CV206"/>
    <mergeCell ref="CW206:CX206"/>
    <mergeCell ref="CY206:CZ206"/>
    <mergeCell ref="CE206:CF206"/>
    <mergeCell ref="CG206:CH206"/>
    <mergeCell ref="CI206:CJ206"/>
    <mergeCell ref="CK206:CL206"/>
    <mergeCell ref="CM206:CN206"/>
    <mergeCell ref="CO206:CP206"/>
    <mergeCell ref="CQ206:CR206"/>
    <mergeCell ref="BQ206:BR206"/>
    <mergeCell ref="BS206:BT206"/>
    <mergeCell ref="BU206:BV206"/>
    <mergeCell ref="BW206:BX206"/>
    <mergeCell ref="CC207:CD207"/>
    <mergeCell ref="CS207:CT207"/>
    <mergeCell ref="CU207:CV207"/>
    <mergeCell ref="CW207:CX207"/>
    <mergeCell ref="CY207:CZ207"/>
    <mergeCell ref="CE207:CF207"/>
    <mergeCell ref="CG207:CH207"/>
    <mergeCell ref="CI207:CJ207"/>
    <mergeCell ref="CK207:CL207"/>
    <mergeCell ref="CM207:CN207"/>
    <mergeCell ref="CO207:CP207"/>
    <mergeCell ref="CQ207:CR207"/>
    <mergeCell ref="BK207:BL207"/>
    <mergeCell ref="BM207:BN207"/>
    <mergeCell ref="BO207:BP207"/>
    <mergeCell ref="EE208:EE209"/>
    <mergeCell ref="DV208:DV209"/>
    <mergeCell ref="DW208:DW209"/>
    <mergeCell ref="DX208:DX209"/>
    <mergeCell ref="DY208:DY209"/>
    <mergeCell ref="DZ208:DZ209"/>
    <mergeCell ref="EA208:EA209"/>
    <mergeCell ref="EB208:EB209"/>
    <mergeCell ref="B206:B209"/>
    <mergeCell ref="C206:C209"/>
    <mergeCell ref="D206:D209"/>
    <mergeCell ref="E206:E209"/>
    <mergeCell ref="F206:F209"/>
    <mergeCell ref="I206:J206"/>
    <mergeCell ref="K206:L206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Z208"/>
    <mergeCell ref="AA208:AB208"/>
    <mergeCell ref="AC208:AD208"/>
    <mergeCell ref="AE208:AF208"/>
    <mergeCell ref="AG208:AH208"/>
    <mergeCell ref="AI208:AJ208"/>
    <mergeCell ref="AK208:AL208"/>
    <mergeCell ref="AM208:AN208"/>
    <mergeCell ref="AO208:AP208"/>
    <mergeCell ref="AQ208:AR208"/>
    <mergeCell ref="AS208:AT208"/>
    <mergeCell ref="AU208:AV208"/>
    <mergeCell ref="AW208:AX208"/>
    <mergeCell ref="AY208:AZ208"/>
    <mergeCell ref="BA208:BB208"/>
    <mergeCell ref="BC208:BD208"/>
    <mergeCell ref="BE208:BF208"/>
    <mergeCell ref="BG208:BH208"/>
    <mergeCell ref="BI208:BJ208"/>
    <mergeCell ref="BK208:BL208"/>
    <mergeCell ref="BM208:BN208"/>
    <mergeCell ref="BO208:BP208"/>
    <mergeCell ref="BQ208:BR208"/>
    <mergeCell ref="BS208:BT208"/>
    <mergeCell ref="BU208:BV208"/>
    <mergeCell ref="BW208:BX208"/>
    <mergeCell ref="BY208:BZ208"/>
    <mergeCell ref="CA208:CB208"/>
    <mergeCell ref="CC208:CD208"/>
    <mergeCell ref="CE208:CF208"/>
    <mergeCell ref="CG208:CH208"/>
    <mergeCell ref="CI208:CJ208"/>
    <mergeCell ref="CK208:CL208"/>
    <mergeCell ref="CM208:CN208"/>
    <mergeCell ref="AA206:AB206"/>
    <mergeCell ref="AC206:AD206"/>
    <mergeCell ref="AE206:AF206"/>
    <mergeCell ref="AG206:AH206"/>
    <mergeCell ref="AI206:AJ206"/>
    <mergeCell ref="AK206:AL206"/>
    <mergeCell ref="AM206:AN206"/>
    <mergeCell ref="CS211:CT211"/>
    <mergeCell ref="CU211:CV211"/>
    <mergeCell ref="CW211:CX211"/>
    <mergeCell ref="BK212:BL212"/>
    <mergeCell ref="BM212:BN212"/>
    <mergeCell ref="BO212:BP212"/>
    <mergeCell ref="BC211:BD211"/>
    <mergeCell ref="BE211:BF211"/>
    <mergeCell ref="BG211:BH211"/>
    <mergeCell ref="BI211:BJ211"/>
    <mergeCell ref="BK211:BL211"/>
    <mergeCell ref="BM211:BN211"/>
    <mergeCell ref="BO211:BP211"/>
    <mergeCell ref="CY211:CZ211"/>
    <mergeCell ref="CE211:CF211"/>
    <mergeCell ref="CG211:CH211"/>
    <mergeCell ref="CI211:CJ211"/>
    <mergeCell ref="CK211:CL211"/>
    <mergeCell ref="CM211:CN211"/>
    <mergeCell ref="CO211:CP211"/>
    <mergeCell ref="CQ211:CR211"/>
    <mergeCell ref="BQ211:BR211"/>
    <mergeCell ref="BS211:BT211"/>
    <mergeCell ref="BU211:BV211"/>
    <mergeCell ref="BW211:BX211"/>
    <mergeCell ref="BY211:BZ211"/>
    <mergeCell ref="CA211:CB211"/>
    <mergeCell ref="CC211:CD211"/>
    <mergeCell ref="BQ212:BR212"/>
    <mergeCell ref="BS212:BT212"/>
    <mergeCell ref="BU212:BV212"/>
    <mergeCell ref="BW212:BX212"/>
    <mergeCell ref="BY212:BZ212"/>
    <mergeCell ref="CA212:CB212"/>
    <mergeCell ref="CC212:CD212"/>
    <mergeCell ref="CS212:CT212"/>
    <mergeCell ref="CU212:CV212"/>
    <mergeCell ref="CW212:CX212"/>
    <mergeCell ref="CY212:CZ212"/>
    <mergeCell ref="CE212:CF212"/>
    <mergeCell ref="CG212:CH212"/>
    <mergeCell ref="CI212:CJ212"/>
    <mergeCell ref="CK212:CL212"/>
    <mergeCell ref="CM212:CN212"/>
    <mergeCell ref="CO212:CP212"/>
    <mergeCell ref="CQ212:CR212"/>
    <mergeCell ref="BA213:BB213"/>
    <mergeCell ref="BC213:BD213"/>
    <mergeCell ref="BE213:BF213"/>
    <mergeCell ref="BG213:BH213"/>
    <mergeCell ref="BI213:BJ213"/>
    <mergeCell ref="BK213:BL213"/>
    <mergeCell ref="BM213:BN213"/>
    <mergeCell ref="BO213:BP213"/>
    <mergeCell ref="W212:X212"/>
    <mergeCell ref="Y212:Z212"/>
    <mergeCell ref="I212:J212"/>
    <mergeCell ref="K212:L212"/>
    <mergeCell ref="M212:N212"/>
    <mergeCell ref="O212:P212"/>
    <mergeCell ref="Q212:R212"/>
    <mergeCell ref="S212:T212"/>
    <mergeCell ref="U212:V212"/>
    <mergeCell ref="BG212:BH212"/>
    <mergeCell ref="BI212:BJ212"/>
    <mergeCell ref="AS212:AT212"/>
    <mergeCell ref="AU212:AV212"/>
    <mergeCell ref="AW212:AX212"/>
    <mergeCell ref="AY212:AZ212"/>
    <mergeCell ref="BA212:BB212"/>
    <mergeCell ref="BC212:BD212"/>
    <mergeCell ref="BE212:BF212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I211:AJ211"/>
    <mergeCell ref="AK211:AL211"/>
    <mergeCell ref="AM211:AN211"/>
    <mergeCell ref="AO211:AP211"/>
    <mergeCell ref="AQ211:AR211"/>
    <mergeCell ref="AS211:AT211"/>
    <mergeCell ref="AU211:AV211"/>
    <mergeCell ref="AW211:AX211"/>
    <mergeCell ref="AY211:AZ211"/>
    <mergeCell ref="BA211:BB211"/>
    <mergeCell ref="BQ213:BR213"/>
    <mergeCell ref="BS213:BT213"/>
    <mergeCell ref="BU213:BV213"/>
    <mergeCell ref="BW213:BX213"/>
    <mergeCell ref="BY213:BZ213"/>
    <mergeCell ref="CO213:CP213"/>
    <mergeCell ref="CQ213:CR213"/>
    <mergeCell ref="CS213:CT213"/>
    <mergeCell ref="CU213:CV213"/>
    <mergeCell ref="CW213:CX213"/>
    <mergeCell ref="CY213:CZ213"/>
    <mergeCell ref="CA213:CB213"/>
    <mergeCell ref="CC213:CD213"/>
    <mergeCell ref="CE213:CF213"/>
    <mergeCell ref="CG213:CH213"/>
    <mergeCell ref="CI213:CJ213"/>
    <mergeCell ref="CK213:CL213"/>
    <mergeCell ref="CM213:CN213"/>
    <mergeCell ref="BQ221:BR221"/>
    <mergeCell ref="BS221:BT221"/>
    <mergeCell ref="BU221:BV221"/>
    <mergeCell ref="BW221:BX221"/>
    <mergeCell ref="BY221:BZ221"/>
    <mergeCell ref="CA221:CB221"/>
    <mergeCell ref="CC221:CD221"/>
    <mergeCell ref="CS221:CT221"/>
    <mergeCell ref="CU221:CV221"/>
    <mergeCell ref="CW221:CX221"/>
    <mergeCell ref="CY221:CZ221"/>
    <mergeCell ref="CE221:CF221"/>
    <mergeCell ref="CG221:CH221"/>
    <mergeCell ref="CI221:CJ221"/>
    <mergeCell ref="CK221:CL221"/>
    <mergeCell ref="CM221:CN221"/>
    <mergeCell ref="CO221:CP221"/>
    <mergeCell ref="CQ221:CR221"/>
    <mergeCell ref="BU214:BV214"/>
    <mergeCell ref="BW214:BX214"/>
    <mergeCell ref="BY214:BZ214"/>
    <mergeCell ref="CO214:CP214"/>
    <mergeCell ref="CQ214:CR214"/>
    <mergeCell ref="CS214:CT214"/>
    <mergeCell ref="CU214:CV214"/>
    <mergeCell ref="CW214:CX214"/>
    <mergeCell ref="CY214:CZ214"/>
    <mergeCell ref="CA214:CB214"/>
    <mergeCell ref="CC214:CD214"/>
    <mergeCell ref="CE214:CF214"/>
    <mergeCell ref="CG214:CH214"/>
    <mergeCell ref="CI214:CJ214"/>
    <mergeCell ref="CK214:CL214"/>
    <mergeCell ref="CM214:CN214"/>
    <mergeCell ref="BQ214:BR214"/>
    <mergeCell ref="BS214:BT214"/>
    <mergeCell ref="BG224:BH224"/>
    <mergeCell ref="BI224:BJ224"/>
    <mergeCell ref="BK224:BL224"/>
    <mergeCell ref="BM224:BN224"/>
    <mergeCell ref="BO224:BP224"/>
    <mergeCell ref="BQ224:BR224"/>
    <mergeCell ref="BS224:BT224"/>
    <mergeCell ref="BU224:BV224"/>
    <mergeCell ref="BW224:BX224"/>
    <mergeCell ref="BY224:BZ224"/>
    <mergeCell ref="W222:X222"/>
    <mergeCell ref="Y222:Z222"/>
    <mergeCell ref="I222:J222"/>
    <mergeCell ref="K222:L222"/>
    <mergeCell ref="M222:N222"/>
    <mergeCell ref="O222:P222"/>
    <mergeCell ref="Q222:R222"/>
    <mergeCell ref="S222:T222"/>
    <mergeCell ref="U222:V222"/>
    <mergeCell ref="AO222:AP222"/>
    <mergeCell ref="AQ222:AR222"/>
    <mergeCell ref="AA222:AB222"/>
    <mergeCell ref="AC222:AD222"/>
    <mergeCell ref="AE222:AF222"/>
    <mergeCell ref="AG222:AH222"/>
    <mergeCell ref="AI222:AJ222"/>
    <mergeCell ref="AK222:AL222"/>
    <mergeCell ref="AM222:AN222"/>
    <mergeCell ref="BG222:BH222"/>
    <mergeCell ref="BI222:BJ222"/>
    <mergeCell ref="AS222:AT222"/>
    <mergeCell ref="AU222:AV222"/>
    <mergeCell ref="AW222:AX222"/>
    <mergeCell ref="AY222:AZ222"/>
    <mergeCell ref="BA222:BB222"/>
    <mergeCell ref="BC222:BD222"/>
    <mergeCell ref="BE222:BF222"/>
    <mergeCell ref="W223:X223"/>
    <mergeCell ref="Y223:Z223"/>
    <mergeCell ref="I223:J223"/>
    <mergeCell ref="K223:L223"/>
    <mergeCell ref="M223:N223"/>
    <mergeCell ref="O223:P223"/>
    <mergeCell ref="Q223:R223"/>
    <mergeCell ref="S223:T223"/>
    <mergeCell ref="U223:V223"/>
    <mergeCell ref="AO223:AP223"/>
    <mergeCell ref="AQ223:AR223"/>
    <mergeCell ref="AA223:AB223"/>
    <mergeCell ref="AC223:AD223"/>
    <mergeCell ref="AE223:AF223"/>
    <mergeCell ref="AG223:AH223"/>
    <mergeCell ref="AI223:AJ223"/>
    <mergeCell ref="AK223:AL223"/>
    <mergeCell ref="AM223:AN223"/>
    <mergeCell ref="AS223:AT223"/>
    <mergeCell ref="AU223:AV223"/>
    <mergeCell ref="AW223:AX223"/>
    <mergeCell ref="AY223:AZ223"/>
    <mergeCell ref="BA223:BB223"/>
    <mergeCell ref="BC223:BD223"/>
    <mergeCell ref="BE223:BF223"/>
    <mergeCell ref="BG223:BH223"/>
    <mergeCell ref="BI223:BJ223"/>
    <mergeCell ref="CA224:CB224"/>
    <mergeCell ref="CC224:CD224"/>
    <mergeCell ref="I224:J224"/>
    <mergeCell ref="K224:L224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I225:AJ225"/>
    <mergeCell ref="AK225:AL225"/>
    <mergeCell ref="AM225:AN225"/>
    <mergeCell ref="AO225:AP225"/>
    <mergeCell ref="AQ225:AR225"/>
    <mergeCell ref="AS225:AT225"/>
    <mergeCell ref="AU225:AV225"/>
    <mergeCell ref="AW225:AX225"/>
    <mergeCell ref="AY225:AZ225"/>
    <mergeCell ref="BA225:BB225"/>
    <mergeCell ref="BC225:BD225"/>
    <mergeCell ref="BE225:BF225"/>
    <mergeCell ref="BG225:BH225"/>
    <mergeCell ref="BI225:BJ225"/>
    <mergeCell ref="BK225:BL225"/>
    <mergeCell ref="CA225:CB225"/>
    <mergeCell ref="CC225:CD225"/>
    <mergeCell ref="BM225:BN225"/>
    <mergeCell ref="BO225:BP225"/>
    <mergeCell ref="BQ225:BR225"/>
    <mergeCell ref="BS225:BT225"/>
    <mergeCell ref="BU225:BV225"/>
    <mergeCell ref="BW225:BX225"/>
    <mergeCell ref="BY225:BZ225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AC224:AD224"/>
    <mergeCell ref="AE224:AF224"/>
    <mergeCell ref="AG224:AH224"/>
    <mergeCell ref="AI224:AJ224"/>
    <mergeCell ref="AK224:AL224"/>
    <mergeCell ref="AM224:AN224"/>
    <mergeCell ref="AO224:AP224"/>
    <mergeCell ref="AQ224:AR224"/>
    <mergeCell ref="AS224:AT224"/>
    <mergeCell ref="AU224:AV224"/>
    <mergeCell ref="AW224:AX224"/>
    <mergeCell ref="AY224:AZ224"/>
    <mergeCell ref="BA224:BB224"/>
    <mergeCell ref="BC224:BD224"/>
    <mergeCell ref="BE224:BF224"/>
    <mergeCell ref="B211:B219"/>
    <mergeCell ref="C211:C219"/>
    <mergeCell ref="D211:D219"/>
    <mergeCell ref="E211:E218"/>
    <mergeCell ref="F211:F218"/>
    <mergeCell ref="I211:J211"/>
    <mergeCell ref="K211:L211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I214:AJ214"/>
    <mergeCell ref="AK214:AL214"/>
    <mergeCell ref="AM214:AN214"/>
    <mergeCell ref="AO214:AP214"/>
    <mergeCell ref="AQ214:AR214"/>
    <mergeCell ref="AS214:AT214"/>
    <mergeCell ref="AU214:AV214"/>
    <mergeCell ref="AW214:AX214"/>
    <mergeCell ref="AY214:AZ214"/>
    <mergeCell ref="BA214:BB214"/>
    <mergeCell ref="BC214:BD214"/>
    <mergeCell ref="BE214:BF214"/>
    <mergeCell ref="BG214:BH214"/>
    <mergeCell ref="AO212:AP212"/>
    <mergeCell ref="AQ212:AR212"/>
    <mergeCell ref="AA212:AB212"/>
    <mergeCell ref="AC212:AD212"/>
    <mergeCell ref="AE212:AF212"/>
    <mergeCell ref="AG212:AH212"/>
    <mergeCell ref="AI212:AJ212"/>
    <mergeCell ref="AK212:AL212"/>
    <mergeCell ref="AM212:AN212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Z213"/>
    <mergeCell ref="AA213:AB213"/>
    <mergeCell ref="AC213:AD213"/>
    <mergeCell ref="AE213:AF213"/>
    <mergeCell ref="AG213:AH213"/>
    <mergeCell ref="AI213:AJ213"/>
    <mergeCell ref="AK213:AL213"/>
    <mergeCell ref="AM213:AN213"/>
    <mergeCell ref="AO213:AP213"/>
    <mergeCell ref="AQ213:AR213"/>
    <mergeCell ref="AS213:AT213"/>
    <mergeCell ref="AU213:AV213"/>
    <mergeCell ref="AW213:AX213"/>
    <mergeCell ref="AY213:AZ213"/>
    <mergeCell ref="BQ222:BR222"/>
    <mergeCell ref="BS222:BT222"/>
    <mergeCell ref="BU222:BV222"/>
    <mergeCell ref="BW222:BX222"/>
    <mergeCell ref="CM222:CN222"/>
    <mergeCell ref="CO222:CP222"/>
    <mergeCell ref="CQ222:CR222"/>
    <mergeCell ref="CS222:CT222"/>
    <mergeCell ref="CU222:CV222"/>
    <mergeCell ref="CW222:CX222"/>
    <mergeCell ref="CY222:CZ222"/>
    <mergeCell ref="BY222:BZ222"/>
    <mergeCell ref="CA222:CB222"/>
    <mergeCell ref="CC222:CD222"/>
    <mergeCell ref="CE222:CF222"/>
    <mergeCell ref="CG222:CH222"/>
    <mergeCell ref="CI222:CJ222"/>
    <mergeCell ref="CK222:CL222"/>
    <mergeCell ref="BQ223:BR223"/>
    <mergeCell ref="BS223:BT223"/>
    <mergeCell ref="BU223:BV223"/>
    <mergeCell ref="BW223:BX223"/>
    <mergeCell ref="BY223:BZ223"/>
    <mergeCell ref="CO223:CP223"/>
    <mergeCell ref="CQ223:CR223"/>
    <mergeCell ref="CS223:CT223"/>
    <mergeCell ref="CU223:CV223"/>
    <mergeCell ref="CW223:CX223"/>
    <mergeCell ref="CY223:CZ223"/>
    <mergeCell ref="CA223:CB223"/>
    <mergeCell ref="CC223:CD223"/>
    <mergeCell ref="CE223:CF223"/>
    <mergeCell ref="CG223:CH223"/>
    <mergeCell ref="CI223:CJ223"/>
    <mergeCell ref="CK223:CL223"/>
    <mergeCell ref="CM223:CN223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I221:AJ221"/>
    <mergeCell ref="AK221:AL221"/>
    <mergeCell ref="AM221:AN221"/>
    <mergeCell ref="AO221:AP221"/>
    <mergeCell ref="AQ221:AR221"/>
    <mergeCell ref="AS221:AT221"/>
    <mergeCell ref="AU221:AV221"/>
    <mergeCell ref="AW221:AX221"/>
    <mergeCell ref="AY221:AZ221"/>
    <mergeCell ref="BA221:BB221"/>
    <mergeCell ref="BK223:BL223"/>
    <mergeCell ref="BM223:BN223"/>
    <mergeCell ref="BO223:BP223"/>
    <mergeCell ref="BC221:BD221"/>
    <mergeCell ref="BE221:BF221"/>
    <mergeCell ref="BG221:BH221"/>
    <mergeCell ref="BI221:BJ221"/>
    <mergeCell ref="BK221:BL221"/>
    <mergeCell ref="BM221:BN221"/>
    <mergeCell ref="BO221:BP221"/>
    <mergeCell ref="BI214:BJ214"/>
    <mergeCell ref="BK214:BL214"/>
    <mergeCell ref="BM214:BN214"/>
    <mergeCell ref="BO214:BP214"/>
    <mergeCell ref="BK222:BL222"/>
    <mergeCell ref="BM222:BN222"/>
    <mergeCell ref="BO222:BP222"/>
    <mergeCell ref="CS224:CT224"/>
    <mergeCell ref="CU224:CV224"/>
    <mergeCell ref="CW224:CX224"/>
    <mergeCell ref="CY224:CZ224"/>
    <mergeCell ref="CE224:CF224"/>
    <mergeCell ref="CG224:CH224"/>
    <mergeCell ref="CI224:CJ224"/>
    <mergeCell ref="CK224:CL224"/>
    <mergeCell ref="CM224:CN224"/>
    <mergeCell ref="CO224:CP224"/>
    <mergeCell ref="CQ224:CR224"/>
    <mergeCell ref="CS225:CT225"/>
    <mergeCell ref="CU225:CV225"/>
    <mergeCell ref="CW225:CX225"/>
    <mergeCell ref="CY225:CZ225"/>
    <mergeCell ref="CE225:CF225"/>
    <mergeCell ref="CG225:CH225"/>
    <mergeCell ref="CI225:CJ225"/>
    <mergeCell ref="CK225:CL225"/>
    <mergeCell ref="CM225:CN225"/>
    <mergeCell ref="CO225:CP225"/>
    <mergeCell ref="CQ225:CR225"/>
    <mergeCell ref="CS226:CT226"/>
    <mergeCell ref="CU226:CV226"/>
    <mergeCell ref="CW226:CX226"/>
    <mergeCell ref="CY226:CZ226"/>
    <mergeCell ref="CE226:CF226"/>
    <mergeCell ref="CG226:CH226"/>
    <mergeCell ref="CI226:CJ226"/>
    <mergeCell ref="CK226:CL226"/>
    <mergeCell ref="CM226:CN226"/>
    <mergeCell ref="CO226:CP226"/>
    <mergeCell ref="CQ226:CR226"/>
    <mergeCell ref="AC262:AD262"/>
    <mergeCell ref="CC243:CD243"/>
    <mergeCell ref="BQ250:BR250"/>
    <mergeCell ref="BU250:BV250"/>
    <mergeCell ref="BW250:BX250"/>
    <mergeCell ref="K240:L240"/>
    <mergeCell ref="M240:N240"/>
    <mergeCell ref="O240:P240"/>
    <mergeCell ref="Q240:R240"/>
    <mergeCell ref="S240:T240"/>
    <mergeCell ref="U240:V240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I241:AJ241"/>
    <mergeCell ref="AK241:AL241"/>
    <mergeCell ref="AM241:AN241"/>
    <mergeCell ref="AO241:AP241"/>
    <mergeCell ref="AQ241:AR241"/>
    <mergeCell ref="AS241:AT241"/>
    <mergeCell ref="AU241:AV241"/>
    <mergeCell ref="AW241:AX241"/>
    <mergeCell ref="AY241:AZ241"/>
    <mergeCell ref="BA241:BB241"/>
    <mergeCell ref="BC241:BD241"/>
    <mergeCell ref="BE241:BF241"/>
    <mergeCell ref="BG241:BH241"/>
    <mergeCell ref="BI241:BJ241"/>
    <mergeCell ref="BK241:BL241"/>
    <mergeCell ref="BM241:BN241"/>
    <mergeCell ref="BO241:BP241"/>
    <mergeCell ref="BQ241:BR241"/>
    <mergeCell ref="BS241:BT241"/>
    <mergeCell ref="BU241:BV241"/>
    <mergeCell ref="BW241:BX241"/>
    <mergeCell ref="BY241:BZ241"/>
    <mergeCell ref="CA241:CB241"/>
    <mergeCell ref="CC241:CD241"/>
    <mergeCell ref="BY250:BZ250"/>
    <mergeCell ref="BQ252:BR252"/>
    <mergeCell ref="BS252:BT252"/>
    <mergeCell ref="BU252:BV252"/>
    <mergeCell ref="BW252:BX252"/>
    <mergeCell ref="BY252:BZ252"/>
    <mergeCell ref="M254:N254"/>
    <mergeCell ref="O254:P254"/>
    <mergeCell ref="Q254:R254"/>
    <mergeCell ref="S254:T254"/>
    <mergeCell ref="U254:V254"/>
    <mergeCell ref="W254:X254"/>
    <mergeCell ref="Y254:Z254"/>
    <mergeCell ref="AA254:AB254"/>
    <mergeCell ref="AC254:AD254"/>
    <mergeCell ref="AE254:AF254"/>
    <mergeCell ref="AG254:AH254"/>
    <mergeCell ref="AI254:AJ254"/>
    <mergeCell ref="I241:J241"/>
    <mergeCell ref="K241:L241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I242:AJ242"/>
    <mergeCell ref="AK242:AL242"/>
    <mergeCell ref="AM242:AN242"/>
    <mergeCell ref="AO242:AP242"/>
    <mergeCell ref="AQ242:AR242"/>
    <mergeCell ref="AS242:AT242"/>
    <mergeCell ref="AU242:AV242"/>
    <mergeCell ref="AW242:AX242"/>
    <mergeCell ref="AY242:AZ242"/>
    <mergeCell ref="BA242:BB242"/>
    <mergeCell ref="BC242:BD242"/>
    <mergeCell ref="BE242:BF242"/>
    <mergeCell ref="BG242:BH242"/>
    <mergeCell ref="BI242:BJ242"/>
    <mergeCell ref="BK242:BL242"/>
    <mergeCell ref="CA242:CB242"/>
    <mergeCell ref="CC242:CD242"/>
    <mergeCell ref="BM242:BN242"/>
    <mergeCell ref="BO242:BP242"/>
    <mergeCell ref="BQ242:BR242"/>
    <mergeCell ref="BS242:BT242"/>
    <mergeCell ref="BU242:BV242"/>
    <mergeCell ref="BW242:BX242"/>
    <mergeCell ref="BY242:BZ242"/>
    <mergeCell ref="B259:B263"/>
    <mergeCell ref="C259:C262"/>
    <mergeCell ref="D259:D262"/>
    <mergeCell ref="E259:E262"/>
    <mergeCell ref="F259:F262"/>
    <mergeCell ref="I259:J259"/>
    <mergeCell ref="K259:L259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AC263:AD263"/>
    <mergeCell ref="AE263:AF263"/>
    <mergeCell ref="AG263:AH263"/>
    <mergeCell ref="AI263:AJ263"/>
    <mergeCell ref="AK263:AL263"/>
    <mergeCell ref="AM263:AN263"/>
    <mergeCell ref="AO263:AP263"/>
    <mergeCell ref="AQ263:AR263"/>
    <mergeCell ref="AS263:AT263"/>
    <mergeCell ref="AU263:AV263"/>
    <mergeCell ref="AW263:AX263"/>
    <mergeCell ref="AY263:AZ263"/>
    <mergeCell ref="BA263:BB263"/>
    <mergeCell ref="BC263:BD263"/>
    <mergeCell ref="BE263:BF263"/>
    <mergeCell ref="BG263:BH263"/>
    <mergeCell ref="AE262:AF262"/>
    <mergeCell ref="AG262:AH262"/>
    <mergeCell ref="AI262:AJ262"/>
    <mergeCell ref="AK262:AL262"/>
    <mergeCell ref="AM262:AN262"/>
    <mergeCell ref="AO262:AP262"/>
    <mergeCell ref="AQ262:AR262"/>
    <mergeCell ref="AS262:AT262"/>
    <mergeCell ref="AU262:AV262"/>
    <mergeCell ref="AW262:AX262"/>
    <mergeCell ref="AY262:AZ262"/>
    <mergeCell ref="BA262:BB262"/>
    <mergeCell ref="BC262:BD262"/>
    <mergeCell ref="BE262:BF262"/>
    <mergeCell ref="BG262:BH262"/>
    <mergeCell ref="BG261:BH261"/>
    <mergeCell ref="AS261:AT261"/>
    <mergeCell ref="AU261:AV261"/>
    <mergeCell ref="AW261:AX261"/>
    <mergeCell ref="AY261:AZ261"/>
    <mergeCell ref="BA261:BB261"/>
    <mergeCell ref="BC261:BD261"/>
    <mergeCell ref="BE261:BF261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EB265:EB266"/>
    <mergeCell ref="EC265:EC266"/>
    <mergeCell ref="ED265:ED266"/>
    <mergeCell ref="EE265:EE266"/>
    <mergeCell ref="CS265:CT265"/>
    <mergeCell ref="CU265:CV265"/>
    <mergeCell ref="CW265:CX265"/>
    <mergeCell ref="CY265:CZ265"/>
    <mergeCell ref="DU265:DU266"/>
    <mergeCell ref="DV265:DV266"/>
    <mergeCell ref="DW265:DW266"/>
    <mergeCell ref="AK268:AL268"/>
    <mergeCell ref="AM268:AN268"/>
    <mergeCell ref="BM265:BN265"/>
    <mergeCell ref="BO265:BP265"/>
    <mergeCell ref="BQ263:BR263"/>
    <mergeCell ref="BS263:BT263"/>
    <mergeCell ref="BU263:BV263"/>
    <mergeCell ref="BW263:BX263"/>
    <mergeCell ref="BY263:BZ263"/>
    <mergeCell ref="CO263:CP263"/>
    <mergeCell ref="CQ263:CR263"/>
    <mergeCell ref="CS263:CT263"/>
    <mergeCell ref="CU263:CV263"/>
    <mergeCell ref="CW263:CX263"/>
    <mergeCell ref="CY263:CZ263"/>
    <mergeCell ref="CA263:CB263"/>
    <mergeCell ref="CC263:CD263"/>
    <mergeCell ref="CE263:CF263"/>
    <mergeCell ref="CG263:CH263"/>
    <mergeCell ref="CI263:CJ263"/>
    <mergeCell ref="CK263:CL263"/>
    <mergeCell ref="CM263:CN263"/>
    <mergeCell ref="CO268:CP268"/>
    <mergeCell ref="CQ268:CR268"/>
    <mergeCell ref="CS268:CT268"/>
    <mergeCell ref="CU268:CV268"/>
    <mergeCell ref="CW268:CX268"/>
    <mergeCell ref="CY268:CZ268"/>
    <mergeCell ref="CA268:CB268"/>
    <mergeCell ref="CC268:CD268"/>
    <mergeCell ref="CE268:CF268"/>
    <mergeCell ref="CG268:CH268"/>
    <mergeCell ref="CI268:CJ268"/>
    <mergeCell ref="CK268:CL268"/>
    <mergeCell ref="CM268:CN268"/>
    <mergeCell ref="BI263:BJ263"/>
    <mergeCell ref="BK263:BL263"/>
    <mergeCell ref="BM263:BN263"/>
    <mergeCell ref="BO263:BP263"/>
    <mergeCell ref="BQ265:BR265"/>
    <mergeCell ref="BS265:BT265"/>
    <mergeCell ref="BU265:BV265"/>
    <mergeCell ref="BW265:BX265"/>
    <mergeCell ref="BY265:BZ265"/>
    <mergeCell ref="CA265:CB265"/>
    <mergeCell ref="CC265:CD265"/>
    <mergeCell ref="CE265:CF265"/>
    <mergeCell ref="CG265:CH265"/>
    <mergeCell ref="CI265:CJ265"/>
    <mergeCell ref="CK265:CL265"/>
    <mergeCell ref="CM265:CN265"/>
    <mergeCell ref="CO265:CP265"/>
    <mergeCell ref="CQ265:CR265"/>
    <mergeCell ref="DX265:DX266"/>
    <mergeCell ref="DY265:DY266"/>
    <mergeCell ref="DZ265:DZ266"/>
    <mergeCell ref="EA265:EA266"/>
    <mergeCell ref="H261:J261"/>
    <mergeCell ref="K261:L261"/>
    <mergeCell ref="M261:N261"/>
    <mergeCell ref="O261:P261"/>
    <mergeCell ref="Q261:R261"/>
    <mergeCell ref="S261:T261"/>
    <mergeCell ref="U261:V261"/>
    <mergeCell ref="AA265:AB265"/>
    <mergeCell ref="AC265:AD265"/>
    <mergeCell ref="AE265:AF265"/>
    <mergeCell ref="AG265:AH265"/>
    <mergeCell ref="AI265:AJ265"/>
    <mergeCell ref="AK265:AL265"/>
    <mergeCell ref="AM265:AN265"/>
    <mergeCell ref="BC265:BD265"/>
    <mergeCell ref="BE265:BF265"/>
    <mergeCell ref="BG265:BH265"/>
    <mergeCell ref="BI265:BJ265"/>
    <mergeCell ref="BK265:BL265"/>
    <mergeCell ref="AO265:AP265"/>
    <mergeCell ref="AQ265:AR265"/>
    <mergeCell ref="AS265:AT265"/>
    <mergeCell ref="AU265:AV265"/>
    <mergeCell ref="AW265:AX265"/>
    <mergeCell ref="AY265:AZ265"/>
    <mergeCell ref="BA265:BB265"/>
    <mergeCell ref="W261:X261"/>
    <mergeCell ref="Y261:Z261"/>
    <mergeCell ref="BQ262:BR262"/>
    <mergeCell ref="BS262:BT262"/>
    <mergeCell ref="BU262:BV262"/>
    <mergeCell ref="BW262:BX262"/>
    <mergeCell ref="BY262:BZ262"/>
    <mergeCell ref="CO262:CP262"/>
    <mergeCell ref="CQ262:CR262"/>
    <mergeCell ref="CS262:CT262"/>
    <mergeCell ref="CU262:CV262"/>
    <mergeCell ref="CW262:CX262"/>
    <mergeCell ref="CY262:CZ262"/>
    <mergeCell ref="CA262:CB262"/>
    <mergeCell ref="CC262:CD262"/>
    <mergeCell ref="CE262:CF262"/>
    <mergeCell ref="CG262:CH262"/>
    <mergeCell ref="CI262:CJ262"/>
    <mergeCell ref="CK262:CL262"/>
    <mergeCell ref="CM262:CN262"/>
    <mergeCell ref="BI262:BJ262"/>
    <mergeCell ref="BK262:BL262"/>
    <mergeCell ref="BM262:BN262"/>
    <mergeCell ref="BO262:BP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Z262"/>
    <mergeCell ref="AA262:AB262"/>
    <mergeCell ref="B265:B266"/>
    <mergeCell ref="C265:C266"/>
    <mergeCell ref="D265:D266"/>
    <mergeCell ref="E265:E266"/>
    <mergeCell ref="F265:F266"/>
    <mergeCell ref="I265:J265"/>
    <mergeCell ref="K265:L265"/>
    <mergeCell ref="W269:X269"/>
    <mergeCell ref="Y269:Z269"/>
    <mergeCell ref="I269:J269"/>
    <mergeCell ref="K269:L269"/>
    <mergeCell ref="M269:N269"/>
    <mergeCell ref="O269:P269"/>
    <mergeCell ref="Q269:R269"/>
    <mergeCell ref="S269:T269"/>
    <mergeCell ref="U269:V269"/>
    <mergeCell ref="AO269:AP269"/>
    <mergeCell ref="AQ269:AR269"/>
    <mergeCell ref="AA269:AB269"/>
    <mergeCell ref="AC269:AD269"/>
    <mergeCell ref="AE269:AF269"/>
    <mergeCell ref="AG269:AH269"/>
    <mergeCell ref="AI269:AJ269"/>
    <mergeCell ref="AK269:AL269"/>
    <mergeCell ref="AM269:AN269"/>
    <mergeCell ref="AU270:AV270"/>
    <mergeCell ref="AW270:AX270"/>
    <mergeCell ref="AG270:AH270"/>
    <mergeCell ref="AI270:AJ270"/>
    <mergeCell ref="AK270:AL270"/>
    <mergeCell ref="AM270:AN270"/>
    <mergeCell ref="AO270:AP270"/>
    <mergeCell ref="AQ270:AR270"/>
    <mergeCell ref="AS270:AT270"/>
    <mergeCell ref="I270:J270"/>
    <mergeCell ref="K270:L270"/>
    <mergeCell ref="M270:N270"/>
    <mergeCell ref="O270:P270"/>
    <mergeCell ref="Q270:R270"/>
    <mergeCell ref="S270:T270"/>
    <mergeCell ref="U270:V270"/>
    <mergeCell ref="I268:J268"/>
    <mergeCell ref="K268:L268"/>
    <mergeCell ref="M268:N268"/>
    <mergeCell ref="O268:P268"/>
    <mergeCell ref="Q268:R268"/>
    <mergeCell ref="S268:T268"/>
    <mergeCell ref="U268:V268"/>
    <mergeCell ref="W270:X270"/>
    <mergeCell ref="Y270:Z270"/>
    <mergeCell ref="AA270:AB270"/>
    <mergeCell ref="AC270:AD270"/>
    <mergeCell ref="AE270:AF270"/>
    <mergeCell ref="W268:X268"/>
    <mergeCell ref="Y268:Z268"/>
    <mergeCell ref="AA268:AB268"/>
    <mergeCell ref="AC268:AD268"/>
    <mergeCell ref="AE268:AF268"/>
    <mergeCell ref="AG268:AH268"/>
    <mergeCell ref="AI268:AJ268"/>
    <mergeCell ref="AO268:AP268"/>
    <mergeCell ref="AQ268:AR268"/>
    <mergeCell ref="AS268:AT268"/>
    <mergeCell ref="AU268:AV268"/>
    <mergeCell ref="O271:P271"/>
    <mergeCell ref="Q271:R271"/>
    <mergeCell ref="S271:T271"/>
    <mergeCell ref="U271:V271"/>
    <mergeCell ref="W271:X271"/>
    <mergeCell ref="Y271:Z271"/>
    <mergeCell ref="AA271:AB271"/>
    <mergeCell ref="AC271:AD271"/>
    <mergeCell ref="AE271:AF271"/>
    <mergeCell ref="AG271:AH271"/>
    <mergeCell ref="AI271:AJ271"/>
    <mergeCell ref="AK271:AL271"/>
    <mergeCell ref="AM271:AN271"/>
    <mergeCell ref="BC271:BD271"/>
    <mergeCell ref="BE271:BF271"/>
    <mergeCell ref="BG271:BH271"/>
    <mergeCell ref="AO271:AP271"/>
    <mergeCell ref="AQ271:AR271"/>
    <mergeCell ref="AS271:AT271"/>
    <mergeCell ref="AU271:AV271"/>
    <mergeCell ref="AW271:AX271"/>
    <mergeCell ref="AY271:AZ271"/>
    <mergeCell ref="BA271:BB271"/>
    <mergeCell ref="BM270:BN270"/>
    <mergeCell ref="BO270:BP270"/>
    <mergeCell ref="AS269:AT269"/>
    <mergeCell ref="AU269:AV269"/>
    <mergeCell ref="AW269:AX269"/>
    <mergeCell ref="AY269:AZ269"/>
    <mergeCell ref="BA269:BB269"/>
    <mergeCell ref="BC269:BD269"/>
    <mergeCell ref="BE269:BF269"/>
    <mergeCell ref="M265:N265"/>
    <mergeCell ref="O265:P265"/>
    <mergeCell ref="Q265:R265"/>
    <mergeCell ref="S265:T265"/>
    <mergeCell ref="U265:V265"/>
    <mergeCell ref="W265:X265"/>
    <mergeCell ref="Y265:Z265"/>
    <mergeCell ref="BI270:BJ270"/>
    <mergeCell ref="BK270:BL270"/>
    <mergeCell ref="AY270:AZ270"/>
    <mergeCell ref="BA270:BB270"/>
    <mergeCell ref="BC270:BD270"/>
    <mergeCell ref="BE270:BF270"/>
    <mergeCell ref="AW268:AX268"/>
    <mergeCell ref="AY268:AZ268"/>
    <mergeCell ref="BA268:BB268"/>
    <mergeCell ref="BC268:BD268"/>
    <mergeCell ref="BE268:BF268"/>
    <mergeCell ref="I271:J271"/>
    <mergeCell ref="K271:L271"/>
    <mergeCell ref="BY271:BZ271"/>
    <mergeCell ref="CA271:CB271"/>
    <mergeCell ref="CC271:CD271"/>
    <mergeCell ref="CE271:CF271"/>
    <mergeCell ref="CG271:CH271"/>
    <mergeCell ref="CI271:CJ271"/>
    <mergeCell ref="CK271:CL271"/>
    <mergeCell ref="CM271:CN271"/>
    <mergeCell ref="CO271:CP271"/>
    <mergeCell ref="CQ271:CR271"/>
    <mergeCell ref="CS271:CT271"/>
    <mergeCell ref="CU271:CV271"/>
    <mergeCell ref="CW271:CX271"/>
    <mergeCell ref="CY271:CZ271"/>
    <mergeCell ref="BI268:BJ268"/>
    <mergeCell ref="BK268:BL268"/>
    <mergeCell ref="BM268:BN268"/>
    <mergeCell ref="BO268:BP268"/>
    <mergeCell ref="DU268:DU275"/>
    <mergeCell ref="DV268:DV275"/>
    <mergeCell ref="CY269:CZ269"/>
    <mergeCell ref="CO270:CP270"/>
    <mergeCell ref="CQ270:CR270"/>
    <mergeCell ref="CS270:CT270"/>
    <mergeCell ref="CU270:CV270"/>
    <mergeCell ref="CW270:CX270"/>
    <mergeCell ref="CY270:CZ270"/>
    <mergeCell ref="BI271:BJ271"/>
    <mergeCell ref="BK271:BL271"/>
    <mergeCell ref="BM271:BN271"/>
    <mergeCell ref="BO271:BP271"/>
    <mergeCell ref="BQ271:BR271"/>
    <mergeCell ref="BS271:BT271"/>
    <mergeCell ref="BU271:BV271"/>
    <mergeCell ref="BW271:BX271"/>
    <mergeCell ref="CA269:CB269"/>
    <mergeCell ref="CC269:CD269"/>
    <mergeCell ref="CE269:CF269"/>
    <mergeCell ref="CG269:CH269"/>
    <mergeCell ref="CI269:CJ269"/>
    <mergeCell ref="CK269:CL269"/>
    <mergeCell ref="CM269:CN269"/>
    <mergeCell ref="CO269:CP269"/>
    <mergeCell ref="CQ269:CR269"/>
    <mergeCell ref="CS269:CT269"/>
    <mergeCell ref="CU269:CV269"/>
    <mergeCell ref="CW269:CX269"/>
    <mergeCell ref="BG268:BH268"/>
    <mergeCell ref="BG270:BH270"/>
    <mergeCell ref="BQ270:BR270"/>
    <mergeCell ref="BS270:BT270"/>
    <mergeCell ref="BU270:BV270"/>
    <mergeCell ref="BW270:BX270"/>
    <mergeCell ref="BY270:BZ270"/>
    <mergeCell ref="CA270:CB270"/>
    <mergeCell ref="CC270:CD270"/>
    <mergeCell ref="CE270:CF270"/>
    <mergeCell ref="CG270:CH270"/>
    <mergeCell ref="CI270:CJ270"/>
    <mergeCell ref="CK270:CL270"/>
    <mergeCell ref="CM270:CN270"/>
    <mergeCell ref="M271:N271"/>
    <mergeCell ref="CS278:CT278"/>
    <mergeCell ref="CU278:CV278"/>
    <mergeCell ref="CW278:CX278"/>
    <mergeCell ref="CY278:CZ278"/>
    <mergeCell ref="BY278:BZ278"/>
    <mergeCell ref="CA278:CB278"/>
    <mergeCell ref="CC278:CD278"/>
    <mergeCell ref="CE278:CF278"/>
    <mergeCell ref="CG278:CH278"/>
    <mergeCell ref="CI278:CJ278"/>
    <mergeCell ref="CK278:CL278"/>
    <mergeCell ref="CI277:CJ277"/>
    <mergeCell ref="CK277:CL277"/>
    <mergeCell ref="BU277:BV277"/>
    <mergeCell ref="BW277:BX277"/>
    <mergeCell ref="BY277:BZ277"/>
    <mergeCell ref="CA277:CB277"/>
    <mergeCell ref="CC277:CD277"/>
    <mergeCell ref="CE277:CF277"/>
    <mergeCell ref="CG277:CH277"/>
    <mergeCell ref="ED268:ED275"/>
    <mergeCell ref="EE268:EE275"/>
    <mergeCell ref="DW268:DW275"/>
    <mergeCell ref="DX268:DX275"/>
    <mergeCell ref="DY268:DY275"/>
    <mergeCell ref="DZ268:DZ275"/>
    <mergeCell ref="EA268:EA275"/>
    <mergeCell ref="EB268:EB275"/>
    <mergeCell ref="EC268:EC275"/>
    <mergeCell ref="BK269:BL269"/>
    <mergeCell ref="BM269:BN269"/>
    <mergeCell ref="BO269:BP269"/>
    <mergeCell ref="BQ269:BR269"/>
    <mergeCell ref="BS269:BT269"/>
    <mergeCell ref="BU269:BV269"/>
    <mergeCell ref="BW269:BX269"/>
    <mergeCell ref="BY269:BZ269"/>
    <mergeCell ref="CM277:CN277"/>
    <mergeCell ref="CO277:CP277"/>
    <mergeCell ref="CQ277:CR277"/>
    <mergeCell ref="CS277:CT277"/>
    <mergeCell ref="CU277:CV277"/>
    <mergeCell ref="CW277:CX277"/>
    <mergeCell ref="CY277:CZ277"/>
    <mergeCell ref="BQ277:BR277"/>
    <mergeCell ref="BS277:BT277"/>
    <mergeCell ref="BK277:BL277"/>
    <mergeCell ref="BM277:BN277"/>
    <mergeCell ref="BO277:BP277"/>
    <mergeCell ref="BK278:BL278"/>
    <mergeCell ref="BM278:BN278"/>
    <mergeCell ref="BO278:BP278"/>
    <mergeCell ref="BQ278:BR278"/>
    <mergeCell ref="BS278:BT278"/>
    <mergeCell ref="BU278:BV278"/>
    <mergeCell ref="BW278:BX278"/>
    <mergeCell ref="CM278:CN278"/>
    <mergeCell ref="CO278:CP278"/>
    <mergeCell ref="CQ278:CR278"/>
    <mergeCell ref="BQ268:BR268"/>
    <mergeCell ref="BS268:BT268"/>
    <mergeCell ref="BU268:BV268"/>
    <mergeCell ref="BW268:BX268"/>
    <mergeCell ref="BY268:BZ268"/>
    <mergeCell ref="CA279:CB279"/>
    <mergeCell ref="CC279:CD279"/>
    <mergeCell ref="CE279:CF279"/>
    <mergeCell ref="CG279:CH279"/>
    <mergeCell ref="CW279:CX279"/>
    <mergeCell ref="CY279:CZ279"/>
    <mergeCell ref="CI279:CJ279"/>
    <mergeCell ref="CK279:CL279"/>
    <mergeCell ref="CM279:CN279"/>
    <mergeCell ref="CO279:CP279"/>
    <mergeCell ref="CQ279:CR279"/>
    <mergeCell ref="CS279:CT279"/>
    <mergeCell ref="CU279:CV279"/>
    <mergeCell ref="K279:L279"/>
    <mergeCell ref="M279:N279"/>
    <mergeCell ref="O279:P279"/>
    <mergeCell ref="Q279:R279"/>
    <mergeCell ref="S279:T279"/>
    <mergeCell ref="U279:V279"/>
    <mergeCell ref="W279:X279"/>
    <mergeCell ref="Y279:Z279"/>
    <mergeCell ref="AA279:AB279"/>
    <mergeCell ref="AC279:AD279"/>
    <mergeCell ref="AE279:AF279"/>
    <mergeCell ref="AG279:AH279"/>
    <mergeCell ref="AI279:AJ279"/>
    <mergeCell ref="AK279:AL279"/>
    <mergeCell ref="BK279:BL279"/>
    <mergeCell ref="BM279:BN279"/>
    <mergeCell ref="BO279:BP279"/>
    <mergeCell ref="BQ279:BR279"/>
    <mergeCell ref="BS279:BT279"/>
    <mergeCell ref="I277:J277"/>
    <mergeCell ref="K277:L277"/>
    <mergeCell ref="AS277:AT277"/>
    <mergeCell ref="AU277:AV277"/>
    <mergeCell ref="AW277:AX277"/>
    <mergeCell ref="AY277:AZ277"/>
    <mergeCell ref="BA277:BB277"/>
    <mergeCell ref="AO277:AP277"/>
    <mergeCell ref="AQ277:AR277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Z278"/>
    <mergeCell ref="AA278:AB278"/>
    <mergeCell ref="AC278:AD278"/>
    <mergeCell ref="AE278:AF278"/>
    <mergeCell ref="AG278:AH278"/>
    <mergeCell ref="AI278:AJ278"/>
    <mergeCell ref="AK278:AL278"/>
    <mergeCell ref="AM278:AN278"/>
    <mergeCell ref="AO278:AP278"/>
    <mergeCell ref="AQ278:AR278"/>
    <mergeCell ref="AS278:AT278"/>
    <mergeCell ref="AU278:AV278"/>
    <mergeCell ref="AW278:AX278"/>
    <mergeCell ref="AY278:AZ278"/>
    <mergeCell ref="BA278:BB278"/>
    <mergeCell ref="F277:F289"/>
    <mergeCell ref="I279:J279"/>
    <mergeCell ref="I288:J288"/>
    <mergeCell ref="K289:L289"/>
    <mergeCell ref="M289:N289"/>
    <mergeCell ref="O289:P289"/>
    <mergeCell ref="Q289:R289"/>
    <mergeCell ref="S289:T289"/>
    <mergeCell ref="U289:V289"/>
    <mergeCell ref="W289:X289"/>
    <mergeCell ref="Y289:Z289"/>
    <mergeCell ref="AA289:AB289"/>
    <mergeCell ref="AC289:AD289"/>
    <mergeCell ref="BG269:BH269"/>
    <mergeCell ref="BI269:BJ269"/>
    <mergeCell ref="B277:B289"/>
    <mergeCell ref="C277:C289"/>
    <mergeCell ref="D277:D289"/>
    <mergeCell ref="E277:E289"/>
    <mergeCell ref="BI278:BJ278"/>
    <mergeCell ref="BA288:BB288"/>
    <mergeCell ref="BC288:BD288"/>
    <mergeCell ref="BE288:BF288"/>
    <mergeCell ref="BG288:BH288"/>
    <mergeCell ref="BI288:BJ288"/>
    <mergeCell ref="BK288:BL288"/>
    <mergeCell ref="BM288:BN288"/>
    <mergeCell ref="BO288:BP288"/>
    <mergeCell ref="BQ288:BR288"/>
    <mergeCell ref="BS288:BT288"/>
    <mergeCell ref="BU288:BV288"/>
    <mergeCell ref="BW288:BX288"/>
    <mergeCell ref="BY288:BZ288"/>
    <mergeCell ref="BU279:BV279"/>
    <mergeCell ref="BW279:BX279"/>
    <mergeCell ref="BY279:BZ279"/>
    <mergeCell ref="BC278:BD278"/>
    <mergeCell ref="M277:N277"/>
    <mergeCell ref="O277:P277"/>
    <mergeCell ref="Q277:R277"/>
    <mergeCell ref="S277:T277"/>
    <mergeCell ref="U277:V277"/>
    <mergeCell ref="W277:X277"/>
    <mergeCell ref="Y277:Z277"/>
    <mergeCell ref="AA277:AB277"/>
    <mergeCell ref="AC277:AD277"/>
    <mergeCell ref="AE277:AF277"/>
    <mergeCell ref="AG277:AH277"/>
    <mergeCell ref="AI277:AJ277"/>
    <mergeCell ref="AK277:AL277"/>
    <mergeCell ref="AM277:AN277"/>
    <mergeCell ref="BC277:BD277"/>
    <mergeCell ref="BE277:BF277"/>
    <mergeCell ref="BG277:BH277"/>
    <mergeCell ref="BI277:BJ277"/>
    <mergeCell ref="BE278:BF278"/>
    <mergeCell ref="BG278:BH278"/>
    <mergeCell ref="E272:E275"/>
    <mergeCell ref="F272:F275"/>
    <mergeCell ref="B268:B275"/>
    <mergeCell ref="C268:C275"/>
    <mergeCell ref="D268:D275"/>
    <mergeCell ref="E268:E271"/>
    <mergeCell ref="F268:F271"/>
    <mergeCell ref="CA288:CB288"/>
    <mergeCell ref="CQ288:CR288"/>
    <mergeCell ref="CS288:CT288"/>
    <mergeCell ref="CU288:CV288"/>
    <mergeCell ref="CW288:CX288"/>
    <mergeCell ref="CY288:CZ288"/>
    <mergeCell ref="CC288:CD288"/>
    <mergeCell ref="CE288:CF288"/>
    <mergeCell ref="CG288:CH288"/>
    <mergeCell ref="CI288:CJ288"/>
    <mergeCell ref="CK288:CL288"/>
    <mergeCell ref="CM288:CN288"/>
    <mergeCell ref="CO288:CP288"/>
    <mergeCell ref="AM279:AN279"/>
    <mergeCell ref="AO279:AP279"/>
    <mergeCell ref="AU279:AV279"/>
    <mergeCell ref="AW279:AX279"/>
    <mergeCell ref="AY279:AZ279"/>
    <mergeCell ref="BA279:BB279"/>
    <mergeCell ref="BC279:BD279"/>
    <mergeCell ref="BE279:BF279"/>
    <mergeCell ref="BG279:BH279"/>
    <mergeCell ref="BI279:BJ279"/>
    <mergeCell ref="K288:L288"/>
    <mergeCell ref="M288:N288"/>
    <mergeCell ref="AQ279:AR279"/>
    <mergeCell ref="AS279:AT279"/>
    <mergeCell ref="AQ288:AR288"/>
    <mergeCell ref="AS288:AT288"/>
    <mergeCell ref="AU288:AV288"/>
    <mergeCell ref="AW288:AX288"/>
    <mergeCell ref="AY288:AZ288"/>
    <mergeCell ref="AC291:AD291"/>
    <mergeCell ref="AE291:AF291"/>
    <mergeCell ref="AG291:AH291"/>
    <mergeCell ref="AI291:AJ291"/>
    <mergeCell ref="AK291:AL291"/>
    <mergeCell ref="AM291:AN291"/>
    <mergeCell ref="AO291:AP291"/>
    <mergeCell ref="AQ291:AR291"/>
    <mergeCell ref="AS291:AT291"/>
    <mergeCell ref="AU291:AV291"/>
    <mergeCell ref="AW291:AX291"/>
    <mergeCell ref="AY291:AZ291"/>
    <mergeCell ref="BA291:BB291"/>
    <mergeCell ref="BC291:BD291"/>
    <mergeCell ref="BE291:BF291"/>
    <mergeCell ref="BG291:BH291"/>
    <mergeCell ref="BI291:BJ291"/>
    <mergeCell ref="BK291:BL291"/>
    <mergeCell ref="BM291:BN291"/>
    <mergeCell ref="BO291:BP291"/>
    <mergeCell ref="BQ291:BR291"/>
    <mergeCell ref="BS291:BT291"/>
    <mergeCell ref="BU291:BV291"/>
    <mergeCell ref="BW291:BX291"/>
    <mergeCell ref="BY291:BZ291"/>
    <mergeCell ref="CA291:CB291"/>
    <mergeCell ref="CC291:CD291"/>
    <mergeCell ref="CE291:CF291"/>
    <mergeCell ref="CU291:CV291"/>
    <mergeCell ref="CW291:CX291"/>
    <mergeCell ref="CY291:CZ291"/>
    <mergeCell ref="CG291:CH291"/>
    <mergeCell ref="CI291:CJ291"/>
    <mergeCell ref="CK291:CL291"/>
    <mergeCell ref="CM291:CN291"/>
    <mergeCell ref="CO291:CP291"/>
    <mergeCell ref="CQ291:CR291"/>
    <mergeCell ref="CS291:CT291"/>
    <mergeCell ref="CM292:CN292"/>
    <mergeCell ref="CO292:CP292"/>
    <mergeCell ref="CQ292:CR292"/>
    <mergeCell ref="CS292:CT292"/>
    <mergeCell ref="CU292:CV292"/>
    <mergeCell ref="CW292:CX292"/>
    <mergeCell ref="CY292:CZ292"/>
    <mergeCell ref="BY292:BZ292"/>
    <mergeCell ref="CA292:CB292"/>
    <mergeCell ref="CC292:CD292"/>
    <mergeCell ref="CE292:CF292"/>
    <mergeCell ref="CG292:CH292"/>
    <mergeCell ref="CI292:CJ292"/>
    <mergeCell ref="CK292:CL292"/>
    <mergeCell ref="S288:T288"/>
    <mergeCell ref="U288:V288"/>
    <mergeCell ref="W288:X288"/>
    <mergeCell ref="Y288:Z288"/>
    <mergeCell ref="AA288:AB288"/>
    <mergeCell ref="AC288:AD288"/>
    <mergeCell ref="AE288:AF288"/>
    <mergeCell ref="AG288:AH288"/>
    <mergeCell ref="AI288:AJ288"/>
    <mergeCell ref="AK288:AL288"/>
    <mergeCell ref="AM288:AN288"/>
    <mergeCell ref="AO288:AP288"/>
    <mergeCell ref="I291:J291"/>
    <mergeCell ref="K291:L291"/>
    <mergeCell ref="S291:T291"/>
    <mergeCell ref="U291:V291"/>
    <mergeCell ref="W291:X291"/>
    <mergeCell ref="Y291:Z291"/>
    <mergeCell ref="AA291:AB291"/>
    <mergeCell ref="M291:N291"/>
    <mergeCell ref="O291:P291"/>
    <mergeCell ref="Q291:R291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Z292"/>
    <mergeCell ref="AA292:AB292"/>
    <mergeCell ref="AC292:AD292"/>
    <mergeCell ref="AE292:AF292"/>
    <mergeCell ref="AG292:AH292"/>
    <mergeCell ref="AW292:AX292"/>
    <mergeCell ref="AY292:AZ292"/>
    <mergeCell ref="BA292:BB292"/>
    <mergeCell ref="BC292:BD292"/>
    <mergeCell ref="BE292:BF292"/>
    <mergeCell ref="BG292:BH292"/>
    <mergeCell ref="BI292:BJ292"/>
    <mergeCell ref="O288:P288"/>
    <mergeCell ref="Q288:R288"/>
    <mergeCell ref="AQ293:AR293"/>
    <mergeCell ref="AS293:AT293"/>
    <mergeCell ref="AC293:AD293"/>
    <mergeCell ref="AE293:AF293"/>
    <mergeCell ref="AG293:AH293"/>
    <mergeCell ref="AI293:AJ293"/>
    <mergeCell ref="AK293:AL293"/>
    <mergeCell ref="AM293:AN293"/>
    <mergeCell ref="AO293:AP293"/>
    <mergeCell ref="AA294:AB294"/>
    <mergeCell ref="AC294:AD294"/>
    <mergeCell ref="AE294:AF294"/>
    <mergeCell ref="AG294:AH294"/>
    <mergeCell ref="AI294:AJ294"/>
    <mergeCell ref="AK294:AL294"/>
    <mergeCell ref="AM294:AN294"/>
    <mergeCell ref="AO294:AP294"/>
    <mergeCell ref="AQ294:AR294"/>
    <mergeCell ref="AS294:AT294"/>
    <mergeCell ref="AU294:AV294"/>
    <mergeCell ref="AW294:AX294"/>
    <mergeCell ref="AY294:AZ294"/>
    <mergeCell ref="BA294:BB294"/>
    <mergeCell ref="BC294:BD294"/>
    <mergeCell ref="BE294:BF294"/>
    <mergeCell ref="BG294:BH294"/>
    <mergeCell ref="BI294:BJ294"/>
    <mergeCell ref="BK294:BL294"/>
    <mergeCell ref="BM294:BN294"/>
    <mergeCell ref="BO294:BP294"/>
    <mergeCell ref="BQ294:BR294"/>
    <mergeCell ref="BS294:BT294"/>
    <mergeCell ref="BU294:BV294"/>
    <mergeCell ref="CW294:CX294"/>
    <mergeCell ref="CY294:CZ294"/>
    <mergeCell ref="CE294:CF294"/>
    <mergeCell ref="CG294:CH294"/>
    <mergeCell ref="CI294:CJ294"/>
    <mergeCell ref="CK294:CL294"/>
    <mergeCell ref="CM294:CN294"/>
    <mergeCell ref="CO294:CP294"/>
    <mergeCell ref="CQ294:CR294"/>
    <mergeCell ref="BI293:BJ293"/>
    <mergeCell ref="BK293:BL293"/>
    <mergeCell ref="AU293:AV293"/>
    <mergeCell ref="AW293:AX293"/>
    <mergeCell ref="AY293:AZ293"/>
    <mergeCell ref="BA293:BB293"/>
    <mergeCell ref="BC293:BD293"/>
    <mergeCell ref="BE293:BF293"/>
    <mergeCell ref="BG293:BH293"/>
    <mergeCell ref="BM293:BN293"/>
    <mergeCell ref="BO293:BP293"/>
    <mergeCell ref="BQ293:BR293"/>
    <mergeCell ref="BS293:BT293"/>
    <mergeCell ref="BU293:BV293"/>
    <mergeCell ref="BW293:BX293"/>
    <mergeCell ref="BY293:BZ293"/>
    <mergeCell ref="CO293:CP293"/>
    <mergeCell ref="CQ293:CR293"/>
    <mergeCell ref="CS293:CT293"/>
    <mergeCell ref="CU293:CV293"/>
    <mergeCell ref="CW293:CX293"/>
    <mergeCell ref="CY293:CZ293"/>
    <mergeCell ref="CA293:CB293"/>
    <mergeCell ref="CC293:CD293"/>
    <mergeCell ref="CE293:CF293"/>
    <mergeCell ref="CG293:CH293"/>
    <mergeCell ref="CI293:CJ293"/>
    <mergeCell ref="CK293:CL293"/>
    <mergeCell ref="CM293:CN293"/>
    <mergeCell ref="CQ296:CR296"/>
    <mergeCell ref="CS296:CT296"/>
    <mergeCell ref="CU296:CV296"/>
    <mergeCell ref="CW296:CX296"/>
    <mergeCell ref="CY296:CZ296"/>
    <mergeCell ref="CC296:CD296"/>
    <mergeCell ref="CE296:CF296"/>
    <mergeCell ref="CG296:CH296"/>
    <mergeCell ref="CI296:CJ296"/>
    <mergeCell ref="CK296:CL296"/>
    <mergeCell ref="CM296:CN296"/>
    <mergeCell ref="CO296:CP296"/>
    <mergeCell ref="I293:J293"/>
    <mergeCell ref="K293:L293"/>
    <mergeCell ref="S293:T293"/>
    <mergeCell ref="U293:V293"/>
    <mergeCell ref="W293:X293"/>
    <mergeCell ref="Y293:Z293"/>
    <mergeCell ref="AA293:AB293"/>
    <mergeCell ref="AI292:AJ292"/>
    <mergeCell ref="AK292:AL292"/>
    <mergeCell ref="AM292:AN292"/>
    <mergeCell ref="AO292:AP292"/>
    <mergeCell ref="AQ292:AR292"/>
    <mergeCell ref="AS292:AT292"/>
    <mergeCell ref="AU292:AV292"/>
    <mergeCell ref="BK292:BL292"/>
    <mergeCell ref="BM292:BN292"/>
    <mergeCell ref="BO292:BP292"/>
    <mergeCell ref="BQ292:BR292"/>
    <mergeCell ref="BS292:BT292"/>
    <mergeCell ref="BU292:BV292"/>
    <mergeCell ref="BW292:BX292"/>
    <mergeCell ref="AQ295:AR295"/>
    <mergeCell ref="AS295:AT295"/>
    <mergeCell ref="AU295:AV295"/>
    <mergeCell ref="AW295:AX295"/>
    <mergeCell ref="AY295:AZ295"/>
    <mergeCell ref="BA295:BB295"/>
    <mergeCell ref="BC295:BD295"/>
    <mergeCell ref="BE295:BF295"/>
    <mergeCell ref="BG295:BH295"/>
    <mergeCell ref="BI295:BJ295"/>
    <mergeCell ref="BK295:BL295"/>
    <mergeCell ref="BM295:BN295"/>
    <mergeCell ref="BO295:BP295"/>
    <mergeCell ref="BQ295:BR295"/>
    <mergeCell ref="BS295:BT295"/>
    <mergeCell ref="BU295:BV295"/>
    <mergeCell ref="BW295:BX295"/>
    <mergeCell ref="M293:N293"/>
    <mergeCell ref="O293:P293"/>
    <mergeCell ref="Q293:R293"/>
    <mergeCell ref="I294:J294"/>
    <mergeCell ref="K294:L294"/>
    <mergeCell ref="M294:N294"/>
    <mergeCell ref="O294:P294"/>
    <mergeCell ref="Q294:R294"/>
    <mergeCell ref="BW294:BX294"/>
    <mergeCell ref="BY294:BZ294"/>
    <mergeCell ref="CA294:CB294"/>
    <mergeCell ref="CC294:CD294"/>
    <mergeCell ref="CS294:CT294"/>
    <mergeCell ref="CU294:CV294"/>
    <mergeCell ref="AA297:AB297"/>
    <mergeCell ref="AC297:AD297"/>
    <mergeCell ref="U294:V294"/>
    <mergeCell ref="W294:X294"/>
    <mergeCell ref="Y294:Z294"/>
    <mergeCell ref="S297:T297"/>
    <mergeCell ref="U297:V297"/>
    <mergeCell ref="W297:X297"/>
    <mergeCell ref="Y297:Z297"/>
    <mergeCell ref="AM297:AN297"/>
    <mergeCell ref="AO297:AP297"/>
    <mergeCell ref="AQ297:AR297"/>
    <mergeCell ref="AS297:AT297"/>
    <mergeCell ref="AU297:AV297"/>
    <mergeCell ref="AW297:AX297"/>
    <mergeCell ref="AY297:AZ297"/>
    <mergeCell ref="BA297:BB297"/>
    <mergeCell ref="BC297:BD297"/>
    <mergeCell ref="BE297:BF297"/>
    <mergeCell ref="BG297:BH297"/>
    <mergeCell ref="BI297:BJ297"/>
    <mergeCell ref="BK297:BL297"/>
    <mergeCell ref="BM297:BN297"/>
    <mergeCell ref="BO297:BP297"/>
    <mergeCell ref="BQ297:BR297"/>
    <mergeCell ref="BS297:BT297"/>
    <mergeCell ref="BU297:BV297"/>
    <mergeCell ref="BW297:BX297"/>
    <mergeCell ref="BY297:BZ297"/>
    <mergeCell ref="CA297:CB297"/>
    <mergeCell ref="CQ297:CR297"/>
    <mergeCell ref="CS297:CT297"/>
    <mergeCell ref="CU297:CV297"/>
    <mergeCell ref="S294:T294"/>
    <mergeCell ref="BY295:BZ295"/>
    <mergeCell ref="CA295:CB295"/>
    <mergeCell ref="CC295:CD295"/>
    <mergeCell ref="CE295:CF295"/>
    <mergeCell ref="CU295:CV295"/>
    <mergeCell ref="CG295:CH295"/>
    <mergeCell ref="CI295:CJ295"/>
    <mergeCell ref="CK295:CL295"/>
    <mergeCell ref="CM295:CN295"/>
    <mergeCell ref="CO295:CP295"/>
    <mergeCell ref="CQ295:CR295"/>
    <mergeCell ref="CS295:CT295"/>
    <mergeCell ref="S296:T296"/>
    <mergeCell ref="U296:V296"/>
    <mergeCell ref="W296:X296"/>
    <mergeCell ref="Y296:Z296"/>
    <mergeCell ref="AA296:AB296"/>
    <mergeCell ref="AC296:AD296"/>
    <mergeCell ref="AE296:AF296"/>
    <mergeCell ref="AG296:AH296"/>
    <mergeCell ref="AI296:AJ296"/>
    <mergeCell ref="AQ296:AR296"/>
    <mergeCell ref="AS296:AT296"/>
    <mergeCell ref="AU296:AV296"/>
    <mergeCell ref="AW296:AX296"/>
    <mergeCell ref="AY296:AZ296"/>
    <mergeCell ref="BA296:BB296"/>
    <mergeCell ref="BC296:BD296"/>
    <mergeCell ref="BE296:BF296"/>
    <mergeCell ref="BG296:BH296"/>
    <mergeCell ref="BW299:BX299"/>
    <mergeCell ref="BY299:BZ299"/>
    <mergeCell ref="CA299:CB299"/>
    <mergeCell ref="CQ299:CR299"/>
    <mergeCell ref="CS299:CT299"/>
    <mergeCell ref="CU299:CV299"/>
    <mergeCell ref="CW299:CX299"/>
    <mergeCell ref="CY299:CZ299"/>
    <mergeCell ref="CC299:CD299"/>
    <mergeCell ref="CE299:CF299"/>
    <mergeCell ref="CG299:CH299"/>
    <mergeCell ref="CI299:CJ299"/>
    <mergeCell ref="CK299:CL299"/>
    <mergeCell ref="CM299:CN299"/>
    <mergeCell ref="CO299:CP299"/>
    <mergeCell ref="AC298:AD298"/>
    <mergeCell ref="AE298:AF298"/>
    <mergeCell ref="AG298:AH298"/>
    <mergeCell ref="AI298:AJ298"/>
    <mergeCell ref="AK298:AL298"/>
    <mergeCell ref="AM298:AN298"/>
    <mergeCell ref="AO298:AP298"/>
    <mergeCell ref="AQ298:AR298"/>
    <mergeCell ref="AS298:AT298"/>
    <mergeCell ref="AU298:AV298"/>
    <mergeCell ref="AW298:AX298"/>
    <mergeCell ref="AY298:AZ298"/>
    <mergeCell ref="BA298:BB298"/>
    <mergeCell ref="BC298:BD298"/>
    <mergeCell ref="BE298:BF298"/>
    <mergeCell ref="BG298:BH298"/>
    <mergeCell ref="BI298:BJ298"/>
    <mergeCell ref="BK298:BL298"/>
    <mergeCell ref="BM298:BN298"/>
    <mergeCell ref="BO298:BP298"/>
    <mergeCell ref="BQ298:BR298"/>
    <mergeCell ref="BS298:BT298"/>
    <mergeCell ref="BU298:BV298"/>
    <mergeCell ref="BW298:BX298"/>
    <mergeCell ref="BY298:BZ298"/>
    <mergeCell ref="CA298:CB298"/>
    <mergeCell ref="CC298:CD298"/>
    <mergeCell ref="CE298:CF298"/>
    <mergeCell ref="CU298:CV298"/>
    <mergeCell ref="CW298:CX298"/>
    <mergeCell ref="CY298:CZ298"/>
    <mergeCell ref="CG298:CH298"/>
    <mergeCell ref="CI298:CJ298"/>
    <mergeCell ref="CK298:CL298"/>
    <mergeCell ref="CM298:CN298"/>
    <mergeCell ref="CO298:CP298"/>
    <mergeCell ref="CQ298:CR298"/>
    <mergeCell ref="CS298:CT298"/>
    <mergeCell ref="M301:N301"/>
    <mergeCell ref="O301:P301"/>
    <mergeCell ref="Q301:R301"/>
    <mergeCell ref="S301:T301"/>
    <mergeCell ref="U301:V301"/>
    <mergeCell ref="W301:X301"/>
    <mergeCell ref="Y301:Z301"/>
    <mergeCell ref="AA301:AB301"/>
    <mergeCell ref="AC301:AD301"/>
    <mergeCell ref="AE301:AF301"/>
    <mergeCell ref="AG301:AH301"/>
    <mergeCell ref="AI301:AJ301"/>
    <mergeCell ref="AK301:AL301"/>
    <mergeCell ref="AM301:AN301"/>
    <mergeCell ref="AO301:AP301"/>
    <mergeCell ref="AQ301:AR301"/>
    <mergeCell ref="AS301:AT301"/>
    <mergeCell ref="AU301:AV301"/>
    <mergeCell ref="AW301:AX301"/>
    <mergeCell ref="AY301:AZ301"/>
    <mergeCell ref="BA301:BB301"/>
    <mergeCell ref="BC301:BD301"/>
    <mergeCell ref="BE301:BF301"/>
    <mergeCell ref="BG301:BH301"/>
    <mergeCell ref="BI301:BJ301"/>
    <mergeCell ref="BK301:BL301"/>
    <mergeCell ref="BM301:BN301"/>
    <mergeCell ref="BO301:BP301"/>
    <mergeCell ref="BQ301:BR301"/>
    <mergeCell ref="BS301:BT301"/>
    <mergeCell ref="BU301:BV301"/>
    <mergeCell ref="AG299:AH299"/>
    <mergeCell ref="AI299:AJ299"/>
    <mergeCell ref="AQ299:AR299"/>
    <mergeCell ref="AS299:AT299"/>
    <mergeCell ref="AU299:AV299"/>
    <mergeCell ref="AW299:AX299"/>
    <mergeCell ref="AY299:AZ299"/>
    <mergeCell ref="BA299:BB299"/>
    <mergeCell ref="BC299:BD299"/>
    <mergeCell ref="BE299:BF299"/>
    <mergeCell ref="BG299:BH299"/>
    <mergeCell ref="BI299:BJ299"/>
    <mergeCell ref="BK299:BL299"/>
    <mergeCell ref="BM299:BN299"/>
    <mergeCell ref="BO299:BP299"/>
    <mergeCell ref="BQ299:BR299"/>
    <mergeCell ref="BS299:BT299"/>
    <mergeCell ref="BU299:BV299"/>
    <mergeCell ref="BW301:BX301"/>
    <mergeCell ref="BY301:BZ301"/>
    <mergeCell ref="CO301:CP301"/>
    <mergeCell ref="CQ301:CR301"/>
    <mergeCell ref="CS301:CT301"/>
    <mergeCell ref="CU301:CV301"/>
    <mergeCell ref="CW301:CX301"/>
    <mergeCell ref="CY301:CZ301"/>
    <mergeCell ref="CA301:CB301"/>
    <mergeCell ref="CC301:CD301"/>
    <mergeCell ref="CE301:CF301"/>
    <mergeCell ref="CG301:CH301"/>
    <mergeCell ref="CI301:CJ301"/>
    <mergeCell ref="CK301:CL301"/>
    <mergeCell ref="CM301:CN301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Z302"/>
    <mergeCell ref="AA302:AB302"/>
    <mergeCell ref="AC302:AD302"/>
    <mergeCell ref="AE302:AF302"/>
    <mergeCell ref="AG302:AH302"/>
    <mergeCell ref="AI302:AJ302"/>
    <mergeCell ref="AK302:AL302"/>
    <mergeCell ref="AM302:AN302"/>
    <mergeCell ref="AO302:AP302"/>
    <mergeCell ref="AQ302:AR302"/>
    <mergeCell ref="AS302:AT302"/>
    <mergeCell ref="AU302:AV302"/>
    <mergeCell ref="AW302:AX302"/>
    <mergeCell ref="AY302:AZ302"/>
    <mergeCell ref="BA302:BB302"/>
    <mergeCell ref="BC302:BD302"/>
    <mergeCell ref="BE302:BF302"/>
    <mergeCell ref="BG302:BH302"/>
    <mergeCell ref="BI302:BJ302"/>
    <mergeCell ref="BK302:BL302"/>
    <mergeCell ref="BM302:BN302"/>
    <mergeCell ref="BO302:BP302"/>
    <mergeCell ref="BQ302:BR302"/>
    <mergeCell ref="BS302:BT302"/>
    <mergeCell ref="BU302:BV302"/>
    <mergeCell ref="BW302:BX302"/>
    <mergeCell ref="BY302:BZ302"/>
    <mergeCell ref="CO302:CP302"/>
    <mergeCell ref="CQ302:CR302"/>
    <mergeCell ref="CS302:CT302"/>
    <mergeCell ref="CU302:CV302"/>
    <mergeCell ref="CW302:CX302"/>
    <mergeCell ref="CA302:CB302"/>
    <mergeCell ref="CC302:CD302"/>
    <mergeCell ref="CE302:CF302"/>
    <mergeCell ref="CG302:CH302"/>
    <mergeCell ref="CI302:CJ302"/>
    <mergeCell ref="CK302:CL302"/>
    <mergeCell ref="CM302:CN302"/>
    <mergeCell ref="I301:J301"/>
    <mergeCell ref="K301:L301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Z303"/>
    <mergeCell ref="AA303:AB303"/>
    <mergeCell ref="AC303:AD303"/>
    <mergeCell ref="AE303:AF303"/>
    <mergeCell ref="AG303:AH303"/>
    <mergeCell ref="AI303:AJ303"/>
    <mergeCell ref="AK303:AL303"/>
    <mergeCell ref="AM303:AN303"/>
    <mergeCell ref="AO303:AP303"/>
    <mergeCell ref="AQ303:AR303"/>
    <mergeCell ref="AS303:AT303"/>
    <mergeCell ref="AU303:AV303"/>
    <mergeCell ref="AW303:AX303"/>
    <mergeCell ref="AY303:AZ303"/>
    <mergeCell ref="BA303:BB303"/>
    <mergeCell ref="BC303:BD303"/>
    <mergeCell ref="BE303:BF303"/>
    <mergeCell ref="BG303:BH303"/>
    <mergeCell ref="BI303:BJ303"/>
    <mergeCell ref="BK303:BL303"/>
    <mergeCell ref="BM303:BN303"/>
    <mergeCell ref="BO303:BP303"/>
    <mergeCell ref="BQ303:BR303"/>
    <mergeCell ref="BS303:BT303"/>
    <mergeCell ref="BU303:BV303"/>
    <mergeCell ref="AO235:AP235"/>
    <mergeCell ref="AQ235:AR235"/>
    <mergeCell ref="AY235:AZ235"/>
    <mergeCell ref="BA235:BB235"/>
    <mergeCell ref="BC235:BD235"/>
    <mergeCell ref="BE235:BF235"/>
    <mergeCell ref="BG235:BH235"/>
    <mergeCell ref="BI235:BJ235"/>
    <mergeCell ref="BK235:BL235"/>
    <mergeCell ref="BM235:BN235"/>
    <mergeCell ref="BO235:BP235"/>
    <mergeCell ref="BQ235:BR235"/>
    <mergeCell ref="BS235:BT235"/>
    <mergeCell ref="BU235:BV235"/>
    <mergeCell ref="CK235:CL235"/>
    <mergeCell ref="CM235:CN235"/>
    <mergeCell ref="CO235:CP235"/>
    <mergeCell ref="CQ235:CR235"/>
    <mergeCell ref="CS235:CT235"/>
    <mergeCell ref="CA232:CB232"/>
    <mergeCell ref="CC232:CD232"/>
    <mergeCell ref="CE232:CF232"/>
    <mergeCell ref="CG232:CH232"/>
    <mergeCell ref="AE232:AF232"/>
    <mergeCell ref="CO229:CP229"/>
    <mergeCell ref="CQ229:CR229"/>
    <mergeCell ref="CS229:CT229"/>
    <mergeCell ref="CU235:CV235"/>
    <mergeCell ref="CW235:CX235"/>
    <mergeCell ref="CY235:CZ235"/>
    <mergeCell ref="BW235:BX235"/>
    <mergeCell ref="BY235:BZ235"/>
    <mergeCell ref="CA235:CB235"/>
    <mergeCell ref="CC235:CD235"/>
    <mergeCell ref="CE235:CF235"/>
    <mergeCell ref="CG235:CH235"/>
    <mergeCell ref="AY234:AZ234"/>
    <mergeCell ref="BA234:BB234"/>
    <mergeCell ref="BC234:BD234"/>
    <mergeCell ref="BE234:BF234"/>
    <mergeCell ref="BG234:BH234"/>
    <mergeCell ref="BI234:BJ234"/>
    <mergeCell ref="BK234:BL234"/>
    <mergeCell ref="BM234:BN234"/>
    <mergeCell ref="BO234:BP234"/>
    <mergeCell ref="BQ234:BR234"/>
    <mergeCell ref="BS234:BT234"/>
    <mergeCell ref="BU234:BV234"/>
    <mergeCell ref="BW234:BX234"/>
    <mergeCell ref="BY234:BZ234"/>
    <mergeCell ref="CO234:CP234"/>
    <mergeCell ref="CQ234:CR234"/>
    <mergeCell ref="CS234:CT234"/>
    <mergeCell ref="CU234:CV234"/>
    <mergeCell ref="CW234:CX234"/>
    <mergeCell ref="CY234:CZ234"/>
    <mergeCell ref="CA234:CB234"/>
    <mergeCell ref="CC234:CD234"/>
    <mergeCell ref="CE234:CF234"/>
    <mergeCell ref="CG234:CH234"/>
    <mergeCell ref="CI234:CJ234"/>
    <mergeCell ref="CK234:CL234"/>
    <mergeCell ref="CM234:CN234"/>
    <mergeCell ref="AU231:AV231"/>
    <mergeCell ref="AY236:AZ236"/>
    <mergeCell ref="BA236:BB236"/>
    <mergeCell ref="BC236:BD236"/>
    <mergeCell ref="BE236:BF236"/>
    <mergeCell ref="BG236:BH236"/>
    <mergeCell ref="BI236:BJ236"/>
    <mergeCell ref="BK236:BL236"/>
    <mergeCell ref="BM236:BN236"/>
    <mergeCell ref="BO236:BP236"/>
    <mergeCell ref="BQ236:BR236"/>
    <mergeCell ref="BS236:BT236"/>
    <mergeCell ref="BU236:BV236"/>
    <mergeCell ref="CK236:CL236"/>
    <mergeCell ref="CM236:CN236"/>
    <mergeCell ref="CO236:CP236"/>
    <mergeCell ref="CQ236:CR236"/>
    <mergeCell ref="CS236:CT236"/>
    <mergeCell ref="CU236:CV236"/>
    <mergeCell ref="CW236:CX236"/>
    <mergeCell ref="CY236:CZ236"/>
    <mergeCell ref="BW236:BX236"/>
    <mergeCell ref="BY236:BZ236"/>
    <mergeCell ref="CA236:CB236"/>
    <mergeCell ref="CC236:CD236"/>
    <mergeCell ref="CE236:CF236"/>
    <mergeCell ref="CG236:CH236"/>
    <mergeCell ref="CI236:CJ236"/>
    <mergeCell ref="BW303:BX303"/>
    <mergeCell ref="BY303:BZ303"/>
    <mergeCell ref="CO303:CP303"/>
    <mergeCell ref="CQ303:CR303"/>
    <mergeCell ref="CS303:CT303"/>
    <mergeCell ref="CU303:CV303"/>
    <mergeCell ref="CW303:CX303"/>
    <mergeCell ref="CY303:CZ303"/>
    <mergeCell ref="CA303:CB303"/>
    <mergeCell ref="CC303:CD303"/>
    <mergeCell ref="CE303:CF303"/>
    <mergeCell ref="CG303:CH303"/>
    <mergeCell ref="CI303:CJ303"/>
    <mergeCell ref="CK303:CL303"/>
    <mergeCell ref="CM303:CN303"/>
    <mergeCell ref="CY302:CZ302"/>
    <mergeCell ref="CW297:CX297"/>
    <mergeCell ref="CY297:CZ297"/>
    <mergeCell ref="CC297:CD297"/>
    <mergeCell ref="CE297:CF297"/>
    <mergeCell ref="CG297:CH297"/>
    <mergeCell ref="CI297:CJ297"/>
    <mergeCell ref="CK297:CL297"/>
    <mergeCell ref="CM297:CN297"/>
    <mergeCell ref="CO297:CP297"/>
    <mergeCell ref="CW295:CX295"/>
    <mergeCell ref="CY295:CZ295"/>
    <mergeCell ref="BI296:BJ296"/>
    <mergeCell ref="BK296:BL296"/>
    <mergeCell ref="BM296:BN296"/>
    <mergeCell ref="BO296:BP296"/>
    <mergeCell ref="BQ296:BR296"/>
    <mergeCell ref="BS296:BT296"/>
    <mergeCell ref="BU296:BV296"/>
    <mergeCell ref="BW296:BX296"/>
    <mergeCell ref="BY296:BZ296"/>
    <mergeCell ref="CA296:CB296"/>
    <mergeCell ref="CU237:CV237"/>
    <mergeCell ref="CW237:CX237"/>
    <mergeCell ref="CY237:CZ237"/>
    <mergeCell ref="BW237:BX237"/>
    <mergeCell ref="BY237:BZ237"/>
    <mergeCell ref="CA237:CB237"/>
    <mergeCell ref="CC237:CD237"/>
    <mergeCell ref="CE237:CF237"/>
    <mergeCell ref="CG237:CH237"/>
    <mergeCell ref="CI237:CJ237"/>
    <mergeCell ref="AC238:AD238"/>
    <mergeCell ref="AE238:AF238"/>
    <mergeCell ref="AG238:AH238"/>
    <mergeCell ref="AI238:AJ238"/>
    <mergeCell ref="AK238:AL238"/>
    <mergeCell ref="AM238:AN238"/>
    <mergeCell ref="AO238:AP238"/>
    <mergeCell ref="AQ238:AR238"/>
    <mergeCell ref="AS238:AT238"/>
    <mergeCell ref="AY238:AZ238"/>
    <mergeCell ref="BA238:BB238"/>
    <mergeCell ref="BC238:BD238"/>
    <mergeCell ref="BE238:BF238"/>
    <mergeCell ref="BG238:BH238"/>
    <mergeCell ref="BI238:BJ238"/>
    <mergeCell ref="BK238:BL238"/>
    <mergeCell ref="BM238:BN238"/>
    <mergeCell ref="BO238:BP238"/>
    <mergeCell ref="BQ238:BR238"/>
    <mergeCell ref="BS238:BT238"/>
    <mergeCell ref="BU238:BV238"/>
    <mergeCell ref="CK238:CL238"/>
    <mergeCell ref="CM238:CN238"/>
    <mergeCell ref="CO238:CP238"/>
    <mergeCell ref="CQ238:CR238"/>
    <mergeCell ref="CS238:CT238"/>
    <mergeCell ref="CU238:CV238"/>
    <mergeCell ref="CW238:CX238"/>
    <mergeCell ref="CY238:CZ238"/>
    <mergeCell ref="BW238:BX238"/>
    <mergeCell ref="BY238:BZ238"/>
    <mergeCell ref="CA238:CB238"/>
    <mergeCell ref="CC238:CD238"/>
    <mergeCell ref="CE238:CF238"/>
    <mergeCell ref="CG238:CH238"/>
    <mergeCell ref="CI238:CJ238"/>
    <mergeCell ref="AC237:AD237"/>
    <mergeCell ref="AE237:AF237"/>
    <mergeCell ref="AG237:AH237"/>
    <mergeCell ref="AI237:AJ237"/>
    <mergeCell ref="AK237:AL237"/>
    <mergeCell ref="AM237:AN237"/>
    <mergeCell ref="AO237:AP237"/>
    <mergeCell ref="AQ237:AR237"/>
    <mergeCell ref="AY237:AZ237"/>
    <mergeCell ref="BA237:BB237"/>
    <mergeCell ref="BC237:BD237"/>
    <mergeCell ref="BE237:BF237"/>
    <mergeCell ref="BG237:BH237"/>
    <mergeCell ref="BI237:BJ237"/>
    <mergeCell ref="BK237:BL237"/>
    <mergeCell ref="BM237:BN237"/>
    <mergeCell ref="BO237:BP237"/>
    <mergeCell ref="BQ237:BR237"/>
    <mergeCell ref="M239:N239"/>
    <mergeCell ref="O239:P239"/>
    <mergeCell ref="Q239:R239"/>
    <mergeCell ref="S239:T239"/>
    <mergeCell ref="U239:V239"/>
    <mergeCell ref="W239:X239"/>
    <mergeCell ref="Y239:Z239"/>
    <mergeCell ref="AE239:AF239"/>
    <mergeCell ref="AG239:AH239"/>
    <mergeCell ref="AI239:AJ239"/>
    <mergeCell ref="AK239:AL239"/>
    <mergeCell ref="AM239:AN239"/>
    <mergeCell ref="AO239:AP239"/>
    <mergeCell ref="AQ239:AR239"/>
    <mergeCell ref="AS239:AT239"/>
    <mergeCell ref="AU239:AV239"/>
    <mergeCell ref="AY239:AZ239"/>
    <mergeCell ref="BA239:BB239"/>
    <mergeCell ref="BC239:BD239"/>
    <mergeCell ref="BE239:BF239"/>
    <mergeCell ref="BG239:BH239"/>
    <mergeCell ref="BI239:BJ239"/>
    <mergeCell ref="BK239:BL239"/>
    <mergeCell ref="BM239:BN239"/>
    <mergeCell ref="BO239:BP239"/>
    <mergeCell ref="BQ239:BR239"/>
    <mergeCell ref="BS239:BT239"/>
    <mergeCell ref="BU239:BV239"/>
    <mergeCell ref="CK239:CL239"/>
    <mergeCell ref="CM239:CN239"/>
    <mergeCell ref="CO239:CP239"/>
    <mergeCell ref="CQ237:CR237"/>
    <mergeCell ref="CS237:CT237"/>
    <mergeCell ref="W237:X237"/>
    <mergeCell ref="Y237:Z237"/>
    <mergeCell ref="M237:N237"/>
    <mergeCell ref="O237:P237"/>
    <mergeCell ref="Q237:R237"/>
    <mergeCell ref="S237:T237"/>
    <mergeCell ref="U237:V237"/>
    <mergeCell ref="AA237:AB237"/>
    <mergeCell ref="BS237:BT237"/>
    <mergeCell ref="BU237:BV237"/>
    <mergeCell ref="CK237:CL237"/>
    <mergeCell ref="CM237:CN237"/>
    <mergeCell ref="CO237:CP237"/>
    <mergeCell ref="CQ239:CR239"/>
    <mergeCell ref="CS239:CT239"/>
    <mergeCell ref="CU239:CV239"/>
    <mergeCell ref="CW239:CX239"/>
    <mergeCell ref="CY239:CZ239"/>
    <mergeCell ref="BW239:BX239"/>
    <mergeCell ref="BY239:BZ239"/>
    <mergeCell ref="CA239:CB239"/>
    <mergeCell ref="CC239:CD239"/>
    <mergeCell ref="CE239:CF239"/>
    <mergeCell ref="CG239:CH239"/>
    <mergeCell ref="CI239:CJ239"/>
    <mergeCell ref="AA240:AB240"/>
    <mergeCell ref="AC240:AD240"/>
    <mergeCell ref="AE240:AF240"/>
    <mergeCell ref="AG240:AH240"/>
    <mergeCell ref="AI240:AJ240"/>
    <mergeCell ref="AK240:AL240"/>
    <mergeCell ref="AM240:AN240"/>
    <mergeCell ref="AO240:AP240"/>
    <mergeCell ref="AQ240:AR240"/>
    <mergeCell ref="AY240:AZ240"/>
    <mergeCell ref="BA240:BB240"/>
    <mergeCell ref="BC240:BD240"/>
    <mergeCell ref="BE240:BF240"/>
    <mergeCell ref="BG240:BH240"/>
    <mergeCell ref="BI240:BJ240"/>
    <mergeCell ref="BK240:BL240"/>
    <mergeCell ref="BM240:BN240"/>
    <mergeCell ref="BO240:BP240"/>
    <mergeCell ref="BQ240:BR240"/>
    <mergeCell ref="BS240:BT240"/>
    <mergeCell ref="BU240:BV240"/>
    <mergeCell ref="CK240:CL240"/>
    <mergeCell ref="CM240:CN240"/>
    <mergeCell ref="CO240:CP240"/>
    <mergeCell ref="CQ240:CR240"/>
    <mergeCell ref="CS240:CT240"/>
    <mergeCell ref="CU240:CV240"/>
    <mergeCell ref="CW240:CX240"/>
    <mergeCell ref="CY240:CZ240"/>
    <mergeCell ref="BW240:BX240"/>
    <mergeCell ref="BY240:BZ240"/>
    <mergeCell ref="CA240:CB240"/>
    <mergeCell ref="CC240:CD240"/>
    <mergeCell ref="CE240:CF240"/>
    <mergeCell ref="CG240:CH240"/>
    <mergeCell ref="CI240:CJ240"/>
    <mergeCell ref="AS240:AT240"/>
    <mergeCell ref="AU240:AV240"/>
    <mergeCell ref="AW240:AX240"/>
    <mergeCell ref="AW239:AX239"/>
    <mergeCell ref="AA239:AB239"/>
    <mergeCell ref="AC239:AD239"/>
    <mergeCell ref="B221:B232"/>
    <mergeCell ref="C221:C232"/>
    <mergeCell ref="D221:D232"/>
    <mergeCell ref="E221:E232"/>
    <mergeCell ref="F221:F232"/>
    <mergeCell ref="I221:J221"/>
    <mergeCell ref="K221:L221"/>
    <mergeCell ref="AK234:AL234"/>
    <mergeCell ref="AM234:AN234"/>
    <mergeCell ref="AO234:AP234"/>
    <mergeCell ref="AQ234:AR234"/>
    <mergeCell ref="AS234:AT234"/>
    <mergeCell ref="AU234:AV234"/>
    <mergeCell ref="AW234:AX234"/>
    <mergeCell ref="AS235:AT235"/>
    <mergeCell ref="AU235:AV235"/>
    <mergeCell ref="AW235:AX235"/>
    <mergeCell ref="AO236:AP236"/>
    <mergeCell ref="AQ236:AR236"/>
    <mergeCell ref="AU236:AV236"/>
    <mergeCell ref="AW236:AX236"/>
    <mergeCell ref="W232:X232"/>
    <mergeCell ref="Y232:Z232"/>
    <mergeCell ref="AA232:AB232"/>
    <mergeCell ref="AC232:AD232"/>
    <mergeCell ref="W238:X238"/>
    <mergeCell ref="Y238:Z238"/>
    <mergeCell ref="AA238:AB238"/>
    <mergeCell ref="AS236:AT236"/>
    <mergeCell ref="AS237:AT237"/>
    <mergeCell ref="AU237:AV237"/>
    <mergeCell ref="AW237:AX237"/>
    <mergeCell ref="AU238:AV238"/>
    <mergeCell ref="AW238:AX238"/>
    <mergeCell ref="M238:N238"/>
    <mergeCell ref="O238:P238"/>
    <mergeCell ref="Q238:R238"/>
    <mergeCell ref="S238:T238"/>
    <mergeCell ref="U238:V238"/>
    <mergeCell ref="I237:J237"/>
    <mergeCell ref="K237:L237"/>
    <mergeCell ref="W236:X236"/>
    <mergeCell ref="Y236:Z236"/>
    <mergeCell ref="AA236:AB236"/>
    <mergeCell ref="AC236:AD236"/>
    <mergeCell ref="AE236:AF236"/>
    <mergeCell ref="AG236:AH236"/>
    <mergeCell ref="AI236:AJ236"/>
    <mergeCell ref="AK236:AL236"/>
    <mergeCell ref="AM236:AN236"/>
    <mergeCell ref="AI230:AJ230"/>
    <mergeCell ref="AK230:AL230"/>
    <mergeCell ref="AM230:AN230"/>
    <mergeCell ref="AO230:AP230"/>
    <mergeCell ref="AQ230:AR230"/>
    <mergeCell ref="AS230:AT230"/>
    <mergeCell ref="AU230:AV230"/>
    <mergeCell ref="AA235:AB235"/>
    <mergeCell ref="AC235:AD235"/>
    <mergeCell ref="AE235:AF235"/>
    <mergeCell ref="AG235:AH235"/>
    <mergeCell ref="AI235:AJ235"/>
    <mergeCell ref="AK235:AL235"/>
    <mergeCell ref="AM235:AN235"/>
    <mergeCell ref="CS241:CT241"/>
    <mergeCell ref="CU241:CV241"/>
    <mergeCell ref="CW241:CX241"/>
    <mergeCell ref="CY241:CZ241"/>
    <mergeCell ref="CE241:CF241"/>
    <mergeCell ref="CG241:CH241"/>
    <mergeCell ref="CI241:CJ241"/>
    <mergeCell ref="CK241:CL241"/>
    <mergeCell ref="CM241:CN241"/>
    <mergeCell ref="CO241:CP241"/>
    <mergeCell ref="CQ241:CR241"/>
    <mergeCell ref="CS242:CT242"/>
    <mergeCell ref="CU242:CV242"/>
    <mergeCell ref="CW242:CX242"/>
    <mergeCell ref="CY242:CZ242"/>
    <mergeCell ref="CE242:CF242"/>
    <mergeCell ref="CG242:CH242"/>
    <mergeCell ref="CI242:CJ242"/>
    <mergeCell ref="CK242:CL242"/>
    <mergeCell ref="CM242:CN242"/>
    <mergeCell ref="CO242:CP242"/>
    <mergeCell ref="CQ242:CR242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I243:AJ243"/>
    <mergeCell ref="AK243:AL243"/>
    <mergeCell ref="AM243:AN243"/>
    <mergeCell ref="AO243:AP243"/>
    <mergeCell ref="AQ243:AR243"/>
    <mergeCell ref="AS243:AT243"/>
    <mergeCell ref="AU243:AV243"/>
    <mergeCell ref="AW243:AX243"/>
    <mergeCell ref="AY243:AZ243"/>
    <mergeCell ref="BA243:BB243"/>
    <mergeCell ref="BC243:BD243"/>
    <mergeCell ref="BE243:BF243"/>
    <mergeCell ref="BG243:BH243"/>
    <mergeCell ref="BI243:BJ243"/>
    <mergeCell ref="BK243:BL243"/>
    <mergeCell ref="BM243:BN243"/>
    <mergeCell ref="BO243:BP243"/>
    <mergeCell ref="BQ243:BR243"/>
    <mergeCell ref="BS243:BT243"/>
    <mergeCell ref="BU243:BV243"/>
    <mergeCell ref="BW243:BX243"/>
    <mergeCell ref="BY243:BZ243"/>
    <mergeCell ref="CO243:CP243"/>
    <mergeCell ref="CQ243:CR243"/>
    <mergeCell ref="CS243:CT243"/>
    <mergeCell ref="CU243:CV243"/>
    <mergeCell ref="CW243:CX243"/>
    <mergeCell ref="CY243:CZ243"/>
    <mergeCell ref="CA243:CB243"/>
    <mergeCell ref="CE243:CF243"/>
    <mergeCell ref="CG243:CH243"/>
    <mergeCell ref="CI243:CJ243"/>
    <mergeCell ref="CK243:CL243"/>
    <mergeCell ref="CM243:CN243"/>
    <mergeCell ref="CE246:CF246"/>
    <mergeCell ref="CG246:CH246"/>
    <mergeCell ref="BQ246:BR246"/>
    <mergeCell ref="BS246:BT246"/>
    <mergeCell ref="BU246:BV246"/>
    <mergeCell ref="BW246:BX246"/>
    <mergeCell ref="BY246:BZ246"/>
    <mergeCell ref="CA246:CB246"/>
    <mergeCell ref="CC246:CD246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G248:AH248"/>
    <mergeCell ref="AI248:AJ248"/>
    <mergeCell ref="AK248:AL248"/>
    <mergeCell ref="AM248:AN248"/>
    <mergeCell ref="AO248:AP248"/>
    <mergeCell ref="AQ248:AR248"/>
    <mergeCell ref="AS248:AT248"/>
    <mergeCell ref="AU248:AV248"/>
    <mergeCell ref="AW248:AX248"/>
    <mergeCell ref="AY248:AZ248"/>
    <mergeCell ref="BA248:BB248"/>
    <mergeCell ref="BC248:BD248"/>
    <mergeCell ref="BE248:BF248"/>
    <mergeCell ref="BG248:BH248"/>
    <mergeCell ref="BI248:BJ248"/>
    <mergeCell ref="BK248:BL248"/>
    <mergeCell ref="BM248:BN248"/>
    <mergeCell ref="BO248:BP248"/>
    <mergeCell ref="BQ248:BR248"/>
    <mergeCell ref="BS248:BT248"/>
    <mergeCell ref="BU248:BV248"/>
    <mergeCell ref="BW248:BX248"/>
    <mergeCell ref="BY248:BZ248"/>
    <mergeCell ref="M246:N246"/>
    <mergeCell ref="O246:P246"/>
    <mergeCell ref="Q246:R246"/>
    <mergeCell ref="S246:T246"/>
    <mergeCell ref="U246:V246"/>
    <mergeCell ref="W246:X246"/>
    <mergeCell ref="Y246:Z246"/>
    <mergeCell ref="BG246:BH246"/>
    <mergeCell ref="BI246:BJ246"/>
    <mergeCell ref="BK246:BL246"/>
    <mergeCell ref="BM246:BN246"/>
    <mergeCell ref="BO246:BP246"/>
    <mergeCell ref="W247:X247"/>
    <mergeCell ref="Y247:Z247"/>
    <mergeCell ref="U247:V247"/>
    <mergeCell ref="CO248:CP248"/>
    <mergeCell ref="CQ248:CR248"/>
    <mergeCell ref="CS248:CT248"/>
    <mergeCell ref="CU248:CV248"/>
    <mergeCell ref="CW248:CX248"/>
    <mergeCell ref="CY248:CZ248"/>
    <mergeCell ref="CA248:CB248"/>
    <mergeCell ref="CC248:CD248"/>
    <mergeCell ref="CE248:CF248"/>
    <mergeCell ref="CG248:CH248"/>
    <mergeCell ref="CI248:CJ248"/>
    <mergeCell ref="CK248:CL248"/>
    <mergeCell ref="CM248:CN248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I249:AJ249"/>
    <mergeCell ref="AK249:AL249"/>
    <mergeCell ref="AM249:AN249"/>
    <mergeCell ref="AO249:AP249"/>
    <mergeCell ref="AQ249:AR249"/>
    <mergeCell ref="AS249:AT249"/>
    <mergeCell ref="AU249:AV249"/>
    <mergeCell ref="AW249:AX249"/>
    <mergeCell ref="AY249:AZ249"/>
    <mergeCell ref="BA249:BB249"/>
    <mergeCell ref="BC249:BD249"/>
    <mergeCell ref="BE249:BF249"/>
    <mergeCell ref="BG249:BH249"/>
    <mergeCell ref="BI249:BJ249"/>
    <mergeCell ref="BK249:BL249"/>
    <mergeCell ref="BM249:BN249"/>
    <mergeCell ref="BO249:BP249"/>
    <mergeCell ref="BQ249:BR249"/>
    <mergeCell ref="BS249:BT249"/>
    <mergeCell ref="BU249:BV249"/>
    <mergeCell ref="BW249:BX249"/>
    <mergeCell ref="BY249:BZ249"/>
    <mergeCell ref="CO249:CP249"/>
    <mergeCell ref="CQ249:CR249"/>
    <mergeCell ref="CS249:CT249"/>
    <mergeCell ref="CU249:CV249"/>
    <mergeCell ref="CW249:CX249"/>
    <mergeCell ref="CY249:CZ249"/>
    <mergeCell ref="CA249:CB249"/>
    <mergeCell ref="CC249:CD249"/>
    <mergeCell ref="CE249:CF249"/>
    <mergeCell ref="CG249:CH249"/>
    <mergeCell ref="CI249:CJ249"/>
    <mergeCell ref="CK249:CL249"/>
    <mergeCell ref="CM249:CN249"/>
    <mergeCell ref="CO250:CP250"/>
    <mergeCell ref="CQ250:CR250"/>
    <mergeCell ref="CS250:CT250"/>
    <mergeCell ref="CU250:CV250"/>
    <mergeCell ref="CW250:CX250"/>
    <mergeCell ref="CY250:CZ250"/>
    <mergeCell ref="CA250:CB250"/>
    <mergeCell ref="CC250:CD250"/>
    <mergeCell ref="CE250:CF250"/>
    <mergeCell ref="CG250:CH250"/>
    <mergeCell ref="CI250:CJ250"/>
    <mergeCell ref="CK250:CL250"/>
    <mergeCell ref="CM250:CN250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AC251:AD251"/>
    <mergeCell ref="AE251:AF251"/>
    <mergeCell ref="AG251:AH251"/>
    <mergeCell ref="AI251:AJ251"/>
    <mergeCell ref="AK251:AL251"/>
    <mergeCell ref="AM251:AN251"/>
    <mergeCell ref="AO251:AP251"/>
    <mergeCell ref="AQ251:AR251"/>
    <mergeCell ref="AS251:AT251"/>
    <mergeCell ref="AU251:AV251"/>
    <mergeCell ref="AW251:AX251"/>
    <mergeCell ref="AY251:AZ251"/>
    <mergeCell ref="BA251:BB251"/>
    <mergeCell ref="BC251:BD251"/>
    <mergeCell ref="BE251:BF251"/>
    <mergeCell ref="BG251:BH251"/>
    <mergeCell ref="BI251:BJ251"/>
    <mergeCell ref="BK251:BL251"/>
    <mergeCell ref="BM251:BN251"/>
    <mergeCell ref="BO251:BP251"/>
    <mergeCell ref="BQ251:BR251"/>
    <mergeCell ref="BS251:BT251"/>
    <mergeCell ref="BU251:BV251"/>
    <mergeCell ref="BW251:BX251"/>
    <mergeCell ref="BY251:BZ251"/>
    <mergeCell ref="CO251:CP251"/>
    <mergeCell ref="CQ251:CR251"/>
    <mergeCell ref="CS251:CT251"/>
    <mergeCell ref="CU251:CV251"/>
    <mergeCell ref="CW251:CX251"/>
    <mergeCell ref="CY251:CZ251"/>
    <mergeCell ref="CA251:CB251"/>
    <mergeCell ref="CC251:CD251"/>
    <mergeCell ref="CE251:CF251"/>
    <mergeCell ref="CG251:CH251"/>
    <mergeCell ref="CI251:CJ251"/>
    <mergeCell ref="CK251:CL251"/>
    <mergeCell ref="CM251:CN251"/>
    <mergeCell ref="I250:J250"/>
    <mergeCell ref="BS250:BT250"/>
    <mergeCell ref="CO244:CP244"/>
    <mergeCell ref="CQ244:CR244"/>
    <mergeCell ref="CS244:CT244"/>
    <mergeCell ref="CU244:CV244"/>
    <mergeCell ref="CW244:CX244"/>
    <mergeCell ref="CY244:CZ244"/>
    <mergeCell ref="CA244:CB244"/>
    <mergeCell ref="CC244:CD244"/>
    <mergeCell ref="CE244:CF244"/>
    <mergeCell ref="CG244:CH244"/>
    <mergeCell ref="CI244:CJ244"/>
    <mergeCell ref="CK244:CL244"/>
    <mergeCell ref="CM244:CN244"/>
    <mergeCell ref="B234:B244"/>
    <mergeCell ref="C234:C244"/>
    <mergeCell ref="D234:D244"/>
    <mergeCell ref="E234:E244"/>
    <mergeCell ref="F234:F244"/>
    <mergeCell ref="I239:J239"/>
    <mergeCell ref="K239:L239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Z244"/>
    <mergeCell ref="AA244:AB244"/>
    <mergeCell ref="AC244:AD244"/>
    <mergeCell ref="AE244:AF244"/>
    <mergeCell ref="AG244:AH244"/>
    <mergeCell ref="AI244:AJ244"/>
    <mergeCell ref="AK244:AL244"/>
    <mergeCell ref="AM244:AN244"/>
    <mergeCell ref="AO244:AP244"/>
    <mergeCell ref="AQ244:AR244"/>
    <mergeCell ref="AS244:AT244"/>
    <mergeCell ref="AU244:AV244"/>
    <mergeCell ref="AW244:AX244"/>
    <mergeCell ref="AY244:AZ244"/>
    <mergeCell ref="BA244:BB244"/>
    <mergeCell ref="BC244:BD244"/>
    <mergeCell ref="BE244:BF244"/>
    <mergeCell ref="BG244:BH244"/>
    <mergeCell ref="BI244:BJ244"/>
    <mergeCell ref="BK244:BL244"/>
    <mergeCell ref="BM244:BN244"/>
    <mergeCell ref="BO244:BP244"/>
    <mergeCell ref="BQ244:BR244"/>
    <mergeCell ref="BS244:BT244"/>
    <mergeCell ref="BU244:BV244"/>
    <mergeCell ref="BW244:BX244"/>
    <mergeCell ref="BY244:BZ244"/>
    <mergeCell ref="I236:J236"/>
    <mergeCell ref="K236:L236"/>
    <mergeCell ref="M236:N236"/>
    <mergeCell ref="O236:P236"/>
    <mergeCell ref="Q236:R236"/>
    <mergeCell ref="S236:T236"/>
    <mergeCell ref="U236:V236"/>
    <mergeCell ref="I238:J238"/>
    <mergeCell ref="K238:L238"/>
    <mergeCell ref="CW246:CX246"/>
    <mergeCell ref="CY246:CZ246"/>
    <mergeCell ref="CI246:CJ246"/>
    <mergeCell ref="CK246:CL246"/>
    <mergeCell ref="CM246:CN246"/>
    <mergeCell ref="CO246:CP246"/>
    <mergeCell ref="CQ246:CR246"/>
    <mergeCell ref="CS246:CT246"/>
    <mergeCell ref="CU246:CV246"/>
    <mergeCell ref="AO247:AP247"/>
    <mergeCell ref="AQ247:AR247"/>
    <mergeCell ref="AA247:AB247"/>
    <mergeCell ref="AC247:AD247"/>
    <mergeCell ref="AE247:AF247"/>
    <mergeCell ref="AG247:AH247"/>
    <mergeCell ref="AI247:AJ247"/>
    <mergeCell ref="AK247:AL247"/>
    <mergeCell ref="AM247:AN247"/>
    <mergeCell ref="AS247:AT247"/>
    <mergeCell ref="AU247:AV247"/>
    <mergeCell ref="AW247:AX247"/>
    <mergeCell ref="AY247:AZ247"/>
    <mergeCell ref="BA247:BB247"/>
    <mergeCell ref="BC247:BD247"/>
    <mergeCell ref="BE247:BF247"/>
    <mergeCell ref="BG247:BH247"/>
    <mergeCell ref="BI247:BJ247"/>
    <mergeCell ref="BQ247:BR247"/>
    <mergeCell ref="BS247:BT247"/>
    <mergeCell ref="BU247:BV247"/>
    <mergeCell ref="BW247:BX247"/>
    <mergeCell ref="BY247:BZ247"/>
    <mergeCell ref="CO247:CP247"/>
    <mergeCell ref="CQ247:CR247"/>
    <mergeCell ref="CS247:CT247"/>
    <mergeCell ref="CU247:CV247"/>
    <mergeCell ref="CW247:CX247"/>
    <mergeCell ref="CY247:CZ247"/>
    <mergeCell ref="CA247:CB247"/>
    <mergeCell ref="CC247:CD247"/>
    <mergeCell ref="CE247:CF247"/>
    <mergeCell ref="CG247:CH247"/>
    <mergeCell ref="CI247:CJ247"/>
    <mergeCell ref="CK247:CL247"/>
    <mergeCell ref="CM247:CN247"/>
    <mergeCell ref="AA246:AB246"/>
    <mergeCell ref="AC246:AD246"/>
    <mergeCell ref="AE246:AF246"/>
    <mergeCell ref="AG246:AH246"/>
    <mergeCell ref="AI246:AJ246"/>
    <mergeCell ref="AK246:AL246"/>
    <mergeCell ref="AM246:AN246"/>
    <mergeCell ref="AO246:AP246"/>
    <mergeCell ref="AQ246:AR246"/>
    <mergeCell ref="AS246:AT246"/>
    <mergeCell ref="AU246:AV246"/>
    <mergeCell ref="AW246:AX246"/>
    <mergeCell ref="AY246:AZ246"/>
    <mergeCell ref="BA246:BB246"/>
    <mergeCell ref="BK247:BL247"/>
    <mergeCell ref="BM247:BN247"/>
    <mergeCell ref="BO247:BP247"/>
    <mergeCell ref="BC246:BD246"/>
    <mergeCell ref="BE246:BF246"/>
    <mergeCell ref="B246:B252"/>
    <mergeCell ref="C246:C252"/>
    <mergeCell ref="D246:D252"/>
    <mergeCell ref="E246:E252"/>
    <mergeCell ref="F246:F252"/>
    <mergeCell ref="I246:J246"/>
    <mergeCell ref="K246:L246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Z252"/>
    <mergeCell ref="AA252:AB252"/>
    <mergeCell ref="AC252:AD252"/>
    <mergeCell ref="AE252:AF252"/>
    <mergeCell ref="AG252:AH252"/>
    <mergeCell ref="AI252:AJ252"/>
    <mergeCell ref="AK252:AL252"/>
    <mergeCell ref="AM252:AN252"/>
    <mergeCell ref="AO252:AP252"/>
    <mergeCell ref="AQ252:AR252"/>
    <mergeCell ref="AS252:AT252"/>
    <mergeCell ref="AU252:AV252"/>
    <mergeCell ref="AW252:AX252"/>
    <mergeCell ref="AY252:AZ252"/>
    <mergeCell ref="BA252:BB252"/>
    <mergeCell ref="BC252:BD252"/>
    <mergeCell ref="BE252:BF252"/>
    <mergeCell ref="BG252:BH252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I250:AJ250"/>
    <mergeCell ref="AK250:AL250"/>
    <mergeCell ref="AM250:AN250"/>
    <mergeCell ref="AO250:AP250"/>
    <mergeCell ref="AQ250:AR250"/>
    <mergeCell ref="AS250:AT250"/>
    <mergeCell ref="AU250:AV250"/>
    <mergeCell ref="AW250:AX250"/>
    <mergeCell ref="AY250:AZ250"/>
    <mergeCell ref="BA250:BB250"/>
    <mergeCell ref="BC250:BD250"/>
    <mergeCell ref="BE250:BF250"/>
    <mergeCell ref="BG250:BH250"/>
    <mergeCell ref="I247:J247"/>
    <mergeCell ref="K247:L247"/>
    <mergeCell ref="M247:N247"/>
    <mergeCell ref="O247:P247"/>
    <mergeCell ref="Q247:R247"/>
    <mergeCell ref="S247:T247"/>
    <mergeCell ref="CO252:CP252"/>
    <mergeCell ref="CQ252:CR252"/>
    <mergeCell ref="CS252:CT252"/>
    <mergeCell ref="CU252:CV252"/>
    <mergeCell ref="CW252:CX252"/>
    <mergeCell ref="CY252:CZ252"/>
    <mergeCell ref="CA252:CB252"/>
    <mergeCell ref="CC252:CD252"/>
    <mergeCell ref="CE252:CF252"/>
    <mergeCell ref="CG252:CH252"/>
    <mergeCell ref="CI252:CJ252"/>
    <mergeCell ref="CK252:CL252"/>
    <mergeCell ref="CM252:CN252"/>
    <mergeCell ref="AS255:AT255"/>
    <mergeCell ref="AU255:AV255"/>
    <mergeCell ref="AW255:AX255"/>
    <mergeCell ref="AY255:AZ255"/>
    <mergeCell ref="BA255:BB255"/>
    <mergeCell ref="BC255:BD255"/>
    <mergeCell ref="BE255:BF255"/>
    <mergeCell ref="BG255:BH255"/>
    <mergeCell ref="BI255:BJ255"/>
    <mergeCell ref="BQ255:BR255"/>
    <mergeCell ref="BS255:BT255"/>
    <mergeCell ref="BU255:BV255"/>
    <mergeCell ref="BW255:BX255"/>
    <mergeCell ref="BY255:BZ255"/>
    <mergeCell ref="CO255:CP255"/>
    <mergeCell ref="CQ255:CR255"/>
    <mergeCell ref="CS255:CT255"/>
    <mergeCell ref="CU255:CV255"/>
    <mergeCell ref="CW255:CX255"/>
    <mergeCell ref="CY255:CZ255"/>
    <mergeCell ref="CA255:CB255"/>
    <mergeCell ref="CC255:CD255"/>
    <mergeCell ref="CE255:CF255"/>
    <mergeCell ref="CG255:CH255"/>
    <mergeCell ref="CI255:CJ255"/>
    <mergeCell ref="CK255:CL255"/>
    <mergeCell ref="CM255:CN255"/>
    <mergeCell ref="BQ254:BR254"/>
    <mergeCell ref="BS254:BT254"/>
    <mergeCell ref="BU254:BV254"/>
    <mergeCell ref="BW254:BX254"/>
    <mergeCell ref="BY254:BZ254"/>
    <mergeCell ref="CA254:CB254"/>
    <mergeCell ref="CC254:CD254"/>
    <mergeCell ref="CS254:CT254"/>
    <mergeCell ref="CU254:CV254"/>
    <mergeCell ref="CW254:CX254"/>
    <mergeCell ref="CY254:CZ254"/>
    <mergeCell ref="CE254:CF254"/>
    <mergeCell ref="CG254:CH254"/>
    <mergeCell ref="CI254:CJ254"/>
    <mergeCell ref="CK254:CL254"/>
    <mergeCell ref="CM254:CN254"/>
    <mergeCell ref="CO254:CP254"/>
    <mergeCell ref="CQ254:CR254"/>
    <mergeCell ref="BI252:BJ252"/>
    <mergeCell ref="AK254:AL254"/>
    <mergeCell ref="AM254:AN254"/>
    <mergeCell ref="AO254:AP254"/>
    <mergeCell ref="AQ254:AR254"/>
    <mergeCell ref="AS254:AT254"/>
    <mergeCell ref="AU254:AV254"/>
    <mergeCell ref="AW254:AX254"/>
    <mergeCell ref="AY254:AZ254"/>
    <mergeCell ref="BA254:BB254"/>
    <mergeCell ref="BK255:BL255"/>
    <mergeCell ref="BM255:BN255"/>
    <mergeCell ref="BO255:BP255"/>
    <mergeCell ref="BC254:BD254"/>
    <mergeCell ref="BE254:BF254"/>
    <mergeCell ref="BG254:BH254"/>
    <mergeCell ref="BI254:BJ254"/>
    <mergeCell ref="BK254:BL254"/>
    <mergeCell ref="BM254:BN254"/>
    <mergeCell ref="BO254:BP254"/>
    <mergeCell ref="W255:X255"/>
    <mergeCell ref="Y255:Z255"/>
    <mergeCell ref="I255:J255"/>
    <mergeCell ref="K255:L255"/>
    <mergeCell ref="M255:N255"/>
    <mergeCell ref="O255:P255"/>
    <mergeCell ref="Q255:R255"/>
    <mergeCell ref="S255:T255"/>
    <mergeCell ref="U255:V255"/>
    <mergeCell ref="BK252:BL252"/>
    <mergeCell ref="BM252:BN252"/>
    <mergeCell ref="BO252:BP252"/>
    <mergeCell ref="BI250:BJ250"/>
    <mergeCell ref="BK250:BL250"/>
    <mergeCell ref="BM250:BN250"/>
    <mergeCell ref="BO250:BP250"/>
    <mergeCell ref="AO255:AP255"/>
    <mergeCell ref="AQ255:AR255"/>
    <mergeCell ref="AA255:AB255"/>
    <mergeCell ref="AC255:AD255"/>
    <mergeCell ref="AE255:AF255"/>
    <mergeCell ref="AG255:AH255"/>
    <mergeCell ref="AI255:AJ255"/>
    <mergeCell ref="AK255:AL255"/>
    <mergeCell ref="AM255:AN255"/>
    <mergeCell ref="CO256:CP256"/>
    <mergeCell ref="CQ256:CR256"/>
    <mergeCell ref="CS256:CT256"/>
    <mergeCell ref="CU256:CV256"/>
    <mergeCell ref="CW256:CX256"/>
    <mergeCell ref="CY256:CZ256"/>
    <mergeCell ref="CA256:CB256"/>
    <mergeCell ref="CC256:CD256"/>
    <mergeCell ref="B254:B257"/>
    <mergeCell ref="C254:C257"/>
    <mergeCell ref="D254:D257"/>
    <mergeCell ref="E254:E257"/>
    <mergeCell ref="F254:F257"/>
    <mergeCell ref="I254:J254"/>
    <mergeCell ref="K254:L254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Z257"/>
    <mergeCell ref="AA257:AB257"/>
    <mergeCell ref="AC257:AD257"/>
    <mergeCell ref="AE257:AF257"/>
    <mergeCell ref="AG257:AH257"/>
    <mergeCell ref="AI257:AJ257"/>
    <mergeCell ref="AK257:AL257"/>
    <mergeCell ref="AM257:AN257"/>
    <mergeCell ref="AO257:AP257"/>
    <mergeCell ref="AQ257:AR257"/>
    <mergeCell ref="AS257:AT257"/>
    <mergeCell ref="AU257:AV257"/>
    <mergeCell ref="AW257:AX257"/>
    <mergeCell ref="AY257:AZ257"/>
    <mergeCell ref="BA257:BB257"/>
    <mergeCell ref="BC257:BD257"/>
    <mergeCell ref="BE257:BF257"/>
    <mergeCell ref="BG257:BH257"/>
    <mergeCell ref="CA257:CB257"/>
    <mergeCell ref="CC257:CD257"/>
    <mergeCell ref="CE257:CF257"/>
    <mergeCell ref="CG257:CH257"/>
    <mergeCell ref="CI257:CJ257"/>
    <mergeCell ref="CK257:CL257"/>
    <mergeCell ref="CM257:CN257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I256:AJ256"/>
    <mergeCell ref="AK256:AL256"/>
    <mergeCell ref="AM256:AN256"/>
    <mergeCell ref="AO256:AP256"/>
    <mergeCell ref="AQ256:AR256"/>
    <mergeCell ref="AS256:AT256"/>
    <mergeCell ref="AU256:AV256"/>
    <mergeCell ref="AW256:AX256"/>
    <mergeCell ref="AY256:AZ256"/>
    <mergeCell ref="BA256:BB256"/>
    <mergeCell ref="BC256:BD256"/>
    <mergeCell ref="BE256:BF256"/>
    <mergeCell ref="BG256:BH256"/>
    <mergeCell ref="BI256:BJ256"/>
    <mergeCell ref="BK256:BL256"/>
    <mergeCell ref="BM256:BN256"/>
    <mergeCell ref="BO256:BP256"/>
    <mergeCell ref="BQ256:BR256"/>
    <mergeCell ref="BS256:BT256"/>
    <mergeCell ref="BU256:BV256"/>
    <mergeCell ref="BW256:BX256"/>
    <mergeCell ref="BY256:BZ256"/>
    <mergeCell ref="CE256:CF256"/>
    <mergeCell ref="CG256:CH256"/>
    <mergeCell ref="CI256:CJ256"/>
    <mergeCell ref="CK256:CL256"/>
    <mergeCell ref="CM256:CN256"/>
    <mergeCell ref="BK257:BL257"/>
    <mergeCell ref="BM257:BN257"/>
    <mergeCell ref="BO257:BP257"/>
    <mergeCell ref="BQ257:BR257"/>
    <mergeCell ref="BS257:BT257"/>
    <mergeCell ref="BU257:BV257"/>
    <mergeCell ref="BW257:BX257"/>
    <mergeCell ref="BY257:BZ257"/>
    <mergeCell ref="BI257:BJ257"/>
    <mergeCell ref="CA259:CB259"/>
    <mergeCell ref="CC259:CD259"/>
    <mergeCell ref="CS259:CT259"/>
    <mergeCell ref="CU259:CV259"/>
    <mergeCell ref="CW259:CX259"/>
    <mergeCell ref="CY259:CZ259"/>
    <mergeCell ref="CE259:CF259"/>
    <mergeCell ref="CG259:CH259"/>
    <mergeCell ref="CI259:CJ259"/>
    <mergeCell ref="CK259:CL259"/>
    <mergeCell ref="CM259:CN259"/>
    <mergeCell ref="CO259:CP259"/>
    <mergeCell ref="CQ259:CR259"/>
    <mergeCell ref="AA261:AB261"/>
    <mergeCell ref="AC261:AD261"/>
    <mergeCell ref="AE261:AF261"/>
    <mergeCell ref="AG261:AH261"/>
    <mergeCell ref="AI261:AJ261"/>
    <mergeCell ref="AK261:AL261"/>
    <mergeCell ref="AM261:AN261"/>
    <mergeCell ref="AO261:AP261"/>
    <mergeCell ref="AQ261:AR261"/>
    <mergeCell ref="BQ261:BR261"/>
    <mergeCell ref="BS261:BT261"/>
    <mergeCell ref="BU261:BV261"/>
    <mergeCell ref="BW261:BX261"/>
    <mergeCell ref="BY261:BZ261"/>
    <mergeCell ref="CO261:CP261"/>
    <mergeCell ref="CQ261:CR261"/>
    <mergeCell ref="CS261:CT261"/>
    <mergeCell ref="CU261:CV261"/>
    <mergeCell ref="CW261:CX261"/>
    <mergeCell ref="CY261:CZ261"/>
    <mergeCell ref="CA261:CB261"/>
    <mergeCell ref="CC261:CD261"/>
    <mergeCell ref="CE261:CF261"/>
    <mergeCell ref="CG261:CH261"/>
    <mergeCell ref="CI261:CJ261"/>
    <mergeCell ref="CK261:CL261"/>
    <mergeCell ref="CM261:CN261"/>
    <mergeCell ref="BK261:BL261"/>
    <mergeCell ref="BM261:BN261"/>
    <mergeCell ref="BO261:BP261"/>
    <mergeCell ref="BC259:BD259"/>
    <mergeCell ref="BE259:BF259"/>
    <mergeCell ref="BG259:BH259"/>
    <mergeCell ref="BI259:BJ259"/>
    <mergeCell ref="BK259:BL259"/>
    <mergeCell ref="BM259:BN259"/>
    <mergeCell ref="BO259:BP259"/>
    <mergeCell ref="BI261:BJ261"/>
    <mergeCell ref="AC259:AD259"/>
    <mergeCell ref="AE259:AF259"/>
    <mergeCell ref="AG259:AH259"/>
    <mergeCell ref="AI259:AJ259"/>
    <mergeCell ref="AK259:AL259"/>
    <mergeCell ref="AM259:AN259"/>
    <mergeCell ref="AO259:AP259"/>
    <mergeCell ref="AQ259:AR259"/>
    <mergeCell ref="AS259:AT259"/>
    <mergeCell ref="AU259:AV259"/>
    <mergeCell ref="AW259:AX259"/>
    <mergeCell ref="AY259:AZ259"/>
    <mergeCell ref="BA259:BB259"/>
    <mergeCell ref="CO257:CP257"/>
    <mergeCell ref="CQ257:CR257"/>
    <mergeCell ref="CS257:CT257"/>
    <mergeCell ref="CU257:CV257"/>
    <mergeCell ref="CW257:CX257"/>
    <mergeCell ref="CY257:CZ257"/>
    <mergeCell ref="CE324:CF324"/>
    <mergeCell ref="CG324:CH324"/>
    <mergeCell ref="CI324:CJ324"/>
    <mergeCell ref="CK324:CL324"/>
    <mergeCell ref="CM324:CN324"/>
    <mergeCell ref="CO324:CP324"/>
    <mergeCell ref="CQ324:CR324"/>
    <mergeCell ref="BQ324:BR324"/>
    <mergeCell ref="BS324:BT324"/>
    <mergeCell ref="BU324:BV324"/>
    <mergeCell ref="BW324:BX324"/>
    <mergeCell ref="BY324:BZ324"/>
    <mergeCell ref="CA324:CB324"/>
    <mergeCell ref="CC324:CD324"/>
    <mergeCell ref="CE323:CF323"/>
    <mergeCell ref="CG323:CH323"/>
    <mergeCell ref="CI323:CJ323"/>
    <mergeCell ref="CK323:CL323"/>
    <mergeCell ref="CM323:CN323"/>
    <mergeCell ref="CO323:CP323"/>
    <mergeCell ref="CQ323:CR323"/>
    <mergeCell ref="DX323:DX327"/>
    <mergeCell ref="DY323:DY327"/>
    <mergeCell ref="DZ323:DZ327"/>
    <mergeCell ref="EA323:EA327"/>
    <mergeCell ref="EB323:EB327"/>
    <mergeCell ref="EC323:EC327"/>
    <mergeCell ref="CO314:CP314"/>
    <mergeCell ref="CQ314:CR314"/>
    <mergeCell ref="CS314:CT314"/>
    <mergeCell ref="CU314:CV314"/>
    <mergeCell ref="CW314:CX314"/>
    <mergeCell ref="CY314:CZ314"/>
    <mergeCell ref="CA314:CB314"/>
    <mergeCell ref="CC314:CD314"/>
    <mergeCell ref="CE314:CF314"/>
    <mergeCell ref="CG314:CH314"/>
    <mergeCell ref="CI314:CJ314"/>
    <mergeCell ref="CK314:CL314"/>
    <mergeCell ref="CM314:CN314"/>
    <mergeCell ref="CO315:CP315"/>
    <mergeCell ref="CQ315:CR315"/>
    <mergeCell ref="CS315:CT315"/>
    <mergeCell ref="CU315:CV315"/>
    <mergeCell ref="CW315:CX315"/>
    <mergeCell ref="CY315:CZ315"/>
    <mergeCell ref="CA315:CB315"/>
    <mergeCell ref="CC315:CD315"/>
    <mergeCell ref="CE315:CF315"/>
    <mergeCell ref="CG315:CH315"/>
    <mergeCell ref="CI315:CJ315"/>
    <mergeCell ref="CK315:CL315"/>
    <mergeCell ref="CM315:CN315"/>
    <mergeCell ref="BQ259:BR259"/>
    <mergeCell ref="BS259:BT259"/>
    <mergeCell ref="BU259:BV259"/>
    <mergeCell ref="BW259:BX259"/>
    <mergeCell ref="BY259:BZ259"/>
    <mergeCell ref="ED323:ED327"/>
    <mergeCell ref="EE323:EE327"/>
    <mergeCell ref="BQ323:BR323"/>
    <mergeCell ref="BS323:BT323"/>
    <mergeCell ref="BU323:BV323"/>
    <mergeCell ref="BW323:BX323"/>
    <mergeCell ref="BY323:BZ323"/>
    <mergeCell ref="CA323:CB323"/>
    <mergeCell ref="CC323:CD323"/>
    <mergeCell ref="CS324:CT324"/>
    <mergeCell ref="CU324:CV324"/>
    <mergeCell ref="CW324:CX324"/>
    <mergeCell ref="CY324:CZ324"/>
    <mergeCell ref="CS323:CT323"/>
    <mergeCell ref="CU323:CV323"/>
    <mergeCell ref="CW323:CX323"/>
    <mergeCell ref="CY323:CZ323"/>
    <mergeCell ref="DU323:DU327"/>
    <mergeCell ref="DV323:DV327"/>
    <mergeCell ref="DW323:DW327"/>
    <mergeCell ref="BQ325:BR325"/>
    <mergeCell ref="BS325:BT325"/>
    <mergeCell ref="CQ326:CR326"/>
    <mergeCell ref="CS326:CT326"/>
    <mergeCell ref="CU326:CV326"/>
    <mergeCell ref="CW326:CX326"/>
    <mergeCell ref="CY326:CZ326"/>
    <mergeCell ref="CA326:CB326"/>
    <mergeCell ref="CC326:CD326"/>
    <mergeCell ref="CE326:CF326"/>
    <mergeCell ref="CG326:CH326"/>
    <mergeCell ref="CI326:CJ326"/>
    <mergeCell ref="CK326:CL326"/>
    <mergeCell ref="CM326:CN326"/>
    <mergeCell ref="DA325:DB325"/>
    <mergeCell ref="DA326:DB326"/>
    <mergeCell ref="DA327:DB327"/>
    <mergeCell ref="DE325:DF325"/>
    <mergeCell ref="DE326:DF326"/>
    <mergeCell ref="DE327:DF327"/>
    <mergeCell ref="DC325:DD325"/>
    <mergeCell ref="DC326:DD326"/>
    <mergeCell ref="DC327:DD327"/>
    <mergeCell ref="DG325:DH325"/>
    <mergeCell ref="DG326:DH326"/>
    <mergeCell ref="DG327:DH327"/>
    <mergeCell ref="DI325:DJ325"/>
    <mergeCell ref="DI326:DJ326"/>
    <mergeCell ref="DI327:DJ327"/>
    <mergeCell ref="DK325:DL325"/>
    <mergeCell ref="DK326:DL326"/>
    <mergeCell ref="DK327:DL327"/>
    <mergeCell ref="DM325:DN325"/>
    <mergeCell ref="DM326:DN326"/>
    <mergeCell ref="DM327:DN327"/>
    <mergeCell ref="DO325:DP325"/>
    <mergeCell ref="DO326:DP326"/>
    <mergeCell ref="DO327:DP327"/>
    <mergeCell ref="DQ325:DR325"/>
    <mergeCell ref="DQ326:DR326"/>
    <mergeCell ref="DQ327:DR327"/>
    <mergeCell ref="B291:B295"/>
    <mergeCell ref="B296:B299"/>
    <mergeCell ref="M295:N295"/>
    <mergeCell ref="O295:P295"/>
    <mergeCell ref="S295:T295"/>
    <mergeCell ref="U295:V295"/>
    <mergeCell ref="W295:X295"/>
    <mergeCell ref="Y295:Z295"/>
    <mergeCell ref="AA295:AB295"/>
    <mergeCell ref="AC295:AD295"/>
    <mergeCell ref="AE295:AF295"/>
    <mergeCell ref="AG295:AH295"/>
    <mergeCell ref="AI295:AJ295"/>
    <mergeCell ref="AK295:AL295"/>
    <mergeCell ref="AM295:AN295"/>
    <mergeCell ref="AO295:AP295"/>
    <mergeCell ref="I295:J295"/>
    <mergeCell ref="K295:L295"/>
    <mergeCell ref="S298:T298"/>
    <mergeCell ref="U298:V298"/>
    <mergeCell ref="W298:X298"/>
    <mergeCell ref="Y298:Z298"/>
    <mergeCell ref="AA298:AB298"/>
    <mergeCell ref="AK299:AL299"/>
    <mergeCell ref="AM299:AN299"/>
    <mergeCell ref="AO299:AP299"/>
    <mergeCell ref="AK296:AL296"/>
    <mergeCell ref="AM296:AN296"/>
    <mergeCell ref="AO296:AP296"/>
    <mergeCell ref="AE297:AF297"/>
    <mergeCell ref="AG297:AH297"/>
    <mergeCell ref="AI297:AJ297"/>
    <mergeCell ref="AK297:AL297"/>
    <mergeCell ref="Q295:R295"/>
    <mergeCell ref="I296:J296"/>
    <mergeCell ref="K296:L296"/>
    <mergeCell ref="M296:N296"/>
    <mergeCell ref="O296:P296"/>
    <mergeCell ref="Q296:R296"/>
    <mergeCell ref="I297:J297"/>
    <mergeCell ref="K297:L297"/>
    <mergeCell ref="M297:N297"/>
    <mergeCell ref="O297:P297"/>
    <mergeCell ref="Q297:R297"/>
    <mergeCell ref="I298:J298"/>
    <mergeCell ref="K298:L298"/>
    <mergeCell ref="M298:N298"/>
    <mergeCell ref="O298:P298"/>
    <mergeCell ref="Q298:R298"/>
    <mergeCell ref="M299:N299"/>
    <mergeCell ref="O299:P299"/>
    <mergeCell ref="C291:C299"/>
    <mergeCell ref="D291:D299"/>
    <mergeCell ref="E291:E294"/>
    <mergeCell ref="F291:F299"/>
    <mergeCell ref="E296:E299"/>
    <mergeCell ref="Q299:R299"/>
    <mergeCell ref="S299:T299"/>
    <mergeCell ref="U299:V299"/>
    <mergeCell ref="W299:X299"/>
    <mergeCell ref="Y299:Z299"/>
    <mergeCell ref="AA299:AB299"/>
    <mergeCell ref="AC299:AD299"/>
    <mergeCell ref="AE299:AF299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Z304"/>
    <mergeCell ref="AA304:AB304"/>
    <mergeCell ref="AC304:AD304"/>
    <mergeCell ref="AE304:AF304"/>
    <mergeCell ref="AG304:AH304"/>
    <mergeCell ref="AI304:AJ304"/>
    <mergeCell ref="AK304:AL304"/>
    <mergeCell ref="AM304:AN304"/>
    <mergeCell ref="AO304:AP304"/>
    <mergeCell ref="AQ304:AR304"/>
    <mergeCell ref="AS304:AT304"/>
    <mergeCell ref="AU304:AV304"/>
    <mergeCell ref="AW304:AX304"/>
    <mergeCell ref="AY304:AZ304"/>
    <mergeCell ref="BA304:BB304"/>
    <mergeCell ref="BC304:BD304"/>
    <mergeCell ref="BE304:BF304"/>
    <mergeCell ref="BG304:BH304"/>
    <mergeCell ref="BI304:BJ304"/>
    <mergeCell ref="BK304:BL304"/>
    <mergeCell ref="BM304:BN304"/>
    <mergeCell ref="BO304:BP304"/>
    <mergeCell ref="BQ304:BR304"/>
    <mergeCell ref="BS304:BT304"/>
    <mergeCell ref="BU304:BV304"/>
    <mergeCell ref="BY315:BZ315"/>
    <mergeCell ref="BI314:BJ314"/>
    <mergeCell ref="BK314:BL314"/>
    <mergeCell ref="BW304:BX304"/>
    <mergeCell ref="BY304:BZ304"/>
    <mergeCell ref="CO304:CP304"/>
    <mergeCell ref="CQ304:CR304"/>
    <mergeCell ref="CS304:CT304"/>
    <mergeCell ref="CU304:CV304"/>
    <mergeCell ref="CW304:CX304"/>
    <mergeCell ref="CY304:CZ304"/>
    <mergeCell ref="CA304:CB304"/>
    <mergeCell ref="CC304:CD304"/>
    <mergeCell ref="CE304:CF304"/>
    <mergeCell ref="CG304:CH304"/>
    <mergeCell ref="CI304:CJ304"/>
    <mergeCell ref="CK304:CL304"/>
    <mergeCell ref="CM304:CN304"/>
    <mergeCell ref="AA313:AB313"/>
    <mergeCell ref="AC313:AD313"/>
    <mergeCell ref="AE313:AF313"/>
    <mergeCell ref="AG313:AH313"/>
    <mergeCell ref="AI313:AJ313"/>
    <mergeCell ref="AK313:AL313"/>
    <mergeCell ref="AM313:AN313"/>
    <mergeCell ref="AO313:AP313"/>
    <mergeCell ref="AQ313:AR313"/>
    <mergeCell ref="AS313:AT313"/>
    <mergeCell ref="AU313:AV313"/>
    <mergeCell ref="AW313:AX313"/>
    <mergeCell ref="AY313:AZ313"/>
    <mergeCell ref="BA313:BB313"/>
    <mergeCell ref="BC313:BD313"/>
    <mergeCell ref="BE313:BF313"/>
    <mergeCell ref="BG313:BH313"/>
    <mergeCell ref="BI313:BJ313"/>
    <mergeCell ref="BK313:BL313"/>
    <mergeCell ref="BM313:BN313"/>
    <mergeCell ref="BO313:BP313"/>
    <mergeCell ref="BQ313:BR313"/>
    <mergeCell ref="BS313:BT313"/>
    <mergeCell ref="BU313:BV313"/>
    <mergeCell ref="BW313:BX313"/>
    <mergeCell ref="BY313:BZ313"/>
    <mergeCell ref="CA313:CB313"/>
    <mergeCell ref="CC313:CD313"/>
    <mergeCell ref="CS313:CT313"/>
    <mergeCell ref="CU313:CV313"/>
    <mergeCell ref="CW313:CX313"/>
    <mergeCell ref="CY313:CZ313"/>
    <mergeCell ref="CE313:CF313"/>
    <mergeCell ref="CG313:CH313"/>
    <mergeCell ref="CI313:CJ313"/>
    <mergeCell ref="CK313:CL313"/>
    <mergeCell ref="CM313:CN313"/>
    <mergeCell ref="CO313:CP313"/>
    <mergeCell ref="CQ313:CR313"/>
    <mergeCell ref="BM306:BN306"/>
    <mergeCell ref="BO306:BP306"/>
    <mergeCell ref="BQ306:BR306"/>
    <mergeCell ref="BS306:BT306"/>
    <mergeCell ref="BU306:BV306"/>
    <mergeCell ref="BW306:BX306"/>
    <mergeCell ref="BY306:BZ306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Z325"/>
    <mergeCell ref="AA325:AB325"/>
    <mergeCell ref="AC325:AD325"/>
    <mergeCell ref="AE325:AF325"/>
    <mergeCell ref="AG325:AH325"/>
    <mergeCell ref="AI325:AJ325"/>
    <mergeCell ref="AK325:AL325"/>
    <mergeCell ref="AM325:AN325"/>
    <mergeCell ref="AO325:AP325"/>
    <mergeCell ref="AQ325:AR325"/>
    <mergeCell ref="AO324:AP324"/>
    <mergeCell ref="AQ324:AR324"/>
    <mergeCell ref="AA324:AB324"/>
    <mergeCell ref="AC324:AD324"/>
    <mergeCell ref="AE324:AF324"/>
    <mergeCell ref="AG324:AH324"/>
    <mergeCell ref="AI324:AJ324"/>
    <mergeCell ref="AK324:AL324"/>
    <mergeCell ref="AM324:AN324"/>
    <mergeCell ref="I324:J324"/>
    <mergeCell ref="K324:L324"/>
    <mergeCell ref="M313:N313"/>
    <mergeCell ref="O313:P313"/>
    <mergeCell ref="Q313:R313"/>
    <mergeCell ref="S313:T313"/>
    <mergeCell ref="U313:V313"/>
    <mergeCell ref="W313:X313"/>
    <mergeCell ref="Y313:Z313"/>
    <mergeCell ref="W315:X315"/>
    <mergeCell ref="Y315:Z315"/>
    <mergeCell ref="AS325:AT325"/>
    <mergeCell ref="AU325:AV325"/>
    <mergeCell ref="AW325:AX325"/>
    <mergeCell ref="AY325:AZ325"/>
    <mergeCell ref="BA325:BB325"/>
    <mergeCell ref="BC325:BD325"/>
    <mergeCell ref="BE325:BF325"/>
    <mergeCell ref="BG325:BH325"/>
    <mergeCell ref="BI325:BJ325"/>
    <mergeCell ref="BK325:BL325"/>
    <mergeCell ref="BM325:BN325"/>
    <mergeCell ref="BO325:BP325"/>
    <mergeCell ref="BU325:BV325"/>
    <mergeCell ref="BW325:BX325"/>
    <mergeCell ref="BY325:BZ325"/>
    <mergeCell ref="CA325:CB325"/>
    <mergeCell ref="CC325:CD325"/>
    <mergeCell ref="CS325:CT325"/>
    <mergeCell ref="CU325:CV325"/>
    <mergeCell ref="CW325:CX325"/>
    <mergeCell ref="CY325:CZ325"/>
    <mergeCell ref="CE325:CF325"/>
    <mergeCell ref="CG325:CH325"/>
    <mergeCell ref="CI325:CJ325"/>
    <mergeCell ref="CK325:CL325"/>
    <mergeCell ref="CM325:CN325"/>
    <mergeCell ref="CO325:CP325"/>
    <mergeCell ref="CQ325:CR325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Z326"/>
    <mergeCell ref="AA326:AB326"/>
    <mergeCell ref="AC326:AD326"/>
    <mergeCell ref="AE326:AF326"/>
    <mergeCell ref="AG326:AH326"/>
    <mergeCell ref="AI326:AJ326"/>
    <mergeCell ref="AK326:AL326"/>
    <mergeCell ref="AM326:AN326"/>
    <mergeCell ref="AO326:AP326"/>
    <mergeCell ref="AQ326:AR326"/>
    <mergeCell ref="AS326:AT326"/>
    <mergeCell ref="AU326:AV326"/>
    <mergeCell ref="AW326:AX326"/>
    <mergeCell ref="AY326:AZ326"/>
    <mergeCell ref="BA326:BB326"/>
    <mergeCell ref="BC326:BD326"/>
    <mergeCell ref="BE326:BF326"/>
    <mergeCell ref="BG326:BH326"/>
    <mergeCell ref="BI326:BJ326"/>
    <mergeCell ref="BK326:BL326"/>
    <mergeCell ref="BM326:BN326"/>
    <mergeCell ref="BO326:BP326"/>
    <mergeCell ref="BQ326:BR326"/>
    <mergeCell ref="BS326:BT326"/>
    <mergeCell ref="BU326:BV326"/>
    <mergeCell ref="BW326:BX326"/>
    <mergeCell ref="BY326:BZ326"/>
    <mergeCell ref="CO326:CP326"/>
    <mergeCell ref="C313:C316"/>
    <mergeCell ref="D313:D316"/>
    <mergeCell ref="E313:E316"/>
    <mergeCell ref="F313:F316"/>
    <mergeCell ref="I313:J313"/>
    <mergeCell ref="K313:L313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Z316"/>
    <mergeCell ref="AA316:AB316"/>
    <mergeCell ref="AC316:AD316"/>
    <mergeCell ref="AE316:AF316"/>
    <mergeCell ref="AG316:AH316"/>
    <mergeCell ref="AI316:AJ316"/>
    <mergeCell ref="AK316:AL316"/>
    <mergeCell ref="AM316:AN316"/>
    <mergeCell ref="AO316:AP316"/>
    <mergeCell ref="AQ316:AR316"/>
    <mergeCell ref="AS316:AT316"/>
    <mergeCell ref="AU316:AV316"/>
    <mergeCell ref="AW316:AX316"/>
    <mergeCell ref="AY316:AZ316"/>
    <mergeCell ref="BA316:BB316"/>
    <mergeCell ref="BC316:BD316"/>
    <mergeCell ref="BE316:BF316"/>
    <mergeCell ref="BG316:BH316"/>
    <mergeCell ref="AY314:AZ314"/>
    <mergeCell ref="BA314:BB314"/>
    <mergeCell ref="BC314:BD314"/>
    <mergeCell ref="BE314:BF314"/>
    <mergeCell ref="BG314:BH314"/>
    <mergeCell ref="I315:J315"/>
    <mergeCell ref="K315:L315"/>
    <mergeCell ref="M315:N315"/>
    <mergeCell ref="O315:P315"/>
    <mergeCell ref="Q315:R315"/>
    <mergeCell ref="S315:T315"/>
    <mergeCell ref="U315:V315"/>
    <mergeCell ref="AO315:AP315"/>
    <mergeCell ref="AQ315:AR315"/>
    <mergeCell ref="AA315:AB315"/>
    <mergeCell ref="AC315:AD315"/>
    <mergeCell ref="AE315:AF315"/>
    <mergeCell ref="AG315:AH315"/>
    <mergeCell ref="AI315:AJ315"/>
    <mergeCell ref="AK315:AL315"/>
    <mergeCell ref="AM315:AN315"/>
    <mergeCell ref="BK316:BL316"/>
    <mergeCell ref="BM316:BN316"/>
    <mergeCell ref="BO316:BP316"/>
    <mergeCell ref="BQ316:BR316"/>
    <mergeCell ref="BS316:BT316"/>
    <mergeCell ref="BU316:BV316"/>
    <mergeCell ref="BW316:BX316"/>
    <mergeCell ref="BY316:BZ316"/>
    <mergeCell ref="CO316:CP316"/>
    <mergeCell ref="CQ316:CR316"/>
    <mergeCell ref="CS316:CT316"/>
    <mergeCell ref="CU316:CV316"/>
    <mergeCell ref="CW316:CX316"/>
    <mergeCell ref="CY316:CZ316"/>
    <mergeCell ref="CA316:CB316"/>
    <mergeCell ref="CC316:CD316"/>
    <mergeCell ref="CE316:CF316"/>
    <mergeCell ref="CG316:CH316"/>
    <mergeCell ref="CI316:CJ316"/>
    <mergeCell ref="CK316:CL316"/>
    <mergeCell ref="CM316:CN316"/>
    <mergeCell ref="I299:J299"/>
    <mergeCell ref="K299:L299"/>
    <mergeCell ref="B301:B304"/>
    <mergeCell ref="C301:C304"/>
    <mergeCell ref="D301:D304"/>
    <mergeCell ref="E301:E304"/>
    <mergeCell ref="F301:F304"/>
    <mergeCell ref="I314:J314"/>
    <mergeCell ref="K314:L314"/>
    <mergeCell ref="M314:N314"/>
    <mergeCell ref="O314:P314"/>
    <mergeCell ref="Q314:R314"/>
    <mergeCell ref="S314:T314"/>
    <mergeCell ref="U314:V314"/>
    <mergeCell ref="BM314:BN314"/>
    <mergeCell ref="BO314:BP314"/>
    <mergeCell ref="BQ314:BR314"/>
    <mergeCell ref="BS314:BT314"/>
    <mergeCell ref="BU314:BV314"/>
    <mergeCell ref="BW314:BX314"/>
    <mergeCell ref="BY314:BZ314"/>
    <mergeCell ref="W314:X314"/>
    <mergeCell ref="Y314:Z314"/>
    <mergeCell ref="AA314:AB314"/>
    <mergeCell ref="AC314:AD314"/>
    <mergeCell ref="AE314:AF314"/>
    <mergeCell ref="AG314:AH314"/>
    <mergeCell ref="AI314:AJ314"/>
    <mergeCell ref="AK314:AL314"/>
    <mergeCell ref="AM314:AN314"/>
    <mergeCell ref="AO314:AP314"/>
    <mergeCell ref="AQ314:AR314"/>
    <mergeCell ref="AS314:AT314"/>
    <mergeCell ref="AU314:AV314"/>
    <mergeCell ref="AW314:AX314"/>
    <mergeCell ref="BK315:BL315"/>
    <mergeCell ref="BM315:BN315"/>
    <mergeCell ref="BO315:BP315"/>
    <mergeCell ref="BQ315:BR315"/>
    <mergeCell ref="BS315:BT315"/>
    <mergeCell ref="BU315:BV315"/>
    <mergeCell ref="BW315:BX315"/>
    <mergeCell ref="B313:B316"/>
    <mergeCell ref="BG324:BH324"/>
    <mergeCell ref="BI324:BJ324"/>
    <mergeCell ref="AS324:AT324"/>
    <mergeCell ref="AU324:AV324"/>
    <mergeCell ref="AW324:AX324"/>
    <mergeCell ref="AY324:AZ324"/>
    <mergeCell ref="BA324:BB324"/>
    <mergeCell ref="BC324:BD324"/>
    <mergeCell ref="BE324:BF324"/>
    <mergeCell ref="BG315:BH315"/>
    <mergeCell ref="BI315:BJ315"/>
    <mergeCell ref="AS315:AT315"/>
    <mergeCell ref="AU315:AV315"/>
    <mergeCell ref="AW315:AX315"/>
    <mergeCell ref="AY315:AZ315"/>
    <mergeCell ref="BA315:BB315"/>
    <mergeCell ref="BC315:BD315"/>
    <mergeCell ref="BE315:BF315"/>
    <mergeCell ref="M323:N323"/>
    <mergeCell ref="O323:P323"/>
    <mergeCell ref="Q323:R323"/>
    <mergeCell ref="S323:T323"/>
    <mergeCell ref="U323:V323"/>
    <mergeCell ref="W323:X323"/>
    <mergeCell ref="Y323:Z323"/>
    <mergeCell ref="AA323:AB323"/>
    <mergeCell ref="AC323:AD323"/>
    <mergeCell ref="AE323:AF323"/>
    <mergeCell ref="AG323:AH323"/>
    <mergeCell ref="AI323:AJ323"/>
    <mergeCell ref="AK323:AL323"/>
    <mergeCell ref="AM323:AN323"/>
    <mergeCell ref="AO323:AP323"/>
    <mergeCell ref="AQ323:AR323"/>
    <mergeCell ref="AS323:AT323"/>
    <mergeCell ref="AU323:AV323"/>
    <mergeCell ref="AW323:AX323"/>
    <mergeCell ref="AY323:AZ323"/>
    <mergeCell ref="BA323:BB323"/>
    <mergeCell ref="W324:X324"/>
    <mergeCell ref="Y324:Z324"/>
    <mergeCell ref="M324:N324"/>
    <mergeCell ref="O324:P324"/>
    <mergeCell ref="Q324:R324"/>
    <mergeCell ref="S324:T324"/>
    <mergeCell ref="U324:V324"/>
    <mergeCell ref="BI316:BJ316"/>
    <mergeCell ref="BI319:BJ319"/>
    <mergeCell ref="BK324:BL324"/>
    <mergeCell ref="BM324:BN324"/>
    <mergeCell ref="BO324:BP324"/>
    <mergeCell ref="BC323:BD323"/>
    <mergeCell ref="BE323:BF323"/>
    <mergeCell ref="BG323:BH323"/>
    <mergeCell ref="BI323:BJ323"/>
    <mergeCell ref="BK323:BL323"/>
    <mergeCell ref="BM323:BN323"/>
    <mergeCell ref="BO323:BP323"/>
    <mergeCell ref="BQ329:BR329"/>
    <mergeCell ref="BS329:BT329"/>
    <mergeCell ref="BU329:BV329"/>
    <mergeCell ref="BW329:BX329"/>
    <mergeCell ref="BY329:BZ329"/>
    <mergeCell ref="CA329:CB329"/>
    <mergeCell ref="CC329:CD329"/>
    <mergeCell ref="CE329:CF329"/>
    <mergeCell ref="CG329:CH329"/>
    <mergeCell ref="CI329:CJ329"/>
    <mergeCell ref="CK329:CL329"/>
    <mergeCell ref="CM329:CN329"/>
    <mergeCell ref="CO329:CP329"/>
    <mergeCell ref="CQ329:CR329"/>
    <mergeCell ref="DX329:DX332"/>
    <mergeCell ref="DY329:DY332"/>
    <mergeCell ref="DZ329:DZ332"/>
    <mergeCell ref="EA329:EA332"/>
    <mergeCell ref="EB329:EB332"/>
    <mergeCell ref="EC329:EC332"/>
    <mergeCell ref="ED329:ED332"/>
    <mergeCell ref="EE329:EE332"/>
    <mergeCell ref="CS329:CT329"/>
    <mergeCell ref="CU329:CV329"/>
    <mergeCell ref="CW329:CX329"/>
    <mergeCell ref="CY329:CZ329"/>
    <mergeCell ref="DU329:DU332"/>
    <mergeCell ref="DV329:DV332"/>
    <mergeCell ref="DW329:DW332"/>
    <mergeCell ref="CS327:CT327"/>
    <mergeCell ref="CU327:CV327"/>
    <mergeCell ref="CW327:CX327"/>
    <mergeCell ref="CY327:CZ327"/>
    <mergeCell ref="CM327:CN327"/>
    <mergeCell ref="BS330:BT330"/>
    <mergeCell ref="BU330:BV330"/>
    <mergeCell ref="BW330:BX330"/>
    <mergeCell ref="BY330:BZ330"/>
    <mergeCell ref="CO330:CP330"/>
    <mergeCell ref="CQ330:CR330"/>
    <mergeCell ref="CS330:CT330"/>
    <mergeCell ref="CU330:CV330"/>
    <mergeCell ref="CW330:CX330"/>
    <mergeCell ref="CY330:CZ330"/>
    <mergeCell ref="CA330:CB330"/>
    <mergeCell ref="CC330:CD330"/>
    <mergeCell ref="CE330:CF330"/>
    <mergeCell ref="CG330:CH330"/>
    <mergeCell ref="CI330:CJ330"/>
    <mergeCell ref="CK330:CL330"/>
    <mergeCell ref="CM330:CN330"/>
    <mergeCell ref="BI332:BJ332"/>
    <mergeCell ref="BK332:BL332"/>
    <mergeCell ref="BM332:BN332"/>
    <mergeCell ref="I330:J330"/>
    <mergeCell ref="K330:L330"/>
    <mergeCell ref="M330:N330"/>
    <mergeCell ref="O330:P330"/>
    <mergeCell ref="Q330:R330"/>
    <mergeCell ref="S330:T330"/>
    <mergeCell ref="U330:V330"/>
    <mergeCell ref="CE334:CF334"/>
    <mergeCell ref="CG334:CH334"/>
    <mergeCell ref="CI334:CJ334"/>
    <mergeCell ref="CK334:CL334"/>
    <mergeCell ref="CM334:CN334"/>
    <mergeCell ref="CO334:CP334"/>
    <mergeCell ref="CQ334:CR334"/>
    <mergeCell ref="DX334:DX338"/>
    <mergeCell ref="DY334:DY338"/>
    <mergeCell ref="DZ334:DZ338"/>
    <mergeCell ref="EA334:EA338"/>
    <mergeCell ref="EB334:EB338"/>
    <mergeCell ref="EC334:EC338"/>
    <mergeCell ref="ED334:ED338"/>
    <mergeCell ref="EE334:EE338"/>
    <mergeCell ref="BQ334:BR334"/>
    <mergeCell ref="BS334:BT334"/>
    <mergeCell ref="BU334:BV334"/>
    <mergeCell ref="BW334:BX334"/>
    <mergeCell ref="BY334:BZ334"/>
    <mergeCell ref="CA334:CB334"/>
    <mergeCell ref="CC334:CD334"/>
    <mergeCell ref="CS335:CT335"/>
    <mergeCell ref="CU335:CV335"/>
    <mergeCell ref="CW335:CX335"/>
    <mergeCell ref="CY335:CZ335"/>
    <mergeCell ref="BQ336:BR336"/>
    <mergeCell ref="BS336:BT336"/>
    <mergeCell ref="BU336:BV336"/>
    <mergeCell ref="BW336:BX336"/>
    <mergeCell ref="BY336:BZ336"/>
    <mergeCell ref="CA336:CB336"/>
    <mergeCell ref="CC336:CD336"/>
    <mergeCell ref="CI338:CJ338"/>
    <mergeCell ref="CK338:CL338"/>
    <mergeCell ref="CM338:CN338"/>
    <mergeCell ref="CO338:CP338"/>
    <mergeCell ref="CQ338:CR338"/>
    <mergeCell ref="CE336:CF336"/>
    <mergeCell ref="CG336:CH336"/>
    <mergeCell ref="CI336:CJ336"/>
    <mergeCell ref="CK336:CL336"/>
    <mergeCell ref="CM336:CN336"/>
    <mergeCell ref="CO336:CP336"/>
    <mergeCell ref="CQ336:CR336"/>
    <mergeCell ref="AS330:AT330"/>
    <mergeCell ref="AU330:AV330"/>
    <mergeCell ref="AW330:AX330"/>
    <mergeCell ref="AY330:AZ330"/>
    <mergeCell ref="BA330:BB330"/>
    <mergeCell ref="BC330:BD330"/>
    <mergeCell ref="BE330:BF330"/>
    <mergeCell ref="BG330:BH330"/>
    <mergeCell ref="BI330:BJ330"/>
    <mergeCell ref="BQ330:BR330"/>
    <mergeCell ref="BM338:BN338"/>
    <mergeCell ref="BO338:BP338"/>
    <mergeCell ref="CW345:CX345"/>
    <mergeCell ref="CY345:CZ345"/>
    <mergeCell ref="CW346:CX346"/>
    <mergeCell ref="CY346:CZ346"/>
    <mergeCell ref="CW338:CX338"/>
    <mergeCell ref="CY338:CZ338"/>
    <mergeCell ref="DU341:DU346"/>
    <mergeCell ref="DV341:DV346"/>
    <mergeCell ref="DW341:DW346"/>
    <mergeCell ref="DX341:DX346"/>
    <mergeCell ref="DY341:DY346"/>
    <mergeCell ref="CS336:CT336"/>
    <mergeCell ref="CU336:CV336"/>
    <mergeCell ref="CW336:CX336"/>
    <mergeCell ref="CY336:CZ336"/>
    <mergeCell ref="CS334:CT334"/>
    <mergeCell ref="CU334:CV334"/>
    <mergeCell ref="CW334:CX334"/>
    <mergeCell ref="CY334:CZ334"/>
    <mergeCell ref="DU334:DU338"/>
    <mergeCell ref="DV334:DV338"/>
    <mergeCell ref="DW334:DW338"/>
    <mergeCell ref="DZ341:DZ346"/>
    <mergeCell ref="EA341:EA346"/>
    <mergeCell ref="EB341:EB346"/>
    <mergeCell ref="EC341:EC346"/>
    <mergeCell ref="ED341:ED346"/>
    <mergeCell ref="EE341:EE346"/>
    <mergeCell ref="CW342:CX342"/>
    <mergeCell ref="CY342:CZ342"/>
    <mergeCell ref="CW343:CX343"/>
    <mergeCell ref="CY343:CZ343"/>
    <mergeCell ref="CS345:CT345"/>
    <mergeCell ref="CS346:CT346"/>
    <mergeCell ref="CS338:CT338"/>
    <mergeCell ref="CU338:CV338"/>
    <mergeCell ref="CS342:CT342"/>
    <mergeCell ref="CU342:CV342"/>
    <mergeCell ref="CS343:CT343"/>
    <mergeCell ref="CU343:CV343"/>
    <mergeCell ref="CU345:CV345"/>
    <mergeCell ref="CU346:CV346"/>
    <mergeCell ref="CW339:CX339"/>
    <mergeCell ref="CY339:CZ339"/>
    <mergeCell ref="CE345:CF345"/>
    <mergeCell ref="CG345:CH345"/>
    <mergeCell ref="CI345:CJ345"/>
    <mergeCell ref="CK345:CL345"/>
    <mergeCell ref="CM345:CN345"/>
    <mergeCell ref="CO345:CP345"/>
    <mergeCell ref="CQ345:CR345"/>
    <mergeCell ref="BQ345:BR345"/>
    <mergeCell ref="BS345:BT345"/>
    <mergeCell ref="BU345:BV345"/>
    <mergeCell ref="BW345:BX345"/>
    <mergeCell ref="BY345:BZ345"/>
    <mergeCell ref="CA345:CB345"/>
    <mergeCell ref="CC345:CD345"/>
    <mergeCell ref="CE338:CF338"/>
    <mergeCell ref="CG338:CH338"/>
    <mergeCell ref="BQ338:BR338"/>
    <mergeCell ref="BS338:BT338"/>
    <mergeCell ref="BU338:BV338"/>
    <mergeCell ref="BW338:BX338"/>
    <mergeCell ref="BY338:BZ338"/>
    <mergeCell ref="CA338:CB338"/>
    <mergeCell ref="CC338:CD338"/>
    <mergeCell ref="CE342:CF342"/>
    <mergeCell ref="CG342:CH342"/>
    <mergeCell ref="CI342:CJ342"/>
    <mergeCell ref="CK342:CL342"/>
    <mergeCell ref="CM342:CN342"/>
    <mergeCell ref="CO342:CP342"/>
    <mergeCell ref="CQ342:CR342"/>
    <mergeCell ref="BQ342:BR342"/>
    <mergeCell ref="BS342:BT342"/>
    <mergeCell ref="BU342:BV342"/>
    <mergeCell ref="BW342:BX342"/>
    <mergeCell ref="BY342:BZ342"/>
    <mergeCell ref="CA342:CB342"/>
    <mergeCell ref="CC342:CD342"/>
    <mergeCell ref="CE343:CF343"/>
    <mergeCell ref="CG343:CH343"/>
    <mergeCell ref="CI343:CJ343"/>
    <mergeCell ref="CK343:CL343"/>
    <mergeCell ref="CM343:CN343"/>
    <mergeCell ref="CO343:CP343"/>
    <mergeCell ref="CQ343:CR343"/>
    <mergeCell ref="BQ343:BR343"/>
    <mergeCell ref="BS343:BT343"/>
    <mergeCell ref="BU343:BV343"/>
    <mergeCell ref="BW343:BX343"/>
    <mergeCell ref="BY343:BZ343"/>
    <mergeCell ref="CA343:CB343"/>
    <mergeCell ref="CC343:CD343"/>
    <mergeCell ref="BQ339:BR339"/>
    <mergeCell ref="BS339:BT339"/>
    <mergeCell ref="BU339:BV339"/>
    <mergeCell ref="BW339:BX339"/>
    <mergeCell ref="BY339:BZ339"/>
    <mergeCell ref="CA339:CB339"/>
    <mergeCell ref="CC339:CD339"/>
    <mergeCell ref="CE339:CF339"/>
    <mergeCell ref="CG339:CH339"/>
    <mergeCell ref="CI339:CJ339"/>
    <mergeCell ref="CK339:CL339"/>
    <mergeCell ref="CM339:CN339"/>
    <mergeCell ref="CO339:CP339"/>
    <mergeCell ref="CE346:CF346"/>
    <mergeCell ref="CG346:CH346"/>
    <mergeCell ref="CI346:CJ346"/>
    <mergeCell ref="CK346:CL346"/>
    <mergeCell ref="CM346:CN346"/>
    <mergeCell ref="CO346:CP346"/>
    <mergeCell ref="CQ346:CR346"/>
    <mergeCell ref="BQ346:BR346"/>
    <mergeCell ref="BS346:BT346"/>
    <mergeCell ref="BU346:BV346"/>
    <mergeCell ref="BW346:BX346"/>
    <mergeCell ref="BY346:BZ346"/>
    <mergeCell ref="CA346:CB346"/>
    <mergeCell ref="CC346:CD346"/>
    <mergeCell ref="B323:B327"/>
    <mergeCell ref="C323:C327"/>
    <mergeCell ref="D323:D327"/>
    <mergeCell ref="E323:E327"/>
    <mergeCell ref="F323:F327"/>
    <mergeCell ref="I323:J323"/>
    <mergeCell ref="K323:L323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Z327"/>
    <mergeCell ref="AA327:AB327"/>
    <mergeCell ref="AC327:AD327"/>
    <mergeCell ref="AE327:AF327"/>
    <mergeCell ref="AG327:AH327"/>
    <mergeCell ref="AI327:AJ327"/>
    <mergeCell ref="AK327:AL327"/>
    <mergeCell ref="AM327:AN327"/>
    <mergeCell ref="AO327:AP327"/>
    <mergeCell ref="AQ327:AR327"/>
    <mergeCell ref="AS327:AT327"/>
    <mergeCell ref="AU327:AV327"/>
    <mergeCell ref="AW327:AX327"/>
    <mergeCell ref="AY327:AZ327"/>
    <mergeCell ref="BA327:BB327"/>
    <mergeCell ref="BC327:BD327"/>
    <mergeCell ref="BE327:BF327"/>
    <mergeCell ref="BG327:BH327"/>
    <mergeCell ref="BI327:BJ327"/>
    <mergeCell ref="BK327:BL327"/>
    <mergeCell ref="BM327:BN327"/>
    <mergeCell ref="BO327:BP327"/>
    <mergeCell ref="BQ327:BR327"/>
    <mergeCell ref="BS327:BT327"/>
    <mergeCell ref="BU327:BV327"/>
    <mergeCell ref="BW327:BX327"/>
    <mergeCell ref="BY327:BZ327"/>
    <mergeCell ref="CO327:CP327"/>
    <mergeCell ref="CQ327:CR327"/>
    <mergeCell ref="CA327:CB327"/>
    <mergeCell ref="CC327:CD327"/>
    <mergeCell ref="CE327:CF327"/>
    <mergeCell ref="CG327:CH327"/>
    <mergeCell ref="CI327:CJ327"/>
    <mergeCell ref="CK327:CL327"/>
    <mergeCell ref="M329:N329"/>
    <mergeCell ref="O329:P329"/>
    <mergeCell ref="Q329:R329"/>
    <mergeCell ref="S329:T329"/>
    <mergeCell ref="U329:V329"/>
    <mergeCell ref="W329:X329"/>
    <mergeCell ref="Y329:Z329"/>
    <mergeCell ref="AA329:AB329"/>
    <mergeCell ref="AC329:AD329"/>
    <mergeCell ref="AE329:AF329"/>
    <mergeCell ref="AG329:AH329"/>
    <mergeCell ref="AI329:AJ329"/>
    <mergeCell ref="AK329:AL329"/>
    <mergeCell ref="AM329:AN329"/>
    <mergeCell ref="AO329:AP329"/>
    <mergeCell ref="AQ329:AR329"/>
    <mergeCell ref="AS329:AT329"/>
    <mergeCell ref="AU329:AV329"/>
    <mergeCell ref="AW329:AX329"/>
    <mergeCell ref="AY329:AZ329"/>
    <mergeCell ref="BA329:BB329"/>
    <mergeCell ref="BK330:BL330"/>
    <mergeCell ref="BM330:BN330"/>
    <mergeCell ref="BO330:BP330"/>
    <mergeCell ref="BC329:BD329"/>
    <mergeCell ref="BE329:BF329"/>
    <mergeCell ref="BG329:BH329"/>
    <mergeCell ref="BI329:BJ329"/>
    <mergeCell ref="BK329:BL329"/>
    <mergeCell ref="BM329:BN329"/>
    <mergeCell ref="BO329:BP329"/>
    <mergeCell ref="B329:B332"/>
    <mergeCell ref="C329:C332"/>
    <mergeCell ref="D329:D332"/>
    <mergeCell ref="E329:E332"/>
    <mergeCell ref="F329:F332"/>
    <mergeCell ref="I329:J329"/>
    <mergeCell ref="K329:L329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Z332"/>
    <mergeCell ref="AA332:AB332"/>
    <mergeCell ref="AC332:AD332"/>
    <mergeCell ref="AE332:AF332"/>
    <mergeCell ref="AG332:AH332"/>
    <mergeCell ref="AI332:AJ332"/>
    <mergeCell ref="AK332:AL332"/>
    <mergeCell ref="AM332:AN332"/>
    <mergeCell ref="AO332:AP332"/>
    <mergeCell ref="AQ332:AR332"/>
    <mergeCell ref="AS332:AT332"/>
    <mergeCell ref="AU332:AV332"/>
    <mergeCell ref="AW332:AX332"/>
    <mergeCell ref="AY332:AZ332"/>
    <mergeCell ref="BA332:BB332"/>
    <mergeCell ref="BC332:BD332"/>
    <mergeCell ref="BE332:BF332"/>
    <mergeCell ref="BG332:BH332"/>
    <mergeCell ref="CS332:CT332"/>
    <mergeCell ref="CU332:CV332"/>
    <mergeCell ref="CW332:CX332"/>
    <mergeCell ref="CY332:CZ332"/>
    <mergeCell ref="CA332:CB332"/>
    <mergeCell ref="CC332:CD332"/>
    <mergeCell ref="CE332:CF332"/>
    <mergeCell ref="CG332:CH332"/>
    <mergeCell ref="CI332:CJ332"/>
    <mergeCell ref="CK332:CL332"/>
    <mergeCell ref="CM332:CN332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Z331"/>
    <mergeCell ref="AA331:AB331"/>
    <mergeCell ref="AC331:AD331"/>
    <mergeCell ref="AE331:AF331"/>
    <mergeCell ref="AG331:AH331"/>
    <mergeCell ref="AI331:AJ331"/>
    <mergeCell ref="AK331:AL331"/>
    <mergeCell ref="AM331:AN331"/>
    <mergeCell ref="AO331:AP331"/>
    <mergeCell ref="AQ331:AR331"/>
    <mergeCell ref="AS331:AT331"/>
    <mergeCell ref="AU331:AV331"/>
    <mergeCell ref="AW331:AX331"/>
    <mergeCell ref="AY331:AZ331"/>
    <mergeCell ref="BA331:BB331"/>
    <mergeCell ref="BC331:BD331"/>
    <mergeCell ref="BE331:BF331"/>
    <mergeCell ref="BG331:BH331"/>
    <mergeCell ref="BI331:BJ331"/>
    <mergeCell ref="BK331:BL331"/>
    <mergeCell ref="BM331:BN331"/>
    <mergeCell ref="BO331:BP331"/>
    <mergeCell ref="BQ331:BR331"/>
    <mergeCell ref="BS331:BT331"/>
    <mergeCell ref="BU331:BV331"/>
    <mergeCell ref="BW331:BX331"/>
    <mergeCell ref="BY331:BZ331"/>
    <mergeCell ref="CO331:CP331"/>
    <mergeCell ref="CQ331:CR331"/>
    <mergeCell ref="CS331:CT331"/>
    <mergeCell ref="CU331:CV331"/>
    <mergeCell ref="CW331:CX331"/>
    <mergeCell ref="CY331:CZ331"/>
    <mergeCell ref="CA331:CB331"/>
    <mergeCell ref="CC331:CD331"/>
    <mergeCell ref="CE331:CF331"/>
    <mergeCell ref="CG331:CH331"/>
    <mergeCell ref="CI331:CJ331"/>
    <mergeCell ref="CK331:CL331"/>
    <mergeCell ref="CM331:CN331"/>
    <mergeCell ref="BO332:BP332"/>
    <mergeCell ref="BQ332:BR332"/>
    <mergeCell ref="BS332:BT332"/>
    <mergeCell ref="BU332:BV332"/>
    <mergeCell ref="BW332:BX332"/>
    <mergeCell ref="W335:X335"/>
    <mergeCell ref="Y335:Z335"/>
    <mergeCell ref="I335:J335"/>
    <mergeCell ref="K335:L335"/>
    <mergeCell ref="M335:N335"/>
    <mergeCell ref="O335:P335"/>
    <mergeCell ref="Q335:R335"/>
    <mergeCell ref="S335:T335"/>
    <mergeCell ref="U335:V335"/>
    <mergeCell ref="CE335:CF335"/>
    <mergeCell ref="CG335:CH335"/>
    <mergeCell ref="CI335:CJ335"/>
    <mergeCell ref="CK335:CL335"/>
    <mergeCell ref="CM335:CN335"/>
    <mergeCell ref="CO335:CP335"/>
    <mergeCell ref="CQ335:CR335"/>
    <mergeCell ref="BQ335:BR335"/>
    <mergeCell ref="BS335:BT335"/>
    <mergeCell ref="BU335:BV335"/>
    <mergeCell ref="BW335:BX335"/>
    <mergeCell ref="BY335:BZ335"/>
    <mergeCell ref="CA335:CB335"/>
    <mergeCell ref="CC335:CD335"/>
    <mergeCell ref="AO335:AP335"/>
    <mergeCell ref="AQ335:AR335"/>
    <mergeCell ref="AA335:AB335"/>
    <mergeCell ref="AC335:AD335"/>
    <mergeCell ref="AE335:AF335"/>
    <mergeCell ref="AG335:AH335"/>
    <mergeCell ref="AI335:AJ335"/>
    <mergeCell ref="AK335:AL335"/>
    <mergeCell ref="AM335:AN335"/>
    <mergeCell ref="BG335:BH335"/>
    <mergeCell ref="BI335:BJ335"/>
    <mergeCell ref="AS335:AT335"/>
    <mergeCell ref="AU335:AV335"/>
    <mergeCell ref="AW335:AX335"/>
    <mergeCell ref="AY335:AZ335"/>
    <mergeCell ref="BA335:BB335"/>
    <mergeCell ref="BC335:BD335"/>
    <mergeCell ref="BE335:BF335"/>
    <mergeCell ref="BK335:BL335"/>
    <mergeCell ref="BM335:BN335"/>
    <mergeCell ref="BO335:BP335"/>
    <mergeCell ref="BY332:BZ332"/>
    <mergeCell ref="CO332:CP332"/>
    <mergeCell ref="CQ332:CR332"/>
    <mergeCell ref="K334:L334"/>
    <mergeCell ref="AO330:AP330"/>
    <mergeCell ref="AQ330:AR330"/>
    <mergeCell ref="AA330:AB330"/>
    <mergeCell ref="AC330:AD330"/>
    <mergeCell ref="AE330:AF330"/>
    <mergeCell ref="AG330:AH330"/>
    <mergeCell ref="AI330:AJ330"/>
    <mergeCell ref="AK330:AL330"/>
    <mergeCell ref="AM330:AN330"/>
    <mergeCell ref="M334:N334"/>
    <mergeCell ref="O334:P334"/>
    <mergeCell ref="Q334:R334"/>
    <mergeCell ref="S334:T334"/>
    <mergeCell ref="U334:V334"/>
    <mergeCell ref="W334:X334"/>
    <mergeCell ref="Y334:Z334"/>
    <mergeCell ref="AA334:AB334"/>
    <mergeCell ref="AC334:AD334"/>
    <mergeCell ref="AE334:AF334"/>
    <mergeCell ref="AG334:AH334"/>
    <mergeCell ref="AI334:AJ334"/>
    <mergeCell ref="AK334:AL334"/>
    <mergeCell ref="AM334:AN334"/>
    <mergeCell ref="AO334:AP334"/>
    <mergeCell ref="AQ334:AR334"/>
    <mergeCell ref="AS334:AT334"/>
    <mergeCell ref="AU334:AV334"/>
    <mergeCell ref="AW334:AX334"/>
    <mergeCell ref="AY334:AZ334"/>
    <mergeCell ref="BA334:BB334"/>
    <mergeCell ref="BC334:BD334"/>
    <mergeCell ref="BE334:BF334"/>
    <mergeCell ref="BG334:BH334"/>
    <mergeCell ref="BI334:BJ334"/>
    <mergeCell ref="BK334:BL334"/>
    <mergeCell ref="BM334:BN334"/>
    <mergeCell ref="BO334:BP334"/>
    <mergeCell ref="W330:X330"/>
    <mergeCell ref="Y330:Z330"/>
    <mergeCell ref="AE336:AF336"/>
    <mergeCell ref="AG336:AH336"/>
    <mergeCell ref="AI336:AJ336"/>
    <mergeCell ref="AK336:AL336"/>
    <mergeCell ref="AM336:AN336"/>
    <mergeCell ref="AO336:AP336"/>
    <mergeCell ref="AQ336:AR336"/>
    <mergeCell ref="AS336:AT336"/>
    <mergeCell ref="AU336:AV336"/>
    <mergeCell ref="AW336:AX336"/>
    <mergeCell ref="BM336:BN336"/>
    <mergeCell ref="BO336:BP336"/>
    <mergeCell ref="AY336:AZ336"/>
    <mergeCell ref="BA336:BB336"/>
    <mergeCell ref="BC336:BD336"/>
    <mergeCell ref="BE336:BF336"/>
    <mergeCell ref="BG336:BH336"/>
    <mergeCell ref="BI336:BJ336"/>
    <mergeCell ref="BK336:BL336"/>
    <mergeCell ref="W337:X337"/>
    <mergeCell ref="Y337:Z337"/>
    <mergeCell ref="AA337:AB337"/>
    <mergeCell ref="AC337:AD337"/>
    <mergeCell ref="AE337:AF337"/>
    <mergeCell ref="AG337:AH337"/>
    <mergeCell ref="I337:J337"/>
    <mergeCell ref="K337:L337"/>
    <mergeCell ref="M337:N337"/>
    <mergeCell ref="O337:P337"/>
    <mergeCell ref="Q337:R337"/>
    <mergeCell ref="S337:T337"/>
    <mergeCell ref="U337:V337"/>
    <mergeCell ref="BC339:BD339"/>
    <mergeCell ref="BE339:BF339"/>
    <mergeCell ref="AO339:AP339"/>
    <mergeCell ref="AQ339:AR339"/>
    <mergeCell ref="AS339:AT339"/>
    <mergeCell ref="AU339:AV339"/>
    <mergeCell ref="AW339:AX339"/>
    <mergeCell ref="AY339:AZ339"/>
    <mergeCell ref="BA339:BB339"/>
    <mergeCell ref="BG339:BH339"/>
    <mergeCell ref="BI339:BJ339"/>
    <mergeCell ref="BK339:BL339"/>
    <mergeCell ref="BM339:BN339"/>
    <mergeCell ref="BO339:BP339"/>
    <mergeCell ref="I339:J339"/>
    <mergeCell ref="K339:L339"/>
    <mergeCell ref="M339:N339"/>
    <mergeCell ref="O339:P339"/>
    <mergeCell ref="Q339:R339"/>
    <mergeCell ref="S339:T339"/>
    <mergeCell ref="U339:V339"/>
    <mergeCell ref="AK338:AL338"/>
    <mergeCell ref="AM338:AN338"/>
    <mergeCell ref="AO338:AP338"/>
    <mergeCell ref="AQ338:AR338"/>
    <mergeCell ref="AS338:AT338"/>
    <mergeCell ref="AU338:AV338"/>
    <mergeCell ref="AW338:AX338"/>
    <mergeCell ref="AY338:AZ338"/>
    <mergeCell ref="BA338:BB338"/>
    <mergeCell ref="BC338:BD338"/>
    <mergeCell ref="BE338:BF338"/>
    <mergeCell ref="CQ339:CR339"/>
    <mergeCell ref="CS339:CT339"/>
    <mergeCell ref="CU339:CV339"/>
    <mergeCell ref="BQ341:BR341"/>
    <mergeCell ref="BS341:BT341"/>
    <mergeCell ref="BU341:BV341"/>
    <mergeCell ref="BW341:BX341"/>
    <mergeCell ref="BY341:BZ341"/>
    <mergeCell ref="CA341:CB341"/>
    <mergeCell ref="CC341:CD341"/>
    <mergeCell ref="CS341:CT341"/>
    <mergeCell ref="CU341:CV341"/>
    <mergeCell ref="CW341:CX341"/>
    <mergeCell ref="CY341:CZ341"/>
    <mergeCell ref="CE341:CF341"/>
    <mergeCell ref="CG341:CH341"/>
    <mergeCell ref="CI341:CJ341"/>
    <mergeCell ref="CK341:CL341"/>
    <mergeCell ref="CM341:CN341"/>
    <mergeCell ref="CO341:CP341"/>
    <mergeCell ref="CQ341:CR341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AA343:AB343"/>
    <mergeCell ref="AC343:AD343"/>
    <mergeCell ref="AE343:AF343"/>
    <mergeCell ref="AG343:AH343"/>
    <mergeCell ref="AI343:AJ343"/>
    <mergeCell ref="AK343:AL343"/>
    <mergeCell ref="AM343:AN343"/>
    <mergeCell ref="AO343:AP343"/>
    <mergeCell ref="AQ343:AR343"/>
    <mergeCell ref="AS343:AT343"/>
    <mergeCell ref="AU343:AV343"/>
    <mergeCell ref="AW343:AX343"/>
    <mergeCell ref="BM343:BN343"/>
    <mergeCell ref="BO343:BP343"/>
    <mergeCell ref="AY343:AZ343"/>
    <mergeCell ref="BA343:BB343"/>
    <mergeCell ref="BC343:BD343"/>
    <mergeCell ref="BE343:BF343"/>
    <mergeCell ref="BG343:BH343"/>
    <mergeCell ref="BI343:BJ343"/>
    <mergeCell ref="BK343:BL343"/>
    <mergeCell ref="AO342:AP342"/>
    <mergeCell ref="AQ342:AR342"/>
    <mergeCell ref="AA342:AB342"/>
    <mergeCell ref="AC342:AD342"/>
    <mergeCell ref="AE342:AF342"/>
    <mergeCell ref="AG342:AH342"/>
    <mergeCell ref="AI342:AJ342"/>
    <mergeCell ref="AK342:AL342"/>
    <mergeCell ref="AM342:AN342"/>
    <mergeCell ref="BG342:BH342"/>
    <mergeCell ref="BI342:BJ342"/>
    <mergeCell ref="AS342:AT342"/>
    <mergeCell ref="AU342:AV342"/>
    <mergeCell ref="B2:B5"/>
    <mergeCell ref="B341:B346"/>
    <mergeCell ref="C341:C346"/>
    <mergeCell ref="D341:D346"/>
    <mergeCell ref="E341:E346"/>
    <mergeCell ref="F341:F346"/>
    <mergeCell ref="I341:J341"/>
    <mergeCell ref="K341:L341"/>
    <mergeCell ref="I346:J346"/>
    <mergeCell ref="K346:L346"/>
    <mergeCell ref="M346:N346"/>
    <mergeCell ref="O346:P346"/>
    <mergeCell ref="Q346:R346"/>
    <mergeCell ref="S346:T346"/>
    <mergeCell ref="U346:V346"/>
    <mergeCell ref="AK345:AL345"/>
    <mergeCell ref="AM345:AN345"/>
    <mergeCell ref="AO345:AP345"/>
    <mergeCell ref="AQ345:AR345"/>
    <mergeCell ref="AS345:AT345"/>
    <mergeCell ref="AU345:AV345"/>
    <mergeCell ref="AW345:AX345"/>
    <mergeCell ref="BG346:BH346"/>
    <mergeCell ref="BI346:BJ346"/>
    <mergeCell ref="BK346:BL346"/>
    <mergeCell ref="BM346:BN346"/>
    <mergeCell ref="BO346:BP346"/>
    <mergeCell ref="AY345:AZ345"/>
    <mergeCell ref="BA345:BB345"/>
    <mergeCell ref="BC345:BD345"/>
    <mergeCell ref="BE345:BF345"/>
    <mergeCell ref="BG345:BH345"/>
    <mergeCell ref="BI345:BJ345"/>
    <mergeCell ref="BK345:BL345"/>
    <mergeCell ref="AW342:AX342"/>
    <mergeCell ref="AY342:AZ342"/>
    <mergeCell ref="BA342:BB342"/>
    <mergeCell ref="BC342:BD342"/>
    <mergeCell ref="BE342:BF342"/>
    <mergeCell ref="AK346:AL346"/>
    <mergeCell ref="AM346:AN346"/>
    <mergeCell ref="W346:X346"/>
    <mergeCell ref="Y346:Z346"/>
    <mergeCell ref="AA346:AB346"/>
    <mergeCell ref="AC346:AD346"/>
    <mergeCell ref="AE346:AF346"/>
    <mergeCell ref="AG346:AH346"/>
    <mergeCell ref="AI346:AJ346"/>
    <mergeCell ref="BC346:BD346"/>
    <mergeCell ref="BE346:BF346"/>
    <mergeCell ref="AO346:AP346"/>
    <mergeCell ref="AQ346:AR346"/>
    <mergeCell ref="AS346:AT346"/>
    <mergeCell ref="AU346:AV346"/>
    <mergeCell ref="AW346:AX346"/>
    <mergeCell ref="AY346:AZ346"/>
    <mergeCell ref="BA346:BB346"/>
    <mergeCell ref="I342:J342"/>
    <mergeCell ref="K342:L342"/>
    <mergeCell ref="M342:N342"/>
    <mergeCell ref="O342:P342"/>
    <mergeCell ref="Q342:R342"/>
    <mergeCell ref="S342:T342"/>
    <mergeCell ref="U342:V342"/>
    <mergeCell ref="DK2:DL2"/>
    <mergeCell ref="DK3:DL3"/>
    <mergeCell ref="DK4:DL4"/>
    <mergeCell ref="DK5:DL5"/>
    <mergeCell ref="DK7:DL7"/>
    <mergeCell ref="DK9:DL9"/>
    <mergeCell ref="DK10:DL10"/>
    <mergeCell ref="DK11:DL11"/>
    <mergeCell ref="DK16:DL16"/>
    <mergeCell ref="DK37:DL37"/>
    <mergeCell ref="DK43:DL43"/>
    <mergeCell ref="DK44:DL44"/>
    <mergeCell ref="DK45:DL45"/>
    <mergeCell ref="DK46:DL46"/>
    <mergeCell ref="DK47:DL47"/>
    <mergeCell ref="DK48:DL48"/>
    <mergeCell ref="DK50:DL50"/>
    <mergeCell ref="DK51:DL51"/>
    <mergeCell ref="DK52:DL52"/>
    <mergeCell ref="DK53:DL53"/>
    <mergeCell ref="DK61:DL61"/>
    <mergeCell ref="DK62:DL62"/>
    <mergeCell ref="DK63:DL63"/>
    <mergeCell ref="DK64:DL64"/>
    <mergeCell ref="DK65:DL65"/>
    <mergeCell ref="DK67:DL67"/>
    <mergeCell ref="DK68:DL68"/>
    <mergeCell ref="DK69:DL69"/>
    <mergeCell ref="DK70:DL70"/>
    <mergeCell ref="DK71:DL71"/>
    <mergeCell ref="DK72:DL72"/>
    <mergeCell ref="DK73:DL73"/>
    <mergeCell ref="DK74:DL74"/>
    <mergeCell ref="DK94:DL94"/>
    <mergeCell ref="DK95:DL95"/>
    <mergeCell ref="DK96:DL96"/>
    <mergeCell ref="DK97:DL97"/>
    <mergeCell ref="DK99:DL99"/>
    <mergeCell ref="DK100:DL100"/>
    <mergeCell ref="DK101:DL101"/>
    <mergeCell ref="DK102:DL102"/>
    <mergeCell ref="DK103:DL103"/>
    <mergeCell ref="DK105:DL105"/>
    <mergeCell ref="DK106:DL106"/>
    <mergeCell ref="DK107:DL107"/>
    <mergeCell ref="DK108:DL108"/>
    <mergeCell ref="DK109:DL109"/>
    <mergeCell ref="DK110:DL110"/>
    <mergeCell ref="DK111:DL111"/>
    <mergeCell ref="DK113:DL113"/>
    <mergeCell ref="DK114:DL114"/>
    <mergeCell ref="DK122:DL122"/>
    <mergeCell ref="DK124:DL124"/>
    <mergeCell ref="DK125:DL125"/>
    <mergeCell ref="DK133:DL133"/>
    <mergeCell ref="DK135:DL135"/>
    <mergeCell ref="DK136:DL136"/>
    <mergeCell ref="DK137:DL137"/>
    <mergeCell ref="DK138:DL138"/>
    <mergeCell ref="DK140:DL140"/>
    <mergeCell ref="DK141:DL141"/>
    <mergeCell ref="DK142:DL142"/>
    <mergeCell ref="DK144:DL144"/>
    <mergeCell ref="DK145:DL145"/>
    <mergeCell ref="DK147:DL147"/>
    <mergeCell ref="DK148:DL148"/>
    <mergeCell ref="DK149:DL149"/>
    <mergeCell ref="DK151:DL151"/>
    <mergeCell ref="DK153:DL153"/>
    <mergeCell ref="DK154:DL154"/>
    <mergeCell ref="DK155:DL155"/>
    <mergeCell ref="DK157:DL157"/>
    <mergeCell ref="DK159:DL159"/>
    <mergeCell ref="DK160:DL160"/>
    <mergeCell ref="DK161:DL161"/>
    <mergeCell ref="DK163:DL163"/>
    <mergeCell ref="DK165:DL165"/>
    <mergeCell ref="DK166:DL166"/>
    <mergeCell ref="DK167:DL167"/>
    <mergeCell ref="DK168:DL168"/>
    <mergeCell ref="DK169:DL169"/>
    <mergeCell ref="DK172:DL172"/>
    <mergeCell ref="DK176:DL176"/>
    <mergeCell ref="DK177:DL177"/>
    <mergeCell ref="DK178:DL178"/>
    <mergeCell ref="DK179:DL179"/>
    <mergeCell ref="DK181:DL181"/>
    <mergeCell ref="DK182:DL182"/>
    <mergeCell ref="DK183:DL183"/>
    <mergeCell ref="DK198:DL198"/>
    <mergeCell ref="DK199:DL199"/>
    <mergeCell ref="DK200:DL200"/>
    <mergeCell ref="DK206:DL206"/>
    <mergeCell ref="DK207:DL207"/>
    <mergeCell ref="DK208:DL208"/>
    <mergeCell ref="DK211:DL211"/>
    <mergeCell ref="DK212:DL212"/>
    <mergeCell ref="DK213:DL213"/>
    <mergeCell ref="DK214:DL214"/>
    <mergeCell ref="DK221:DL221"/>
    <mergeCell ref="DK222:DL222"/>
    <mergeCell ref="DK223:DL223"/>
    <mergeCell ref="DK224:DL224"/>
    <mergeCell ref="DK225:DL225"/>
    <mergeCell ref="DK226:DL226"/>
    <mergeCell ref="DK227:DL227"/>
    <mergeCell ref="DK228:DL228"/>
    <mergeCell ref="DK229:DL229"/>
    <mergeCell ref="DK230:DL230"/>
    <mergeCell ref="DK231:DL231"/>
    <mergeCell ref="DK232:DL232"/>
    <mergeCell ref="DK234:DL234"/>
    <mergeCell ref="DK235:DL235"/>
    <mergeCell ref="DK236:DL236"/>
    <mergeCell ref="DK237:DL237"/>
    <mergeCell ref="DK238:DL238"/>
    <mergeCell ref="DK239:DL239"/>
    <mergeCell ref="DK240:DL240"/>
    <mergeCell ref="DK241:DL241"/>
    <mergeCell ref="DK242:DL242"/>
    <mergeCell ref="DK243:DL243"/>
    <mergeCell ref="DK244:DL244"/>
    <mergeCell ref="DK246:DL246"/>
    <mergeCell ref="DK247:DL247"/>
    <mergeCell ref="DK248:DL248"/>
    <mergeCell ref="DK249:DL249"/>
    <mergeCell ref="DK250:DL250"/>
    <mergeCell ref="DK251:DL251"/>
    <mergeCell ref="DK252:DL252"/>
    <mergeCell ref="DK254:DL254"/>
    <mergeCell ref="DK255:DL255"/>
    <mergeCell ref="DK256:DL256"/>
    <mergeCell ref="DK356:DL356"/>
    <mergeCell ref="DK357:DL357"/>
    <mergeCell ref="DK359:DL359"/>
    <mergeCell ref="DK360:DL360"/>
    <mergeCell ref="DK362:DL362"/>
    <mergeCell ref="DK363:DL363"/>
    <mergeCell ref="DK364:DL364"/>
    <mergeCell ref="DK365:DL365"/>
    <mergeCell ref="DK366:DL366"/>
    <mergeCell ref="DK367:DL367"/>
    <mergeCell ref="DK369:DL369"/>
    <mergeCell ref="DK370:DL370"/>
    <mergeCell ref="DK371:DL371"/>
    <mergeCell ref="DK257:DL257"/>
    <mergeCell ref="DK259:DL259"/>
    <mergeCell ref="DK261:DL261"/>
    <mergeCell ref="DK262:DL262"/>
    <mergeCell ref="DK263:DL263"/>
    <mergeCell ref="DK265:DL265"/>
    <mergeCell ref="DK268:DL268"/>
    <mergeCell ref="DK269:DL269"/>
    <mergeCell ref="DK270:DL270"/>
    <mergeCell ref="DK271:DL271"/>
    <mergeCell ref="DK277:DL277"/>
    <mergeCell ref="DK278:DL278"/>
    <mergeCell ref="DK279:DL279"/>
    <mergeCell ref="DK288:DL288"/>
    <mergeCell ref="DK291:DL291"/>
    <mergeCell ref="DK292:DL292"/>
    <mergeCell ref="DK293:DL293"/>
    <mergeCell ref="DK294:DL294"/>
    <mergeCell ref="DK295:DL295"/>
    <mergeCell ref="DK296:DL296"/>
    <mergeCell ref="DK297:DL297"/>
    <mergeCell ref="DK298:DL298"/>
    <mergeCell ref="DK299:DL299"/>
    <mergeCell ref="DK301:DL301"/>
    <mergeCell ref="DK302:DL302"/>
    <mergeCell ref="DK303:DL303"/>
    <mergeCell ref="DK304:DL304"/>
    <mergeCell ref="DK313:DL313"/>
    <mergeCell ref="DK314:DL314"/>
    <mergeCell ref="DK315:DL315"/>
    <mergeCell ref="DK316:DL316"/>
    <mergeCell ref="DK323:DL323"/>
    <mergeCell ref="DK324:DL324"/>
    <mergeCell ref="DK310:DL310"/>
    <mergeCell ref="DK318:DL318"/>
    <mergeCell ref="DK372:DL372"/>
    <mergeCell ref="DK374:DL374"/>
    <mergeCell ref="DK375:DL375"/>
    <mergeCell ref="DK376:DL376"/>
    <mergeCell ref="DK378:DL378"/>
    <mergeCell ref="DK379:DL379"/>
    <mergeCell ref="DK380:DL380"/>
    <mergeCell ref="DK387:DL387"/>
    <mergeCell ref="DK388:DL388"/>
    <mergeCell ref="DK389:DL389"/>
    <mergeCell ref="DK396:DL396"/>
    <mergeCell ref="DK397:DL397"/>
    <mergeCell ref="DK398:DL398"/>
    <mergeCell ref="DK399:DL399"/>
    <mergeCell ref="EK9:EK14"/>
    <mergeCell ref="EK16:EK22"/>
    <mergeCell ref="EK37:EK41"/>
    <mergeCell ref="EK43:EK54"/>
    <mergeCell ref="EK61:EK65"/>
    <mergeCell ref="EK94:EK97"/>
    <mergeCell ref="EK99:EK103"/>
    <mergeCell ref="EK105:EK109"/>
    <mergeCell ref="EK113:EK120"/>
    <mergeCell ref="EK124:EK131"/>
    <mergeCell ref="EK135:EK138"/>
    <mergeCell ref="EK140:EK145"/>
    <mergeCell ref="EK147:EK151"/>
    <mergeCell ref="EK153:EK157"/>
    <mergeCell ref="EK159:EK163"/>
    <mergeCell ref="EK165:EK169"/>
    <mergeCell ref="EK171:EK179"/>
    <mergeCell ref="EK181:EK187"/>
    <mergeCell ref="EK198:EK204"/>
    <mergeCell ref="EK208:EK209"/>
    <mergeCell ref="EK265:EK266"/>
    <mergeCell ref="EK268:EK275"/>
    <mergeCell ref="EK323:EK327"/>
    <mergeCell ref="EK329:EK332"/>
    <mergeCell ref="EK334:EK338"/>
    <mergeCell ref="EK341:EK346"/>
    <mergeCell ref="EK348:EK353"/>
    <mergeCell ref="EK355:EK360"/>
    <mergeCell ref="EK362:EK367"/>
    <mergeCell ref="EK369:EK372"/>
    <mergeCell ref="EK374:EK376"/>
    <mergeCell ref="EK378:EK385"/>
    <mergeCell ref="EK387:EK394"/>
    <mergeCell ref="EK396:EK405"/>
    <mergeCell ref="DK329:DL329"/>
    <mergeCell ref="DK330:DL330"/>
    <mergeCell ref="DK331:DL331"/>
    <mergeCell ref="DK332:DL332"/>
    <mergeCell ref="DK334:DL334"/>
    <mergeCell ref="DK335:DL335"/>
    <mergeCell ref="DK336:DL336"/>
    <mergeCell ref="DK338:DL338"/>
    <mergeCell ref="DK339:DL339"/>
    <mergeCell ref="DK341:DL341"/>
    <mergeCell ref="DK342:DL342"/>
    <mergeCell ref="DK343:DL343"/>
    <mergeCell ref="DK345:DL345"/>
    <mergeCell ref="DK346:DL346"/>
    <mergeCell ref="DK348:DL348"/>
    <mergeCell ref="DK349:DL349"/>
    <mergeCell ref="DM2:DN2"/>
    <mergeCell ref="DM3:DN3"/>
    <mergeCell ref="DM4:DN4"/>
    <mergeCell ref="DM5:DN5"/>
    <mergeCell ref="DM7:DN7"/>
    <mergeCell ref="DM9:DN9"/>
    <mergeCell ref="DM10:DN10"/>
    <mergeCell ref="DM11:DN11"/>
    <mergeCell ref="DM16:DN16"/>
    <mergeCell ref="DM37:DN37"/>
    <mergeCell ref="DM43:DN43"/>
    <mergeCell ref="DM44:DN44"/>
    <mergeCell ref="DM45:DN45"/>
    <mergeCell ref="DM46:DN46"/>
    <mergeCell ref="DM47:DN47"/>
    <mergeCell ref="DM48:DN48"/>
    <mergeCell ref="DM50:DN50"/>
    <mergeCell ref="DM51:DN51"/>
    <mergeCell ref="DM52:DN52"/>
    <mergeCell ref="DM53:DN53"/>
    <mergeCell ref="DM61:DN61"/>
    <mergeCell ref="DM62:DN62"/>
    <mergeCell ref="DM63:DN63"/>
    <mergeCell ref="DM64:DN64"/>
    <mergeCell ref="DM65:DN65"/>
    <mergeCell ref="DM67:DN67"/>
    <mergeCell ref="DM68:DN68"/>
    <mergeCell ref="DM69:DN69"/>
    <mergeCell ref="DM70:DN70"/>
    <mergeCell ref="DM71:DN71"/>
    <mergeCell ref="DM72:DN72"/>
    <mergeCell ref="DM73:DN73"/>
    <mergeCell ref="DM74:DN74"/>
    <mergeCell ref="DM94:DN94"/>
    <mergeCell ref="DM95:DN95"/>
    <mergeCell ref="DM96:DN96"/>
    <mergeCell ref="DM97:DN97"/>
    <mergeCell ref="DM99:DN99"/>
    <mergeCell ref="DM100:DN100"/>
    <mergeCell ref="DM101:DN101"/>
    <mergeCell ref="DM102:DN102"/>
    <mergeCell ref="DM103:DN103"/>
    <mergeCell ref="DM105:DN105"/>
    <mergeCell ref="DM106:DN106"/>
    <mergeCell ref="DM107:DN107"/>
    <mergeCell ref="DM108:DN108"/>
    <mergeCell ref="DM109:DN109"/>
    <mergeCell ref="DM110:DN110"/>
    <mergeCell ref="DM111:DN111"/>
    <mergeCell ref="DM113:DN113"/>
    <mergeCell ref="DM114:DN114"/>
    <mergeCell ref="DM122:DN122"/>
    <mergeCell ref="DM124:DN124"/>
    <mergeCell ref="DM125:DN125"/>
    <mergeCell ref="DM133:DN133"/>
    <mergeCell ref="DM135:DN135"/>
    <mergeCell ref="DM136:DN136"/>
    <mergeCell ref="DM137:DN137"/>
    <mergeCell ref="DM138:DN138"/>
    <mergeCell ref="DM140:DN140"/>
    <mergeCell ref="DM141:DN141"/>
    <mergeCell ref="DM142:DN142"/>
    <mergeCell ref="DM144:DN144"/>
    <mergeCell ref="DM145:DN145"/>
    <mergeCell ref="DM147:DN147"/>
    <mergeCell ref="DM148:DN148"/>
    <mergeCell ref="DM149:DN149"/>
    <mergeCell ref="DM151:DN151"/>
    <mergeCell ref="DM153:DN153"/>
    <mergeCell ref="DM154:DN154"/>
    <mergeCell ref="DM155:DN155"/>
    <mergeCell ref="DM157:DN157"/>
    <mergeCell ref="DM159:DN159"/>
    <mergeCell ref="DM160:DN160"/>
    <mergeCell ref="DM161:DN161"/>
    <mergeCell ref="DM163:DN163"/>
    <mergeCell ref="DM165:DN165"/>
    <mergeCell ref="DM166:DN166"/>
    <mergeCell ref="DM167:DN167"/>
    <mergeCell ref="DM168:DN168"/>
    <mergeCell ref="DM169:DN169"/>
    <mergeCell ref="DM172:DN172"/>
    <mergeCell ref="DM176:DN176"/>
    <mergeCell ref="DM177:DN177"/>
    <mergeCell ref="DM178:DN178"/>
    <mergeCell ref="DM179:DN179"/>
    <mergeCell ref="DM181:DN181"/>
    <mergeCell ref="DM182:DN182"/>
    <mergeCell ref="DM183:DN183"/>
    <mergeCell ref="DM198:DN198"/>
    <mergeCell ref="DM199:DN199"/>
    <mergeCell ref="DM200:DN200"/>
    <mergeCell ref="DM206:DN206"/>
    <mergeCell ref="DM207:DN207"/>
    <mergeCell ref="DM208:DN208"/>
    <mergeCell ref="DM211:DN211"/>
    <mergeCell ref="DM212:DN212"/>
    <mergeCell ref="DM213:DN213"/>
    <mergeCell ref="DM214:DN214"/>
    <mergeCell ref="DM192:DN192"/>
    <mergeCell ref="DM221:DN221"/>
    <mergeCell ref="DM222:DN222"/>
    <mergeCell ref="DM223:DN223"/>
    <mergeCell ref="DM224:DN224"/>
    <mergeCell ref="DM225:DN225"/>
    <mergeCell ref="DM226:DN226"/>
    <mergeCell ref="DM227:DN227"/>
    <mergeCell ref="DM228:DN228"/>
    <mergeCell ref="DM229:DN229"/>
    <mergeCell ref="DM230:DN230"/>
    <mergeCell ref="DM231:DN231"/>
    <mergeCell ref="DM232:DN232"/>
    <mergeCell ref="DM234:DN234"/>
    <mergeCell ref="DM235:DN235"/>
    <mergeCell ref="DM236:DN236"/>
    <mergeCell ref="DM237:DN237"/>
    <mergeCell ref="DM238:DN238"/>
    <mergeCell ref="DM239:DN239"/>
    <mergeCell ref="DM240:DN240"/>
    <mergeCell ref="DM241:DN241"/>
    <mergeCell ref="DM242:DN242"/>
    <mergeCell ref="DM243:DN243"/>
    <mergeCell ref="DM244:DN244"/>
    <mergeCell ref="DM246:DN246"/>
    <mergeCell ref="DM247:DN247"/>
    <mergeCell ref="DM248:DN248"/>
    <mergeCell ref="DM249:DN249"/>
    <mergeCell ref="DM250:DN250"/>
    <mergeCell ref="DM251:DN251"/>
    <mergeCell ref="DM252:DN252"/>
    <mergeCell ref="DM254:DN254"/>
    <mergeCell ref="DM255:DN255"/>
    <mergeCell ref="DM256:DN256"/>
    <mergeCell ref="DM350:DN350"/>
    <mergeCell ref="DM352:DN352"/>
    <mergeCell ref="DM353:DN353"/>
    <mergeCell ref="DM355:DN355"/>
    <mergeCell ref="DM356:DN356"/>
    <mergeCell ref="DM357:DN357"/>
    <mergeCell ref="DM359:DN359"/>
    <mergeCell ref="DM360:DN360"/>
    <mergeCell ref="DM362:DN362"/>
    <mergeCell ref="DM363:DN363"/>
    <mergeCell ref="DM364:DN364"/>
    <mergeCell ref="DM365:DN365"/>
    <mergeCell ref="DM366:DN366"/>
    <mergeCell ref="DM367:DN367"/>
    <mergeCell ref="DM369:DN369"/>
    <mergeCell ref="DM370:DN370"/>
    <mergeCell ref="DM371:DN371"/>
    <mergeCell ref="DM257:DN257"/>
    <mergeCell ref="DM259:DN259"/>
    <mergeCell ref="DM261:DN261"/>
    <mergeCell ref="DM262:DN262"/>
    <mergeCell ref="DM263:DN263"/>
    <mergeCell ref="DM265:DN265"/>
    <mergeCell ref="DM268:DN268"/>
    <mergeCell ref="DM269:DN269"/>
    <mergeCell ref="DM270:DN270"/>
    <mergeCell ref="DM271:DN271"/>
    <mergeCell ref="DM277:DN277"/>
    <mergeCell ref="DM278:DN278"/>
    <mergeCell ref="DM279:DN279"/>
    <mergeCell ref="DM288:DN288"/>
    <mergeCell ref="DM291:DN291"/>
    <mergeCell ref="DM292:DN292"/>
    <mergeCell ref="DM293:DN293"/>
    <mergeCell ref="DM294:DN294"/>
    <mergeCell ref="DM295:DN295"/>
    <mergeCell ref="DM296:DN296"/>
    <mergeCell ref="DM297:DN297"/>
    <mergeCell ref="DM298:DN298"/>
    <mergeCell ref="DM299:DN299"/>
    <mergeCell ref="DM301:DN301"/>
    <mergeCell ref="DM302:DN302"/>
    <mergeCell ref="DM303:DN303"/>
    <mergeCell ref="DM304:DN304"/>
    <mergeCell ref="DM313:DN313"/>
    <mergeCell ref="DM314:DN314"/>
    <mergeCell ref="DM315:DN315"/>
    <mergeCell ref="DM316:DN316"/>
    <mergeCell ref="DM323:DN323"/>
    <mergeCell ref="DM324:DN324"/>
    <mergeCell ref="DM310:DN310"/>
    <mergeCell ref="DM318:DN318"/>
    <mergeCell ref="DM372:DN372"/>
    <mergeCell ref="DM374:DN374"/>
    <mergeCell ref="DM375:DN375"/>
    <mergeCell ref="DM376:DN376"/>
    <mergeCell ref="DM378:DN378"/>
    <mergeCell ref="DM379:DN379"/>
    <mergeCell ref="DM380:DN380"/>
    <mergeCell ref="DM387:DN387"/>
    <mergeCell ref="DM388:DN388"/>
    <mergeCell ref="DM389:DN389"/>
    <mergeCell ref="DM396:DN396"/>
    <mergeCell ref="DM397:DN397"/>
    <mergeCell ref="DM398:DN398"/>
    <mergeCell ref="DM399:DN399"/>
    <mergeCell ref="EL9:EL14"/>
    <mergeCell ref="EL16:EL22"/>
    <mergeCell ref="EL37:EL41"/>
    <mergeCell ref="EL43:EL54"/>
    <mergeCell ref="EL61:EL65"/>
    <mergeCell ref="EL94:EL97"/>
    <mergeCell ref="EL99:EL103"/>
    <mergeCell ref="EL105:EL109"/>
    <mergeCell ref="EL113:EL120"/>
    <mergeCell ref="EL124:EL131"/>
    <mergeCell ref="EL135:EL138"/>
    <mergeCell ref="EL140:EL145"/>
    <mergeCell ref="EL147:EL151"/>
    <mergeCell ref="EL153:EL157"/>
    <mergeCell ref="EL159:EL163"/>
    <mergeCell ref="EL165:EL169"/>
    <mergeCell ref="EL171:EL179"/>
    <mergeCell ref="EL181:EL187"/>
    <mergeCell ref="EL198:EL204"/>
    <mergeCell ref="EL208:EL209"/>
    <mergeCell ref="EL265:EL266"/>
    <mergeCell ref="EL268:EL275"/>
    <mergeCell ref="EL323:EL327"/>
    <mergeCell ref="EL329:EL332"/>
    <mergeCell ref="EL334:EL338"/>
    <mergeCell ref="EL341:EL346"/>
    <mergeCell ref="EL348:EL353"/>
    <mergeCell ref="EL355:EL360"/>
    <mergeCell ref="EL362:EL367"/>
    <mergeCell ref="EL369:EL372"/>
    <mergeCell ref="EL374:EL376"/>
    <mergeCell ref="EL378:EL385"/>
    <mergeCell ref="EL387:EL394"/>
    <mergeCell ref="EL396:EL405"/>
    <mergeCell ref="DM329:DN329"/>
    <mergeCell ref="DM330:DN330"/>
    <mergeCell ref="DM331:DN331"/>
    <mergeCell ref="DM332:DN332"/>
    <mergeCell ref="DM334:DN334"/>
    <mergeCell ref="DM335:DN335"/>
    <mergeCell ref="DM336:DN336"/>
    <mergeCell ref="DM338:DN338"/>
    <mergeCell ref="DM339:DN339"/>
    <mergeCell ref="DM341:DN341"/>
    <mergeCell ref="DM342:DN342"/>
    <mergeCell ref="DM343:DN343"/>
    <mergeCell ref="DM345:DN345"/>
    <mergeCell ref="DM346:DN346"/>
    <mergeCell ref="DM348:DN348"/>
    <mergeCell ref="DM349:DN349"/>
    <mergeCell ref="DO2:DP2"/>
    <mergeCell ref="DO3:DP3"/>
    <mergeCell ref="DO4:DP4"/>
    <mergeCell ref="DO5:DP5"/>
    <mergeCell ref="DO7:DP7"/>
    <mergeCell ref="DO9:DP9"/>
    <mergeCell ref="DO10:DP10"/>
    <mergeCell ref="DO11:DP11"/>
    <mergeCell ref="DO16:DP16"/>
    <mergeCell ref="DO37:DP37"/>
    <mergeCell ref="DO43:DP43"/>
    <mergeCell ref="DO44:DP44"/>
    <mergeCell ref="DO45:DP45"/>
    <mergeCell ref="DO46:DP46"/>
    <mergeCell ref="DO47:DP47"/>
    <mergeCell ref="DO48:DP48"/>
    <mergeCell ref="DO50:DP50"/>
    <mergeCell ref="DO51:DP51"/>
    <mergeCell ref="DO52:DP52"/>
    <mergeCell ref="DO53:DP53"/>
    <mergeCell ref="DO61:DP61"/>
    <mergeCell ref="DO62:DP62"/>
    <mergeCell ref="DO63:DP63"/>
    <mergeCell ref="DO64:DP64"/>
    <mergeCell ref="DO65:DP65"/>
    <mergeCell ref="DO67:DP67"/>
    <mergeCell ref="DO68:DP68"/>
    <mergeCell ref="DO69:DP69"/>
    <mergeCell ref="DO70:DP70"/>
    <mergeCell ref="DO71:DP71"/>
    <mergeCell ref="DO72:DP72"/>
    <mergeCell ref="DO73:DP73"/>
    <mergeCell ref="DO74:DP74"/>
    <mergeCell ref="DO94:DP94"/>
    <mergeCell ref="DO95:DP95"/>
    <mergeCell ref="DO96:DP96"/>
    <mergeCell ref="DO97:DP97"/>
    <mergeCell ref="DO99:DP99"/>
    <mergeCell ref="DO100:DP100"/>
    <mergeCell ref="DO101:DP101"/>
    <mergeCell ref="DO102:DP102"/>
    <mergeCell ref="DO103:DP103"/>
    <mergeCell ref="DO105:DP105"/>
    <mergeCell ref="DO106:DP106"/>
    <mergeCell ref="DO107:DP107"/>
    <mergeCell ref="DO108:DP108"/>
    <mergeCell ref="DO109:DP109"/>
    <mergeCell ref="DO110:DP110"/>
    <mergeCell ref="DO111:DP111"/>
    <mergeCell ref="DO113:DP113"/>
    <mergeCell ref="DO114:DP114"/>
    <mergeCell ref="DO122:DP122"/>
    <mergeCell ref="DO124:DP124"/>
    <mergeCell ref="DO125:DP125"/>
    <mergeCell ref="DO133:DP133"/>
    <mergeCell ref="DO135:DP135"/>
    <mergeCell ref="DO136:DP136"/>
    <mergeCell ref="DO137:DP137"/>
    <mergeCell ref="DO138:DP138"/>
    <mergeCell ref="DO140:DP140"/>
    <mergeCell ref="DO141:DP141"/>
    <mergeCell ref="DO142:DP142"/>
    <mergeCell ref="DO144:DP144"/>
    <mergeCell ref="DO145:DP145"/>
    <mergeCell ref="DO147:DP147"/>
    <mergeCell ref="DO148:DP148"/>
    <mergeCell ref="DO149:DP149"/>
    <mergeCell ref="DO151:DP151"/>
    <mergeCell ref="DO153:DP153"/>
    <mergeCell ref="DO154:DP154"/>
    <mergeCell ref="DO155:DP155"/>
    <mergeCell ref="DO157:DP157"/>
    <mergeCell ref="DO159:DP159"/>
    <mergeCell ref="DO160:DP160"/>
    <mergeCell ref="DO161:DP161"/>
    <mergeCell ref="DO163:DP163"/>
    <mergeCell ref="DO165:DP165"/>
    <mergeCell ref="DO166:DP166"/>
    <mergeCell ref="DO167:DP167"/>
    <mergeCell ref="DO168:DP168"/>
    <mergeCell ref="DO169:DP169"/>
    <mergeCell ref="DO172:DP172"/>
    <mergeCell ref="DO176:DP176"/>
    <mergeCell ref="DO177:DP177"/>
    <mergeCell ref="DO178:DP178"/>
    <mergeCell ref="DO179:DP179"/>
    <mergeCell ref="DO181:DP181"/>
    <mergeCell ref="DO182:DP182"/>
    <mergeCell ref="DO183:DP183"/>
    <mergeCell ref="DO198:DP198"/>
    <mergeCell ref="DO199:DP199"/>
    <mergeCell ref="DO200:DP200"/>
    <mergeCell ref="DO206:DP206"/>
    <mergeCell ref="DO207:DP207"/>
    <mergeCell ref="DO208:DP208"/>
    <mergeCell ref="DO211:DP211"/>
    <mergeCell ref="DO212:DP212"/>
    <mergeCell ref="DO213:DP213"/>
    <mergeCell ref="DO214:DP214"/>
    <mergeCell ref="DO192:DP192"/>
    <mergeCell ref="DO221:DP221"/>
    <mergeCell ref="DO222:DP222"/>
    <mergeCell ref="DO223:DP223"/>
    <mergeCell ref="DO224:DP224"/>
    <mergeCell ref="DO225:DP225"/>
    <mergeCell ref="DO226:DP226"/>
    <mergeCell ref="DO227:DP227"/>
    <mergeCell ref="DO228:DP228"/>
    <mergeCell ref="DO229:DP229"/>
    <mergeCell ref="DO230:DP230"/>
    <mergeCell ref="DO231:DP231"/>
    <mergeCell ref="DO232:DP232"/>
    <mergeCell ref="DO234:DP234"/>
    <mergeCell ref="DO235:DP235"/>
    <mergeCell ref="DO236:DP236"/>
    <mergeCell ref="DO237:DP237"/>
    <mergeCell ref="DO238:DP238"/>
    <mergeCell ref="DO239:DP239"/>
    <mergeCell ref="DO240:DP240"/>
    <mergeCell ref="DO241:DP241"/>
    <mergeCell ref="DO242:DP242"/>
    <mergeCell ref="DO243:DP243"/>
    <mergeCell ref="DO244:DP244"/>
    <mergeCell ref="DO246:DP246"/>
    <mergeCell ref="DO247:DP247"/>
    <mergeCell ref="DO248:DP248"/>
    <mergeCell ref="DO249:DP249"/>
    <mergeCell ref="DO250:DP250"/>
    <mergeCell ref="DO251:DP251"/>
    <mergeCell ref="DO252:DP252"/>
    <mergeCell ref="DO254:DP254"/>
    <mergeCell ref="DO255:DP255"/>
    <mergeCell ref="DO256:DP256"/>
    <mergeCell ref="DO350:DP350"/>
    <mergeCell ref="DO352:DP352"/>
    <mergeCell ref="DO353:DP353"/>
    <mergeCell ref="DO355:DP355"/>
    <mergeCell ref="DO356:DP356"/>
    <mergeCell ref="DO357:DP357"/>
    <mergeCell ref="DO359:DP359"/>
    <mergeCell ref="DO360:DP360"/>
    <mergeCell ref="DO362:DP362"/>
    <mergeCell ref="DO363:DP363"/>
    <mergeCell ref="DO364:DP364"/>
    <mergeCell ref="DO365:DP365"/>
    <mergeCell ref="DO366:DP366"/>
    <mergeCell ref="DO367:DP367"/>
    <mergeCell ref="DO369:DP369"/>
    <mergeCell ref="DO370:DP370"/>
    <mergeCell ref="DO371:DP371"/>
    <mergeCell ref="DO257:DP257"/>
    <mergeCell ref="DO259:DP259"/>
    <mergeCell ref="DO261:DP261"/>
    <mergeCell ref="DO262:DP262"/>
    <mergeCell ref="DO263:DP263"/>
    <mergeCell ref="DO265:DP265"/>
    <mergeCell ref="DO268:DP268"/>
    <mergeCell ref="DO269:DP269"/>
    <mergeCell ref="DO270:DP270"/>
    <mergeCell ref="DO271:DP271"/>
    <mergeCell ref="DO277:DP277"/>
    <mergeCell ref="DO278:DP278"/>
    <mergeCell ref="DO279:DP279"/>
    <mergeCell ref="DO288:DP288"/>
    <mergeCell ref="DO291:DP291"/>
    <mergeCell ref="DO292:DP292"/>
    <mergeCell ref="DO293:DP293"/>
    <mergeCell ref="DO294:DP294"/>
    <mergeCell ref="DO295:DP295"/>
    <mergeCell ref="DO296:DP296"/>
    <mergeCell ref="DO297:DP297"/>
    <mergeCell ref="DO298:DP298"/>
    <mergeCell ref="DO299:DP299"/>
    <mergeCell ref="DO301:DP301"/>
    <mergeCell ref="DO302:DP302"/>
    <mergeCell ref="DO303:DP303"/>
    <mergeCell ref="DO304:DP304"/>
    <mergeCell ref="DO313:DP313"/>
    <mergeCell ref="DO314:DP314"/>
    <mergeCell ref="DO315:DP315"/>
    <mergeCell ref="DO316:DP316"/>
    <mergeCell ref="DO323:DP323"/>
    <mergeCell ref="DO324:DP324"/>
    <mergeCell ref="DO310:DP310"/>
    <mergeCell ref="DO318:DP318"/>
    <mergeCell ref="DO372:DP372"/>
    <mergeCell ref="DO374:DP374"/>
    <mergeCell ref="DO375:DP375"/>
    <mergeCell ref="DO376:DP376"/>
    <mergeCell ref="DO378:DP378"/>
    <mergeCell ref="DO379:DP379"/>
    <mergeCell ref="DO380:DP380"/>
    <mergeCell ref="DO387:DP387"/>
    <mergeCell ref="DO388:DP388"/>
    <mergeCell ref="DO389:DP389"/>
    <mergeCell ref="DO396:DP396"/>
    <mergeCell ref="DO397:DP397"/>
    <mergeCell ref="DO398:DP398"/>
    <mergeCell ref="DO399:DP399"/>
    <mergeCell ref="EM9:EM14"/>
    <mergeCell ref="EM16:EM22"/>
    <mergeCell ref="EM37:EM41"/>
    <mergeCell ref="EM43:EM54"/>
    <mergeCell ref="EM61:EM65"/>
    <mergeCell ref="EM94:EM97"/>
    <mergeCell ref="EM99:EM103"/>
    <mergeCell ref="EM105:EM109"/>
    <mergeCell ref="EM113:EM120"/>
    <mergeCell ref="EM124:EM131"/>
    <mergeCell ref="EM135:EM138"/>
    <mergeCell ref="EM140:EM145"/>
    <mergeCell ref="EM147:EM151"/>
    <mergeCell ref="EM153:EM157"/>
    <mergeCell ref="EM159:EM163"/>
    <mergeCell ref="EM165:EM169"/>
    <mergeCell ref="EM171:EM179"/>
    <mergeCell ref="EM181:EM187"/>
    <mergeCell ref="EM198:EM204"/>
    <mergeCell ref="EM208:EM209"/>
    <mergeCell ref="EM265:EM266"/>
    <mergeCell ref="EM268:EM275"/>
    <mergeCell ref="EM323:EM327"/>
    <mergeCell ref="EM329:EM332"/>
    <mergeCell ref="EM334:EM338"/>
    <mergeCell ref="EM341:EM346"/>
    <mergeCell ref="EM348:EM353"/>
    <mergeCell ref="EM355:EM360"/>
    <mergeCell ref="EM362:EM367"/>
    <mergeCell ref="EM369:EM372"/>
    <mergeCell ref="EM374:EM376"/>
    <mergeCell ref="EM378:EM385"/>
    <mergeCell ref="EM387:EM394"/>
    <mergeCell ref="EM396:EM405"/>
    <mergeCell ref="DO329:DP329"/>
    <mergeCell ref="DO330:DP330"/>
    <mergeCell ref="DO331:DP331"/>
    <mergeCell ref="DO332:DP332"/>
    <mergeCell ref="DO334:DP334"/>
    <mergeCell ref="DO335:DP335"/>
    <mergeCell ref="DO336:DP336"/>
    <mergeCell ref="DO338:DP338"/>
    <mergeCell ref="DO339:DP339"/>
    <mergeCell ref="DO341:DP341"/>
    <mergeCell ref="DO342:DP342"/>
    <mergeCell ref="DO343:DP343"/>
    <mergeCell ref="DO345:DP345"/>
    <mergeCell ref="DO346:DP346"/>
    <mergeCell ref="DO348:DP348"/>
    <mergeCell ref="DO349:DP349"/>
    <mergeCell ref="DQ2:DR2"/>
    <mergeCell ref="DQ3:DR3"/>
    <mergeCell ref="DQ4:DR4"/>
    <mergeCell ref="DQ5:DR5"/>
    <mergeCell ref="DQ7:DR7"/>
    <mergeCell ref="DQ9:DR9"/>
    <mergeCell ref="DQ10:DR10"/>
    <mergeCell ref="DQ11:DR11"/>
    <mergeCell ref="DQ16:DR16"/>
    <mergeCell ref="DQ37:DR37"/>
    <mergeCell ref="DQ43:DR43"/>
    <mergeCell ref="DQ44:DR44"/>
    <mergeCell ref="DQ45:DR45"/>
    <mergeCell ref="DQ46:DR46"/>
    <mergeCell ref="DQ47:DR47"/>
    <mergeCell ref="DQ48:DR48"/>
    <mergeCell ref="DQ50:DR50"/>
    <mergeCell ref="DQ51:DR51"/>
    <mergeCell ref="DQ52:DR52"/>
    <mergeCell ref="DQ53:DR53"/>
    <mergeCell ref="DQ61:DR61"/>
    <mergeCell ref="DQ62:DR62"/>
    <mergeCell ref="DQ63:DR63"/>
    <mergeCell ref="DQ64:DR64"/>
    <mergeCell ref="DQ65:DR65"/>
    <mergeCell ref="DQ67:DR67"/>
    <mergeCell ref="DQ68:DR68"/>
    <mergeCell ref="DQ69:DR69"/>
    <mergeCell ref="DQ70:DR70"/>
    <mergeCell ref="DQ71:DR71"/>
    <mergeCell ref="DQ72:DR72"/>
    <mergeCell ref="DQ73:DR73"/>
    <mergeCell ref="DQ74:DR74"/>
    <mergeCell ref="DQ94:DR94"/>
    <mergeCell ref="DQ95:DR95"/>
    <mergeCell ref="DQ96:DR96"/>
    <mergeCell ref="DQ97:DR97"/>
    <mergeCell ref="DQ99:DR99"/>
    <mergeCell ref="DQ100:DR100"/>
    <mergeCell ref="DQ101:DR101"/>
    <mergeCell ref="DQ102:DR102"/>
    <mergeCell ref="DQ103:DR103"/>
    <mergeCell ref="DQ105:DR105"/>
    <mergeCell ref="DQ106:DR106"/>
    <mergeCell ref="DQ107:DR107"/>
    <mergeCell ref="DQ108:DR108"/>
    <mergeCell ref="DQ109:DR109"/>
    <mergeCell ref="DQ110:DR110"/>
    <mergeCell ref="DQ111:DR111"/>
    <mergeCell ref="DQ113:DR113"/>
    <mergeCell ref="DQ114:DR114"/>
    <mergeCell ref="DQ122:DR122"/>
    <mergeCell ref="DQ124:DR124"/>
    <mergeCell ref="DQ125:DR125"/>
    <mergeCell ref="DQ133:DR133"/>
    <mergeCell ref="DQ135:DR135"/>
    <mergeCell ref="DQ136:DR136"/>
    <mergeCell ref="DQ137:DR137"/>
    <mergeCell ref="DQ138:DR138"/>
    <mergeCell ref="DQ140:DR140"/>
    <mergeCell ref="DQ141:DR141"/>
    <mergeCell ref="DQ142:DR142"/>
    <mergeCell ref="DQ144:DR144"/>
    <mergeCell ref="DQ145:DR145"/>
    <mergeCell ref="DQ147:DR147"/>
    <mergeCell ref="DQ148:DR148"/>
    <mergeCell ref="DQ149:DR149"/>
    <mergeCell ref="DQ151:DR151"/>
    <mergeCell ref="DQ153:DR153"/>
    <mergeCell ref="DQ154:DR154"/>
    <mergeCell ref="DQ155:DR155"/>
    <mergeCell ref="DQ157:DR157"/>
    <mergeCell ref="DQ159:DR159"/>
    <mergeCell ref="DQ160:DR160"/>
    <mergeCell ref="DQ161:DR161"/>
    <mergeCell ref="DQ163:DR163"/>
    <mergeCell ref="DQ165:DR165"/>
    <mergeCell ref="DQ166:DR166"/>
    <mergeCell ref="DQ167:DR167"/>
    <mergeCell ref="DQ168:DR168"/>
    <mergeCell ref="DQ169:DR169"/>
    <mergeCell ref="DQ172:DR172"/>
    <mergeCell ref="DQ176:DR176"/>
    <mergeCell ref="DQ177:DR177"/>
    <mergeCell ref="DQ178:DR178"/>
    <mergeCell ref="DQ179:DR179"/>
    <mergeCell ref="DQ181:DR181"/>
    <mergeCell ref="DQ182:DR182"/>
    <mergeCell ref="DQ183:DR183"/>
    <mergeCell ref="DQ198:DR198"/>
    <mergeCell ref="DQ199:DR199"/>
    <mergeCell ref="DQ200:DR200"/>
    <mergeCell ref="DQ206:DR206"/>
    <mergeCell ref="DQ207:DR207"/>
    <mergeCell ref="DQ208:DR208"/>
    <mergeCell ref="DQ211:DR211"/>
    <mergeCell ref="DQ212:DR212"/>
    <mergeCell ref="DQ213:DR213"/>
    <mergeCell ref="DQ214:DR214"/>
    <mergeCell ref="DQ192:DR192"/>
    <mergeCell ref="DQ372:DR372"/>
    <mergeCell ref="DQ374:DR374"/>
    <mergeCell ref="DQ375:DR375"/>
    <mergeCell ref="DQ376:DR376"/>
    <mergeCell ref="DQ378:DR378"/>
    <mergeCell ref="DQ379:DR379"/>
    <mergeCell ref="DQ380:DR380"/>
    <mergeCell ref="DQ387:DR387"/>
    <mergeCell ref="DQ388:DR388"/>
    <mergeCell ref="DQ389:DR389"/>
    <mergeCell ref="DQ364:DR364"/>
    <mergeCell ref="DQ365:DR365"/>
    <mergeCell ref="DQ366:DR366"/>
    <mergeCell ref="DQ367:DR367"/>
    <mergeCell ref="DQ302:DR302"/>
    <mergeCell ref="DQ303:DR303"/>
    <mergeCell ref="DQ304:DR304"/>
    <mergeCell ref="DQ313:DR313"/>
    <mergeCell ref="DQ314:DR314"/>
    <mergeCell ref="DQ315:DR315"/>
    <mergeCell ref="DQ316:DR316"/>
    <mergeCell ref="DQ323:DR323"/>
    <mergeCell ref="DQ324:DR324"/>
    <mergeCell ref="DQ310:DR310"/>
    <mergeCell ref="DQ221:DR221"/>
    <mergeCell ref="DQ222:DR222"/>
    <mergeCell ref="DQ223:DR223"/>
    <mergeCell ref="DQ224:DR224"/>
    <mergeCell ref="DQ225:DR225"/>
    <mergeCell ref="DQ226:DR226"/>
    <mergeCell ref="DQ227:DR227"/>
    <mergeCell ref="DQ244:DR244"/>
    <mergeCell ref="DQ246:DR246"/>
    <mergeCell ref="DQ247:DR247"/>
    <mergeCell ref="DQ248:DR248"/>
    <mergeCell ref="DQ249:DR249"/>
    <mergeCell ref="DQ250:DR250"/>
    <mergeCell ref="DQ251:DR251"/>
    <mergeCell ref="DQ252:DR252"/>
    <mergeCell ref="DQ254:DR254"/>
    <mergeCell ref="DQ255:DR255"/>
    <mergeCell ref="DQ256:DR256"/>
    <mergeCell ref="DQ318:DR318"/>
    <mergeCell ref="DQ329:DR329"/>
    <mergeCell ref="DQ330:DR330"/>
    <mergeCell ref="DQ331:DR331"/>
    <mergeCell ref="DQ332:DR332"/>
    <mergeCell ref="DQ334:DR334"/>
    <mergeCell ref="DQ335:DR335"/>
    <mergeCell ref="DQ336:DR336"/>
    <mergeCell ref="DQ338:DR338"/>
    <mergeCell ref="DQ339:DR339"/>
    <mergeCell ref="DQ341:DR341"/>
    <mergeCell ref="DQ342:DR342"/>
    <mergeCell ref="DQ343:DR343"/>
    <mergeCell ref="DQ345:DR345"/>
    <mergeCell ref="DQ346:DR346"/>
    <mergeCell ref="DQ348:DR348"/>
    <mergeCell ref="DQ349:DR349"/>
    <mergeCell ref="DQ350:DR350"/>
    <mergeCell ref="DQ352:DR352"/>
    <mergeCell ref="DQ353:DR353"/>
    <mergeCell ref="DQ355:DR355"/>
    <mergeCell ref="DQ356:DR356"/>
    <mergeCell ref="DQ357:DR357"/>
    <mergeCell ref="DQ359:DR359"/>
    <mergeCell ref="DQ360:DR360"/>
    <mergeCell ref="DQ362:DR362"/>
    <mergeCell ref="DQ363:DR363"/>
    <mergeCell ref="W192:X192"/>
    <mergeCell ref="Y192:Z192"/>
    <mergeCell ref="AA192:AB192"/>
    <mergeCell ref="AC192:AD192"/>
    <mergeCell ref="AE192:AF192"/>
    <mergeCell ref="AG192:AH192"/>
    <mergeCell ref="AI192:AJ192"/>
    <mergeCell ref="AK192:AL192"/>
    <mergeCell ref="AM192:AN192"/>
    <mergeCell ref="AO192:AP192"/>
    <mergeCell ref="AQ192:AR192"/>
    <mergeCell ref="AS192:AT192"/>
    <mergeCell ref="AU192:AV192"/>
    <mergeCell ref="AW192:AX192"/>
    <mergeCell ref="AY192:AZ192"/>
    <mergeCell ref="BA192:BB192"/>
    <mergeCell ref="BC192:BD192"/>
    <mergeCell ref="BE192:BF192"/>
    <mergeCell ref="BG192:BH192"/>
    <mergeCell ref="BI192:BJ192"/>
    <mergeCell ref="BK192:BL192"/>
    <mergeCell ref="BM192:BN192"/>
    <mergeCell ref="BO192:BP192"/>
    <mergeCell ref="DQ228:DR228"/>
    <mergeCell ref="DQ229:DR229"/>
    <mergeCell ref="DQ230:DR230"/>
    <mergeCell ref="DQ231:DR231"/>
    <mergeCell ref="DQ232:DR232"/>
    <mergeCell ref="DQ234:DR234"/>
    <mergeCell ref="DQ235:DR235"/>
    <mergeCell ref="DQ236:DR236"/>
    <mergeCell ref="DQ237:DR237"/>
    <mergeCell ref="DQ238:DR238"/>
    <mergeCell ref="DQ239:DR239"/>
    <mergeCell ref="DQ240:DR240"/>
    <mergeCell ref="DQ241:DR241"/>
    <mergeCell ref="DQ242:DR242"/>
    <mergeCell ref="DQ243:DR243"/>
    <mergeCell ref="CU306:CV306"/>
    <mergeCell ref="CW306:CX306"/>
    <mergeCell ref="CY306:CZ306"/>
    <mergeCell ref="DA306:DB306"/>
    <mergeCell ref="DC306:DD306"/>
    <mergeCell ref="DE306:DF306"/>
    <mergeCell ref="DG306:DH306"/>
    <mergeCell ref="DI306:DJ306"/>
    <mergeCell ref="DK306:DL306"/>
    <mergeCell ref="DM306:DN306"/>
    <mergeCell ref="DO306:DP306"/>
    <mergeCell ref="DQ306:DR306"/>
    <mergeCell ref="CC309:CD309"/>
    <mergeCell ref="BW310:BX310"/>
    <mergeCell ref="BY310:BZ310"/>
    <mergeCell ref="CA310:CB310"/>
    <mergeCell ref="CC310:CD310"/>
    <mergeCell ref="CE310:CF310"/>
    <mergeCell ref="CG310:CH310"/>
    <mergeCell ref="CI310:CJ310"/>
    <mergeCell ref="CK310:CL310"/>
    <mergeCell ref="DQ369:DR369"/>
    <mergeCell ref="DQ370:DR370"/>
    <mergeCell ref="DQ371:DR371"/>
    <mergeCell ref="DQ257:DR257"/>
    <mergeCell ref="DQ259:DR259"/>
    <mergeCell ref="DQ261:DR261"/>
    <mergeCell ref="DQ262:DR262"/>
    <mergeCell ref="DQ263:DR263"/>
    <mergeCell ref="DQ265:DR265"/>
    <mergeCell ref="DQ268:DR268"/>
    <mergeCell ref="DQ269:DR269"/>
    <mergeCell ref="DQ270:DR270"/>
    <mergeCell ref="DQ271:DR271"/>
    <mergeCell ref="DQ277:DR277"/>
    <mergeCell ref="DQ278:DR278"/>
    <mergeCell ref="DQ279:DR279"/>
    <mergeCell ref="DQ288:DR288"/>
    <mergeCell ref="DQ291:DR291"/>
    <mergeCell ref="DQ292:DR292"/>
    <mergeCell ref="DQ293:DR293"/>
    <mergeCell ref="DQ294:DR294"/>
    <mergeCell ref="DQ295:DR295"/>
    <mergeCell ref="DQ296:DR296"/>
    <mergeCell ref="DQ297:DR297"/>
    <mergeCell ref="DQ298:DR298"/>
    <mergeCell ref="DQ299:DR299"/>
    <mergeCell ref="DQ301:DR301"/>
    <mergeCell ref="BQ192:BR192"/>
    <mergeCell ref="BS192:BT192"/>
    <mergeCell ref="BU192:BV192"/>
    <mergeCell ref="BW192:BX192"/>
    <mergeCell ref="BY192:BZ192"/>
    <mergeCell ref="CA192:CB192"/>
    <mergeCell ref="CC192:CD192"/>
    <mergeCell ref="CE192:CF192"/>
    <mergeCell ref="CG192:CH192"/>
    <mergeCell ref="CI192:CJ192"/>
    <mergeCell ref="CK192:CL192"/>
    <mergeCell ref="CM192:CN192"/>
    <mergeCell ref="CO192:CP192"/>
    <mergeCell ref="CQ192:CR192"/>
    <mergeCell ref="CS192:CT192"/>
    <mergeCell ref="CU192:CV192"/>
    <mergeCell ref="CW192:CX192"/>
    <mergeCell ref="CY192:CZ192"/>
    <mergeCell ref="DA192:DB192"/>
    <mergeCell ref="DC192:DD192"/>
    <mergeCell ref="DE192:DF192"/>
    <mergeCell ref="DG192:DH192"/>
    <mergeCell ref="DI192:DJ192"/>
    <mergeCell ref="DK192:DL192"/>
    <mergeCell ref="DM309:DN309"/>
    <mergeCell ref="DO309:DP309"/>
    <mergeCell ref="DQ309:DR309"/>
    <mergeCell ref="CA306:CB306"/>
    <mergeCell ref="CC306:CD306"/>
    <mergeCell ref="CE306:CF306"/>
    <mergeCell ref="CG306:CH306"/>
    <mergeCell ref="CI306:CJ306"/>
    <mergeCell ref="CK306:CL306"/>
    <mergeCell ref="CM306:CN306"/>
    <mergeCell ref="CO306:CP306"/>
    <mergeCell ref="CQ306:CR306"/>
    <mergeCell ref="CS306:CT306"/>
    <mergeCell ref="D190:D196"/>
    <mergeCell ref="E190:E196"/>
    <mergeCell ref="F190:F196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I190:AJ190"/>
    <mergeCell ref="AK190:AL190"/>
    <mergeCell ref="AM190:AN190"/>
    <mergeCell ref="AO190:AP190"/>
    <mergeCell ref="AQ190:AR190"/>
    <mergeCell ref="AS190:AT190"/>
    <mergeCell ref="AU190:AV190"/>
    <mergeCell ref="AW190:AX190"/>
    <mergeCell ref="AY190:AZ190"/>
    <mergeCell ref="BA190:BB190"/>
    <mergeCell ref="BC190:BD190"/>
    <mergeCell ref="BE190:BF190"/>
    <mergeCell ref="BG190:BH190"/>
    <mergeCell ref="BI190:BJ190"/>
    <mergeCell ref="BK190:BL190"/>
    <mergeCell ref="BM190:BN190"/>
    <mergeCell ref="BO190:BP190"/>
    <mergeCell ref="I192:J192"/>
    <mergeCell ref="K192:L192"/>
    <mergeCell ref="M192:N192"/>
    <mergeCell ref="O192:P192"/>
    <mergeCell ref="Q192:R192"/>
    <mergeCell ref="S192:T192"/>
    <mergeCell ref="U192:V192"/>
    <mergeCell ref="EJ190:EJ196"/>
    <mergeCell ref="EK190:EK196"/>
    <mergeCell ref="EL190:EL196"/>
    <mergeCell ref="EM190:EM196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AA191:AB191"/>
    <mergeCell ref="AC191:AD191"/>
    <mergeCell ref="AE191:AF191"/>
    <mergeCell ref="AG191:AH191"/>
    <mergeCell ref="AI191:AJ191"/>
    <mergeCell ref="AK191:AL191"/>
    <mergeCell ref="AM191:AN191"/>
    <mergeCell ref="AO191:AP191"/>
    <mergeCell ref="AQ191:AR191"/>
    <mergeCell ref="AS191:AT191"/>
    <mergeCell ref="AU191:AV191"/>
    <mergeCell ref="AW191:AX191"/>
    <mergeCell ref="AY191:AZ191"/>
    <mergeCell ref="BA191:BB191"/>
    <mergeCell ref="BC191:BD191"/>
    <mergeCell ref="BE191:BF191"/>
    <mergeCell ref="BG191:BH191"/>
    <mergeCell ref="BI191:BJ191"/>
    <mergeCell ref="BK191:BL191"/>
    <mergeCell ref="BM191:BN191"/>
    <mergeCell ref="BO191:BP191"/>
    <mergeCell ref="BQ191:BR191"/>
    <mergeCell ref="BS191:BT191"/>
    <mergeCell ref="BU191:BV191"/>
    <mergeCell ref="BW191:BX191"/>
    <mergeCell ref="BY191:BZ191"/>
    <mergeCell ref="CA191:CB191"/>
    <mergeCell ref="CC191:CD191"/>
    <mergeCell ref="CE191:CF191"/>
    <mergeCell ref="CG191:CH191"/>
    <mergeCell ref="CI191:CJ191"/>
    <mergeCell ref="CK191:CL191"/>
    <mergeCell ref="CM191:CN191"/>
    <mergeCell ref="CO191:CP191"/>
    <mergeCell ref="CQ191:CR191"/>
    <mergeCell ref="CS191:CT191"/>
    <mergeCell ref="CU191:CV191"/>
    <mergeCell ref="CW191:CX191"/>
    <mergeCell ref="CY191:CZ191"/>
    <mergeCell ref="DA191:DB191"/>
    <mergeCell ref="DC191:DD191"/>
    <mergeCell ref="BQ190:BR190"/>
    <mergeCell ref="BS190:BT190"/>
    <mergeCell ref="BU190:BV190"/>
    <mergeCell ref="BW190:BX190"/>
    <mergeCell ref="BY190:BZ190"/>
    <mergeCell ref="CA190:CB190"/>
    <mergeCell ref="CC190:CD190"/>
    <mergeCell ref="CE190:CF190"/>
    <mergeCell ref="CG190:CH190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AW24:AX24"/>
    <mergeCell ref="AY24:AZ24"/>
    <mergeCell ref="BA24:BB24"/>
    <mergeCell ref="BC24:BD24"/>
    <mergeCell ref="BE24:BF24"/>
    <mergeCell ref="BG24:BH24"/>
    <mergeCell ref="BI24:BJ24"/>
    <mergeCell ref="BK24:BL24"/>
    <mergeCell ref="EA190:EA196"/>
    <mergeCell ref="EB190:EB196"/>
    <mergeCell ref="EC190:EC196"/>
    <mergeCell ref="ED190:ED196"/>
    <mergeCell ref="EE190:EE196"/>
    <mergeCell ref="EF190:EF196"/>
    <mergeCell ref="EG190:EG196"/>
    <mergeCell ref="EH190:EH196"/>
    <mergeCell ref="EI190:EI196"/>
    <mergeCell ref="CI190:CJ190"/>
    <mergeCell ref="CK190:CL190"/>
    <mergeCell ref="CM190:CN190"/>
    <mergeCell ref="CO190:CP190"/>
    <mergeCell ref="CQ190:CR190"/>
    <mergeCell ref="CS190:CT190"/>
    <mergeCell ref="CU190:CV190"/>
    <mergeCell ref="CW190:CX190"/>
    <mergeCell ref="CY190:CZ190"/>
    <mergeCell ref="DA190:DB190"/>
    <mergeCell ref="DC190:DD190"/>
    <mergeCell ref="DE190:DF190"/>
    <mergeCell ref="DG190:DH190"/>
    <mergeCell ref="DI190:DJ190"/>
    <mergeCell ref="DK190:DL190"/>
    <mergeCell ref="DM190:DN190"/>
    <mergeCell ref="DO190:DP190"/>
    <mergeCell ref="DQ190:DR190"/>
    <mergeCell ref="DU190:DU196"/>
    <mergeCell ref="DV190:DV196"/>
    <mergeCell ref="DW190:DW196"/>
    <mergeCell ref="DX190:DX196"/>
    <mergeCell ref="DY190:DY196"/>
    <mergeCell ref="DZ190:DZ196"/>
    <mergeCell ref="DE191:DF191"/>
    <mergeCell ref="DG191:DH191"/>
    <mergeCell ref="DI191:DJ191"/>
    <mergeCell ref="DK191:DL191"/>
    <mergeCell ref="DM191:DN191"/>
    <mergeCell ref="DO191:DP191"/>
    <mergeCell ref="DQ191:DR191"/>
    <mergeCell ref="CY24:CZ24"/>
    <mergeCell ref="DA24:DB24"/>
    <mergeCell ref="B30:B33"/>
    <mergeCell ref="C30:C33"/>
    <mergeCell ref="D30:D33"/>
    <mergeCell ref="E30:E33"/>
    <mergeCell ref="F30:F33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BA30:BB30"/>
    <mergeCell ref="BC30:BD30"/>
    <mergeCell ref="BE30:BF30"/>
    <mergeCell ref="BG30:BH30"/>
    <mergeCell ref="BI30:BJ30"/>
    <mergeCell ref="BK30:BL30"/>
    <mergeCell ref="BM30:BN30"/>
    <mergeCell ref="BO30:BP30"/>
    <mergeCell ref="BQ30:BR30"/>
    <mergeCell ref="BS30:BT30"/>
    <mergeCell ref="BU30:BV30"/>
    <mergeCell ref="BW30:BX30"/>
    <mergeCell ref="BY30:BZ30"/>
    <mergeCell ref="CA30:CB30"/>
    <mergeCell ref="CC30:CD30"/>
    <mergeCell ref="CE30:CF30"/>
    <mergeCell ref="CG30:CH30"/>
    <mergeCell ref="CI30:CJ30"/>
    <mergeCell ref="CK30:CL30"/>
    <mergeCell ref="CM30:CN30"/>
    <mergeCell ref="CO30:CP30"/>
    <mergeCell ref="CQ30:CR30"/>
    <mergeCell ref="CS30:CT30"/>
    <mergeCell ref="CU30:CV30"/>
    <mergeCell ref="CW30:CX30"/>
    <mergeCell ref="CY30:CZ30"/>
    <mergeCell ref="B24:B27"/>
    <mergeCell ref="C24:C27"/>
    <mergeCell ref="D24:D27"/>
    <mergeCell ref="E24:E27"/>
    <mergeCell ref="F24:F27"/>
    <mergeCell ref="I24:J24"/>
    <mergeCell ref="K24:L24"/>
    <mergeCell ref="M24:N24"/>
    <mergeCell ref="O24:P24"/>
    <mergeCell ref="B306:B310"/>
    <mergeCell ref="C306:C310"/>
    <mergeCell ref="D306:D310"/>
    <mergeCell ref="E306:E310"/>
    <mergeCell ref="F306:F310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A306:AB306"/>
    <mergeCell ref="AC306:AD306"/>
    <mergeCell ref="AE306:AF306"/>
    <mergeCell ref="AG306:AH306"/>
    <mergeCell ref="AI306:AJ306"/>
    <mergeCell ref="AK306:AL306"/>
    <mergeCell ref="AM306:AN306"/>
    <mergeCell ref="AO306:AP306"/>
    <mergeCell ref="AQ306:AR306"/>
    <mergeCell ref="AS306:AT306"/>
    <mergeCell ref="AU306:AV306"/>
    <mergeCell ref="AW306:AX306"/>
    <mergeCell ref="AY306:AZ306"/>
    <mergeCell ref="BA306:BB306"/>
    <mergeCell ref="BC306:BD306"/>
    <mergeCell ref="BE306:BF306"/>
    <mergeCell ref="BG306:BH306"/>
    <mergeCell ref="BI306:BJ306"/>
    <mergeCell ref="BK306:BL306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I310:AJ310"/>
    <mergeCell ref="AK310:AL310"/>
    <mergeCell ref="AM310:AN310"/>
    <mergeCell ref="AO310:AP310"/>
    <mergeCell ref="AQ310:AR310"/>
    <mergeCell ref="AS310:AT310"/>
    <mergeCell ref="AU310:AV310"/>
    <mergeCell ref="AW310:AX310"/>
    <mergeCell ref="AY310:AZ310"/>
    <mergeCell ref="BA310:BB310"/>
    <mergeCell ref="BC310:BD310"/>
    <mergeCell ref="BE310:BF310"/>
    <mergeCell ref="BG310:BH310"/>
    <mergeCell ref="BI310:BJ310"/>
    <mergeCell ref="BK310:BL310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Z309"/>
    <mergeCell ref="AA309:AB309"/>
    <mergeCell ref="AC309:AD309"/>
    <mergeCell ref="AE309:AF309"/>
    <mergeCell ref="AG309:AH309"/>
    <mergeCell ref="AI309:AJ309"/>
    <mergeCell ref="AK309:AL309"/>
    <mergeCell ref="AM309:AN309"/>
    <mergeCell ref="AO309:AP309"/>
    <mergeCell ref="AQ309:AR309"/>
    <mergeCell ref="AS309:AT309"/>
    <mergeCell ref="AU309:AV309"/>
    <mergeCell ref="AW309:AX309"/>
    <mergeCell ref="AY309:AZ309"/>
    <mergeCell ref="BA309:BB309"/>
    <mergeCell ref="BC309:BD309"/>
    <mergeCell ref="BE309:BF309"/>
    <mergeCell ref="BG309:BH309"/>
    <mergeCell ref="BI309:BJ309"/>
    <mergeCell ref="BK309:BL309"/>
    <mergeCell ref="BM309:BN309"/>
    <mergeCell ref="BO309:BP309"/>
    <mergeCell ref="BQ309:BR309"/>
    <mergeCell ref="BS309:BT309"/>
    <mergeCell ref="BU309:BV309"/>
    <mergeCell ref="BW309:BX309"/>
    <mergeCell ref="BY309:BZ309"/>
    <mergeCell ref="CA309:CB309"/>
    <mergeCell ref="CM310:CN310"/>
    <mergeCell ref="CO310:CP310"/>
    <mergeCell ref="CQ310:CR310"/>
    <mergeCell ref="CS310:CT310"/>
    <mergeCell ref="CU310:CV310"/>
    <mergeCell ref="CW310:CX310"/>
    <mergeCell ref="CY310:CZ310"/>
    <mergeCell ref="DA310:DB310"/>
    <mergeCell ref="DC310:DD310"/>
    <mergeCell ref="DE310:DF310"/>
    <mergeCell ref="DG310:DH310"/>
    <mergeCell ref="DI310:DJ310"/>
    <mergeCell ref="CM309:CN309"/>
    <mergeCell ref="CO309:CP309"/>
    <mergeCell ref="CQ309:CR309"/>
    <mergeCell ref="CS309:CT309"/>
    <mergeCell ref="CU309:CV309"/>
    <mergeCell ref="CW309:CX309"/>
    <mergeCell ref="CY309:CZ309"/>
    <mergeCell ref="DA309:DB309"/>
    <mergeCell ref="DC309:DD309"/>
    <mergeCell ref="DE309:DF309"/>
    <mergeCell ref="DG309:DH309"/>
    <mergeCell ref="DI309:DJ309"/>
    <mergeCell ref="DK309:DL309"/>
    <mergeCell ref="CE309:CF309"/>
    <mergeCell ref="CG309:CH309"/>
    <mergeCell ref="CI309:CJ309"/>
    <mergeCell ref="CK309:CL309"/>
    <mergeCell ref="BM310:BN310"/>
    <mergeCell ref="BO310:BP310"/>
    <mergeCell ref="BQ310:BR310"/>
    <mergeCell ref="BS310:BT310"/>
    <mergeCell ref="BU310:BV310"/>
    <mergeCell ref="B318:B321"/>
    <mergeCell ref="C318:C321"/>
    <mergeCell ref="D318:D321"/>
    <mergeCell ref="E318:E321"/>
    <mergeCell ref="F318:F321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Z318"/>
    <mergeCell ref="AA318:AB318"/>
    <mergeCell ref="AC318:AD318"/>
    <mergeCell ref="AE318:AF318"/>
    <mergeCell ref="AG318:AH318"/>
    <mergeCell ref="AI318:AJ318"/>
    <mergeCell ref="AK318:AL318"/>
    <mergeCell ref="AM318:AN318"/>
    <mergeCell ref="AO318:AP318"/>
    <mergeCell ref="AQ318:AR318"/>
    <mergeCell ref="AS318:AT318"/>
    <mergeCell ref="AU318:AV318"/>
    <mergeCell ref="AW318:AX318"/>
    <mergeCell ref="AY318:AZ318"/>
    <mergeCell ref="BA318:BB318"/>
    <mergeCell ref="BC318:BD318"/>
    <mergeCell ref="BE318:BF318"/>
    <mergeCell ref="BG318:BH318"/>
    <mergeCell ref="BI318:BJ318"/>
    <mergeCell ref="BK318:BL318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Z319"/>
    <mergeCell ref="AA319:AB319"/>
    <mergeCell ref="AC319:AD319"/>
    <mergeCell ref="AE319:AF319"/>
    <mergeCell ref="AG319:AH319"/>
    <mergeCell ref="AI319:AJ319"/>
    <mergeCell ref="AK319:AL319"/>
    <mergeCell ref="AM319:AN319"/>
    <mergeCell ref="AO319:AP319"/>
    <mergeCell ref="AQ319:AR319"/>
    <mergeCell ref="AS319:AT319"/>
    <mergeCell ref="AU319:AV319"/>
    <mergeCell ref="AW319:AX319"/>
    <mergeCell ref="AY319:AZ319"/>
    <mergeCell ref="BA319:BB319"/>
    <mergeCell ref="BC319:BD319"/>
    <mergeCell ref="BE319:BF319"/>
    <mergeCell ref="BG319:BH319"/>
    <mergeCell ref="BK319:BL319"/>
    <mergeCell ref="BM319:BN319"/>
    <mergeCell ref="BO319:BP319"/>
    <mergeCell ref="BQ319:BR319"/>
    <mergeCell ref="BS319:BT319"/>
    <mergeCell ref="BU319:BV319"/>
    <mergeCell ref="CE320:CF320"/>
    <mergeCell ref="CG320:CH320"/>
    <mergeCell ref="CI320:CJ320"/>
    <mergeCell ref="BM318:BN318"/>
    <mergeCell ref="BO318:BP318"/>
    <mergeCell ref="BQ318:BR318"/>
    <mergeCell ref="BS318:BT318"/>
    <mergeCell ref="BU318:BV318"/>
    <mergeCell ref="BW318:BX318"/>
    <mergeCell ref="BY318:BZ318"/>
    <mergeCell ref="CA318:CB318"/>
    <mergeCell ref="CC318:CD318"/>
    <mergeCell ref="CE318:CF318"/>
    <mergeCell ref="CG318:CH318"/>
    <mergeCell ref="CI318:CJ318"/>
    <mergeCell ref="CK318:CL318"/>
    <mergeCell ref="CM318:CN318"/>
    <mergeCell ref="CO318:CP318"/>
    <mergeCell ref="CQ318:CR318"/>
    <mergeCell ref="CS318:CT318"/>
    <mergeCell ref="CU318:CV318"/>
    <mergeCell ref="CW318:CX318"/>
    <mergeCell ref="CY318:CZ318"/>
    <mergeCell ref="DA318:DB318"/>
    <mergeCell ref="DC318:DD318"/>
    <mergeCell ref="DE318:DF318"/>
    <mergeCell ref="DG318:DH318"/>
    <mergeCell ref="BW319:BX319"/>
    <mergeCell ref="CQ321:CR321"/>
    <mergeCell ref="CS321:CT321"/>
    <mergeCell ref="CU321:CV321"/>
    <mergeCell ref="BY319:BZ319"/>
    <mergeCell ref="CA319:CB319"/>
    <mergeCell ref="CC319:CD319"/>
    <mergeCell ref="CE319:CF319"/>
    <mergeCell ref="CG319:CH319"/>
    <mergeCell ref="CI319:CJ319"/>
    <mergeCell ref="CK319:CL319"/>
    <mergeCell ref="CM319:CN319"/>
    <mergeCell ref="CO319:CP319"/>
    <mergeCell ref="CQ319:CR319"/>
    <mergeCell ref="CS319:CT319"/>
    <mergeCell ref="CU319:CV319"/>
    <mergeCell ref="CW319:CX319"/>
    <mergeCell ref="CY319:CZ319"/>
    <mergeCell ref="DA319:DB319"/>
    <mergeCell ref="DC319:DD319"/>
    <mergeCell ref="DE319:DF319"/>
    <mergeCell ref="DG319:DH319"/>
    <mergeCell ref="DI319:DJ319"/>
    <mergeCell ref="DK319:DL319"/>
    <mergeCell ref="DM319:DN319"/>
    <mergeCell ref="DO319:DP319"/>
    <mergeCell ref="DQ319:DR319"/>
    <mergeCell ref="DS319:DT319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Z320"/>
    <mergeCell ref="AA320:AB320"/>
    <mergeCell ref="AC320:AD320"/>
    <mergeCell ref="AE320:AF320"/>
    <mergeCell ref="AG320:AH320"/>
    <mergeCell ref="AI320:AJ320"/>
    <mergeCell ref="AK320:AL320"/>
    <mergeCell ref="AM320:AN320"/>
    <mergeCell ref="AO320:AP320"/>
    <mergeCell ref="AQ320:AR320"/>
    <mergeCell ref="AS320:AT320"/>
    <mergeCell ref="AU320:AV320"/>
    <mergeCell ref="AW320:AX320"/>
    <mergeCell ref="AY320:AZ320"/>
    <mergeCell ref="BA320:BB320"/>
    <mergeCell ref="BC320:BD320"/>
    <mergeCell ref="BE320:BF320"/>
    <mergeCell ref="BG320:BH320"/>
    <mergeCell ref="BI320:BJ320"/>
    <mergeCell ref="BK320:BL320"/>
    <mergeCell ref="BM320:BN320"/>
    <mergeCell ref="BO320:BP320"/>
    <mergeCell ref="BQ320:BR320"/>
    <mergeCell ref="BS320:BT320"/>
    <mergeCell ref="BU320:BV320"/>
    <mergeCell ref="BW320:BX320"/>
    <mergeCell ref="BY320:BZ320"/>
    <mergeCell ref="CA320:CB320"/>
    <mergeCell ref="CC320:CD320"/>
    <mergeCell ref="CW321:CX321"/>
    <mergeCell ref="CY321:CZ321"/>
    <mergeCell ref="DA321:DB321"/>
    <mergeCell ref="DC321:DD321"/>
    <mergeCell ref="DE321:DF321"/>
    <mergeCell ref="DG321:DH321"/>
    <mergeCell ref="DI321:DJ321"/>
    <mergeCell ref="DK321:DL321"/>
    <mergeCell ref="DM321:DN321"/>
    <mergeCell ref="DO321:DP321"/>
    <mergeCell ref="DQ321:DR321"/>
    <mergeCell ref="DS321:DT321"/>
    <mergeCell ref="CK320:CL320"/>
    <mergeCell ref="CM320:CN320"/>
    <mergeCell ref="CO320:CP320"/>
    <mergeCell ref="CQ320:CR320"/>
    <mergeCell ref="CS320:CT320"/>
    <mergeCell ref="CU320:CV320"/>
    <mergeCell ref="CW320:CX320"/>
    <mergeCell ref="CY320:CZ320"/>
    <mergeCell ref="DA320:DB320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Z321"/>
    <mergeCell ref="AA321:AB321"/>
    <mergeCell ref="AC321:AD321"/>
    <mergeCell ref="AE321:AF321"/>
    <mergeCell ref="AG321:AH321"/>
    <mergeCell ref="AI321:AJ321"/>
    <mergeCell ref="AK321:AL321"/>
    <mergeCell ref="AM321:AN321"/>
    <mergeCell ref="AO321:AP321"/>
    <mergeCell ref="AQ321:AR321"/>
    <mergeCell ref="AS321:AT321"/>
    <mergeCell ref="AU321:AV321"/>
    <mergeCell ref="AW321:AX321"/>
    <mergeCell ref="AY321:AZ321"/>
    <mergeCell ref="BA321:BB321"/>
    <mergeCell ref="BC321:BD321"/>
    <mergeCell ref="BE321:BF321"/>
    <mergeCell ref="BG321:BH321"/>
    <mergeCell ref="BI321:BJ321"/>
    <mergeCell ref="BK321:BL321"/>
    <mergeCell ref="BM321:BN321"/>
    <mergeCell ref="BO321:BP321"/>
    <mergeCell ref="BQ321:BR321"/>
    <mergeCell ref="BS321:BT321"/>
    <mergeCell ref="BU321:BV321"/>
    <mergeCell ref="BW321:BX321"/>
    <mergeCell ref="BY321:BZ321"/>
    <mergeCell ref="CA321:CB321"/>
    <mergeCell ref="CC321:CD321"/>
    <mergeCell ref="CE321:CF321"/>
    <mergeCell ref="CG321:CH321"/>
    <mergeCell ref="CI321:CJ321"/>
    <mergeCell ref="CK321:CL321"/>
    <mergeCell ref="CM321:CN321"/>
    <mergeCell ref="CO321:CP321"/>
    <mergeCell ref="EN148:EO148"/>
    <mergeCell ref="EN2:EO2"/>
    <mergeCell ref="EN3:EO3"/>
    <mergeCell ref="EN4:EO4"/>
    <mergeCell ref="EN5:EO5"/>
    <mergeCell ref="EN7:EO7"/>
    <mergeCell ref="EN9:EO9"/>
    <mergeCell ref="EN10:EO10"/>
    <mergeCell ref="EN11:EO11"/>
    <mergeCell ref="EN16:EO16"/>
    <mergeCell ref="EN37:EO37"/>
    <mergeCell ref="EN43:EO43"/>
    <mergeCell ref="EN44:EO44"/>
    <mergeCell ref="EN45:EO45"/>
    <mergeCell ref="EN46:EO46"/>
    <mergeCell ref="EN47:EO47"/>
    <mergeCell ref="EN48:EO48"/>
    <mergeCell ref="EN50:EO50"/>
    <mergeCell ref="EN51:EO51"/>
    <mergeCell ref="EN52:EO52"/>
    <mergeCell ref="EN53:EO53"/>
    <mergeCell ref="EN61:EO61"/>
    <mergeCell ref="EN62:EO62"/>
    <mergeCell ref="EN63:EO63"/>
    <mergeCell ref="EN64:EO64"/>
    <mergeCell ref="EN65:EO65"/>
    <mergeCell ref="EN67:EO67"/>
    <mergeCell ref="EN68:EO68"/>
    <mergeCell ref="EN69:EO69"/>
    <mergeCell ref="EN70:EO70"/>
    <mergeCell ref="EN71:EO71"/>
    <mergeCell ref="EN72:EO72"/>
    <mergeCell ref="EN73:EO73"/>
    <mergeCell ref="EN74:EO74"/>
    <mergeCell ref="EN149:EO149"/>
    <mergeCell ref="EN151:EO151"/>
    <mergeCell ref="EN153:EO153"/>
    <mergeCell ref="EN154:EO154"/>
    <mergeCell ref="EN155:EO155"/>
    <mergeCell ref="EN157:EO157"/>
    <mergeCell ref="EN159:EO159"/>
    <mergeCell ref="EN160:EO160"/>
    <mergeCell ref="EN161:EO161"/>
    <mergeCell ref="EN163:EO163"/>
    <mergeCell ref="EN165:EO165"/>
    <mergeCell ref="EN166:EO166"/>
    <mergeCell ref="EN167:EO167"/>
    <mergeCell ref="EN168:EO168"/>
    <mergeCell ref="EN172:EO172"/>
    <mergeCell ref="EN176:EO176"/>
    <mergeCell ref="EN177:EO177"/>
    <mergeCell ref="EN178:EO178"/>
    <mergeCell ref="EN179:EO179"/>
    <mergeCell ref="EN181:EO181"/>
    <mergeCell ref="EN182:EO182"/>
    <mergeCell ref="EN183:EO183"/>
    <mergeCell ref="EN190:EO190"/>
    <mergeCell ref="EN191:EO191"/>
    <mergeCell ref="EN192:EO192"/>
    <mergeCell ref="EN198:EO198"/>
    <mergeCell ref="EN199:EO199"/>
    <mergeCell ref="EN200:EO200"/>
    <mergeCell ref="EN206:EO206"/>
    <mergeCell ref="EN207:EO207"/>
    <mergeCell ref="EN208:EO208"/>
    <mergeCell ref="EN211:EO211"/>
    <mergeCell ref="EN94:EO94"/>
    <mergeCell ref="EN95:EO95"/>
    <mergeCell ref="EN96:EO96"/>
    <mergeCell ref="EN97:EO97"/>
    <mergeCell ref="EN99:EO99"/>
    <mergeCell ref="EN100:EO100"/>
    <mergeCell ref="EN101:EO101"/>
    <mergeCell ref="EN102:EO102"/>
    <mergeCell ref="EN103:EO103"/>
    <mergeCell ref="EN105:EO105"/>
    <mergeCell ref="EN106:EO106"/>
    <mergeCell ref="EN107:EO107"/>
    <mergeCell ref="EN108:EO108"/>
    <mergeCell ref="EN109:EO109"/>
    <mergeCell ref="EN110:EO110"/>
    <mergeCell ref="EN111:EO111"/>
    <mergeCell ref="EN113:EO113"/>
    <mergeCell ref="EN114:EO114"/>
    <mergeCell ref="EN122:EO122"/>
    <mergeCell ref="EN124:EO124"/>
    <mergeCell ref="EN125:EO125"/>
    <mergeCell ref="EN133:EO133"/>
    <mergeCell ref="EN135:EO135"/>
    <mergeCell ref="EN136:EO136"/>
    <mergeCell ref="EN137:EO137"/>
    <mergeCell ref="EN138:EO138"/>
    <mergeCell ref="EN140:EO140"/>
    <mergeCell ref="EN141:EO141"/>
    <mergeCell ref="EN142:EO142"/>
    <mergeCell ref="EN144:EO144"/>
    <mergeCell ref="EN145:EO145"/>
    <mergeCell ref="EN147:EO147"/>
    <mergeCell ref="EN309:EO309"/>
    <mergeCell ref="EN310:EO310"/>
    <mergeCell ref="EN212:EO212"/>
    <mergeCell ref="EN213:EO213"/>
    <mergeCell ref="EN214:EO214"/>
    <mergeCell ref="EN221:EO221"/>
    <mergeCell ref="EN222:EO222"/>
    <mergeCell ref="EN223:EO223"/>
    <mergeCell ref="EN224:EO224"/>
    <mergeCell ref="EN225:EO225"/>
    <mergeCell ref="EN226:EO226"/>
    <mergeCell ref="EN227:EO227"/>
    <mergeCell ref="EN228:EO228"/>
    <mergeCell ref="EN229:EO229"/>
    <mergeCell ref="EN230:EO230"/>
    <mergeCell ref="EN231:EO231"/>
    <mergeCell ref="EN232:EO232"/>
    <mergeCell ref="EN234:EO234"/>
    <mergeCell ref="EN235:EO235"/>
    <mergeCell ref="EN236:EO236"/>
    <mergeCell ref="EN237:EO237"/>
    <mergeCell ref="EN238:EO238"/>
    <mergeCell ref="EN239:EO239"/>
    <mergeCell ref="EN240:EO240"/>
    <mergeCell ref="EN241:EO241"/>
    <mergeCell ref="EN242:EO242"/>
    <mergeCell ref="EN243:EO243"/>
    <mergeCell ref="EN244:EO244"/>
    <mergeCell ref="EN246:EO246"/>
    <mergeCell ref="EN247:EO247"/>
    <mergeCell ref="EN248:EO248"/>
    <mergeCell ref="EN249:EO249"/>
    <mergeCell ref="EN250:EO250"/>
    <mergeCell ref="EN251:EO251"/>
    <mergeCell ref="EN252:EO252"/>
    <mergeCell ref="EP212:EQ212"/>
    <mergeCell ref="EP213:EQ213"/>
    <mergeCell ref="EP214:EQ214"/>
    <mergeCell ref="EP221:EQ221"/>
    <mergeCell ref="EP222:EQ222"/>
    <mergeCell ref="EP223:EQ223"/>
    <mergeCell ref="EP224:EQ224"/>
    <mergeCell ref="EP225:EQ225"/>
    <mergeCell ref="EP226:EQ226"/>
    <mergeCell ref="EP227:EQ227"/>
    <mergeCell ref="EP228:EQ228"/>
    <mergeCell ref="EP229:EQ229"/>
    <mergeCell ref="EP230:EQ230"/>
    <mergeCell ref="EP231:EQ231"/>
    <mergeCell ref="EP232:EQ232"/>
    <mergeCell ref="EN357:EO357"/>
    <mergeCell ref="EN359:EO359"/>
    <mergeCell ref="EN360:EO360"/>
    <mergeCell ref="EN362:EO362"/>
    <mergeCell ref="EN363:EO363"/>
    <mergeCell ref="EN364:EO364"/>
    <mergeCell ref="EP234:EQ234"/>
    <mergeCell ref="EP235:EQ235"/>
    <mergeCell ref="EP236:EQ236"/>
    <mergeCell ref="EP237:EQ237"/>
    <mergeCell ref="EP238:EQ238"/>
    <mergeCell ref="EP239:EQ239"/>
    <mergeCell ref="EP240:EQ240"/>
    <mergeCell ref="EP241:EQ241"/>
    <mergeCell ref="EP242:EQ242"/>
    <mergeCell ref="EP243:EQ243"/>
    <mergeCell ref="EP244:EQ244"/>
    <mergeCell ref="EP246:EQ246"/>
    <mergeCell ref="EP247:EQ247"/>
    <mergeCell ref="EP248:EQ248"/>
    <mergeCell ref="EP249:EQ249"/>
    <mergeCell ref="EP250:EQ250"/>
    <mergeCell ref="EP251:EQ251"/>
    <mergeCell ref="EP252:EQ252"/>
    <mergeCell ref="EP254:EQ254"/>
    <mergeCell ref="EP255:EQ255"/>
    <mergeCell ref="EP256:EQ256"/>
    <mergeCell ref="EP257:EQ257"/>
    <mergeCell ref="EP259:EQ259"/>
    <mergeCell ref="EP261:EQ261"/>
    <mergeCell ref="EP262:EQ262"/>
    <mergeCell ref="EP263:EQ263"/>
    <mergeCell ref="EP265:EQ265"/>
    <mergeCell ref="EP268:EQ268"/>
    <mergeCell ref="EP269:EQ269"/>
    <mergeCell ref="EP270:EQ270"/>
    <mergeCell ref="EP271:EQ271"/>
    <mergeCell ref="EP277:EQ277"/>
    <mergeCell ref="EP278:EQ278"/>
    <mergeCell ref="EP279:EQ279"/>
    <mergeCell ref="EP288:EQ288"/>
    <mergeCell ref="EP291:EQ291"/>
    <mergeCell ref="EP292:EQ292"/>
    <mergeCell ref="EP293:EQ293"/>
    <mergeCell ref="EP294:EQ294"/>
    <mergeCell ref="EP295:EQ295"/>
    <mergeCell ref="EP296:EQ296"/>
    <mergeCell ref="EP297:EQ297"/>
    <mergeCell ref="EP298:EQ298"/>
    <mergeCell ref="EN365:EO365"/>
    <mergeCell ref="EN366:EO366"/>
    <mergeCell ref="EN367:EO367"/>
    <mergeCell ref="EN369:EO369"/>
    <mergeCell ref="EN370:EO370"/>
    <mergeCell ref="EN371:EO371"/>
    <mergeCell ref="EN372:EO372"/>
    <mergeCell ref="EN374:EO374"/>
    <mergeCell ref="EN375:EO375"/>
    <mergeCell ref="EN376:EO376"/>
    <mergeCell ref="EN378:EO378"/>
    <mergeCell ref="EN379:EO379"/>
    <mergeCell ref="EN380:EO380"/>
    <mergeCell ref="EN387:EO387"/>
    <mergeCell ref="EN388:EO388"/>
    <mergeCell ref="EN389:EO389"/>
    <mergeCell ref="EN396:EO396"/>
    <mergeCell ref="EN397:EO397"/>
    <mergeCell ref="EN398:EO398"/>
    <mergeCell ref="EN399:EO399"/>
    <mergeCell ref="EN313:EO313"/>
    <mergeCell ref="EN314:EO314"/>
    <mergeCell ref="EN315:EO315"/>
    <mergeCell ref="EN316:EO316"/>
    <mergeCell ref="EN318:EO318"/>
    <mergeCell ref="EN319:EO319"/>
    <mergeCell ref="EN321:EO321"/>
    <mergeCell ref="EN323:EO323"/>
    <mergeCell ref="EN324:EO324"/>
    <mergeCell ref="EN325:EO325"/>
    <mergeCell ref="EN326:EO326"/>
    <mergeCell ref="EN327:EO327"/>
    <mergeCell ref="EN329:EO329"/>
    <mergeCell ref="EN330:EO330"/>
    <mergeCell ref="EN331:EO331"/>
    <mergeCell ref="EN332:EO332"/>
    <mergeCell ref="EN334:EO334"/>
    <mergeCell ref="EN335:EO335"/>
    <mergeCell ref="EN336:EO336"/>
    <mergeCell ref="EN338:EO338"/>
    <mergeCell ref="EN339:EO339"/>
    <mergeCell ref="EN341:EO341"/>
    <mergeCell ref="EN342:EO342"/>
    <mergeCell ref="EN343:EO343"/>
    <mergeCell ref="EN345:EO345"/>
    <mergeCell ref="EN346:EO346"/>
    <mergeCell ref="EN348:EO348"/>
    <mergeCell ref="EN349:EO349"/>
    <mergeCell ref="EN350:EO350"/>
    <mergeCell ref="EN352:EO352"/>
    <mergeCell ref="EN353:EO353"/>
    <mergeCell ref="EN355:EO355"/>
    <mergeCell ref="EN356:EO356"/>
    <mergeCell ref="EN169:EO169"/>
    <mergeCell ref="FS9:FS14"/>
    <mergeCell ref="FS16:FS22"/>
    <mergeCell ref="FS37:FS41"/>
    <mergeCell ref="FS43:FS54"/>
    <mergeCell ref="FS61:FS65"/>
    <mergeCell ref="FS94:FS97"/>
    <mergeCell ref="FS99:FS103"/>
    <mergeCell ref="FS105:FS109"/>
    <mergeCell ref="FS113:FS120"/>
    <mergeCell ref="FS124:FS131"/>
    <mergeCell ref="FS135:FS138"/>
    <mergeCell ref="FS140:FS145"/>
    <mergeCell ref="FS147:FS151"/>
    <mergeCell ref="FS153:FS157"/>
    <mergeCell ref="FS159:FS163"/>
    <mergeCell ref="FS165:FS169"/>
    <mergeCell ref="FS171:FS179"/>
    <mergeCell ref="FS181:FS187"/>
    <mergeCell ref="FS190:FS196"/>
    <mergeCell ref="FS198:FS204"/>
    <mergeCell ref="FS208:FS209"/>
    <mergeCell ref="FS265:FS266"/>
    <mergeCell ref="FS268:FS275"/>
    <mergeCell ref="FS323:FS327"/>
    <mergeCell ref="FS329:FS332"/>
    <mergeCell ref="FS334:FS338"/>
    <mergeCell ref="FS341:FS346"/>
    <mergeCell ref="FS348:FS353"/>
    <mergeCell ref="FS355:FS360"/>
    <mergeCell ref="FS362:FS367"/>
    <mergeCell ref="FS369:FS372"/>
    <mergeCell ref="FS374:FS376"/>
    <mergeCell ref="EN254:EO254"/>
    <mergeCell ref="EN255:EO255"/>
    <mergeCell ref="EN256:EO256"/>
    <mergeCell ref="EN257:EO257"/>
    <mergeCell ref="EN259:EO259"/>
    <mergeCell ref="EN261:EO261"/>
    <mergeCell ref="EN262:EO262"/>
    <mergeCell ref="EN263:EO263"/>
    <mergeCell ref="EN265:EO265"/>
    <mergeCell ref="EN268:EO268"/>
    <mergeCell ref="EN269:EO269"/>
    <mergeCell ref="EN270:EO270"/>
    <mergeCell ref="EN271:EO271"/>
    <mergeCell ref="EN277:EO277"/>
    <mergeCell ref="EN278:EO278"/>
    <mergeCell ref="EN279:EO279"/>
    <mergeCell ref="EN288:EO288"/>
    <mergeCell ref="EN291:EO291"/>
    <mergeCell ref="EN292:EO292"/>
    <mergeCell ref="EN293:EO293"/>
    <mergeCell ref="EN294:EO294"/>
    <mergeCell ref="EN295:EO295"/>
    <mergeCell ref="EN296:EO296"/>
    <mergeCell ref="EN297:EO297"/>
    <mergeCell ref="EN298:EO298"/>
    <mergeCell ref="EN299:EO299"/>
    <mergeCell ref="EN301:EO301"/>
    <mergeCell ref="EN302:EO302"/>
    <mergeCell ref="EN303:EO303"/>
    <mergeCell ref="EN304:EO304"/>
    <mergeCell ref="EN306:EO306"/>
    <mergeCell ref="EP2:EQ2"/>
    <mergeCell ref="EP3:EQ3"/>
    <mergeCell ref="EP4:EQ4"/>
    <mergeCell ref="EP5:EQ5"/>
    <mergeCell ref="EP7:EQ7"/>
    <mergeCell ref="EP9:EQ9"/>
    <mergeCell ref="EP10:EQ10"/>
    <mergeCell ref="EP11:EQ11"/>
    <mergeCell ref="EP16:EQ16"/>
    <mergeCell ref="EP37:EQ37"/>
    <mergeCell ref="EP43:EQ43"/>
    <mergeCell ref="EP44:EQ44"/>
    <mergeCell ref="EP45:EQ45"/>
    <mergeCell ref="EP46:EQ46"/>
    <mergeCell ref="EP47:EQ47"/>
    <mergeCell ref="EP48:EQ48"/>
    <mergeCell ref="EP50:EQ50"/>
    <mergeCell ref="EP51:EQ51"/>
    <mergeCell ref="EP52:EQ52"/>
    <mergeCell ref="EP53:EQ53"/>
    <mergeCell ref="EP61:EQ61"/>
    <mergeCell ref="EP62:EQ62"/>
    <mergeCell ref="EP63:EQ63"/>
    <mergeCell ref="EP64:EQ64"/>
    <mergeCell ref="EP65:EQ65"/>
    <mergeCell ref="EP67:EQ67"/>
    <mergeCell ref="EP68:EQ68"/>
    <mergeCell ref="EP69:EQ69"/>
    <mergeCell ref="EP70:EQ70"/>
    <mergeCell ref="EP71:EQ71"/>
    <mergeCell ref="EP72:EQ72"/>
    <mergeCell ref="EP73:EQ73"/>
    <mergeCell ref="EP74:EQ74"/>
    <mergeCell ref="EP94:EQ94"/>
    <mergeCell ref="EP95:EQ95"/>
    <mergeCell ref="EP96:EQ96"/>
    <mergeCell ref="EP97:EQ97"/>
    <mergeCell ref="EP99:EQ99"/>
    <mergeCell ref="EP100:EQ100"/>
    <mergeCell ref="EP101:EQ101"/>
    <mergeCell ref="EP102:EQ102"/>
    <mergeCell ref="EP103:EQ103"/>
    <mergeCell ref="EP105:EQ105"/>
    <mergeCell ref="EP106:EQ106"/>
    <mergeCell ref="EP107:EQ107"/>
    <mergeCell ref="EP108:EQ108"/>
    <mergeCell ref="EP109:EQ109"/>
    <mergeCell ref="EP110:EQ110"/>
    <mergeCell ref="EP111:EQ111"/>
    <mergeCell ref="EP113:EQ113"/>
    <mergeCell ref="EP114:EQ114"/>
    <mergeCell ref="EP122:EQ122"/>
    <mergeCell ref="EP124:EQ124"/>
    <mergeCell ref="EP125:EQ125"/>
    <mergeCell ref="EP133:EQ133"/>
    <mergeCell ref="EP135:EQ135"/>
    <mergeCell ref="EP136:EQ136"/>
    <mergeCell ref="EP137:EQ137"/>
    <mergeCell ref="EP138:EQ138"/>
    <mergeCell ref="EP140:EQ140"/>
    <mergeCell ref="EP141:EQ141"/>
    <mergeCell ref="EP142:EQ142"/>
    <mergeCell ref="EP144:EQ144"/>
    <mergeCell ref="EP145:EQ145"/>
    <mergeCell ref="EP147:EQ147"/>
    <mergeCell ref="EP148:EQ148"/>
    <mergeCell ref="EP149:EQ149"/>
    <mergeCell ref="EP151:EQ151"/>
    <mergeCell ref="EP153:EQ153"/>
    <mergeCell ref="EP154:EQ154"/>
    <mergeCell ref="EP155:EQ155"/>
    <mergeCell ref="EP157:EQ157"/>
    <mergeCell ref="EP159:EQ159"/>
    <mergeCell ref="EP160:EQ160"/>
    <mergeCell ref="EP161:EQ161"/>
    <mergeCell ref="EP163:EQ163"/>
    <mergeCell ref="EP165:EQ165"/>
    <mergeCell ref="EP166:EQ166"/>
    <mergeCell ref="EP167:EQ167"/>
    <mergeCell ref="EP168:EQ168"/>
    <mergeCell ref="EP169:EQ169"/>
    <mergeCell ref="EP172:EQ172"/>
    <mergeCell ref="EP176:EQ176"/>
    <mergeCell ref="EP177:EQ177"/>
    <mergeCell ref="EP178:EQ178"/>
    <mergeCell ref="EP179:EQ179"/>
    <mergeCell ref="EP181:EQ181"/>
    <mergeCell ref="EP182:EQ182"/>
    <mergeCell ref="EP183:EQ183"/>
    <mergeCell ref="EP190:EQ190"/>
    <mergeCell ref="EP191:EQ191"/>
    <mergeCell ref="EP192:EQ192"/>
    <mergeCell ref="EP198:EQ198"/>
    <mergeCell ref="EP199:EQ199"/>
    <mergeCell ref="EP200:EQ200"/>
    <mergeCell ref="EP206:EQ206"/>
    <mergeCell ref="EP207:EQ207"/>
    <mergeCell ref="EP208:EQ208"/>
    <mergeCell ref="EP211:EQ211"/>
    <mergeCell ref="EP299:EQ299"/>
    <mergeCell ref="EP301:EQ301"/>
    <mergeCell ref="EP302:EQ302"/>
    <mergeCell ref="EP303:EQ303"/>
    <mergeCell ref="EP304:EQ304"/>
    <mergeCell ref="EP306:EQ306"/>
    <mergeCell ref="EP309:EQ309"/>
    <mergeCell ref="EP310:EQ310"/>
    <mergeCell ref="EP359:EQ359"/>
    <mergeCell ref="EP360:EQ360"/>
    <mergeCell ref="EP362:EQ362"/>
    <mergeCell ref="EP363:EQ363"/>
    <mergeCell ref="EP364:EQ364"/>
    <mergeCell ref="EP365:EQ365"/>
    <mergeCell ref="EP366:EQ366"/>
    <mergeCell ref="EP367:EQ367"/>
    <mergeCell ref="EP369:EQ369"/>
    <mergeCell ref="EP370:EQ370"/>
    <mergeCell ref="EP371:EQ371"/>
    <mergeCell ref="EP372:EQ372"/>
    <mergeCell ref="EP374:EQ374"/>
    <mergeCell ref="EP375:EQ375"/>
    <mergeCell ref="EP376:EQ376"/>
    <mergeCell ref="EP313:EQ313"/>
    <mergeCell ref="EP378:EQ378"/>
    <mergeCell ref="EP379:EQ379"/>
    <mergeCell ref="EP380:EQ380"/>
    <mergeCell ref="EP387:EQ387"/>
    <mergeCell ref="EP388:EQ388"/>
    <mergeCell ref="EP389:EQ389"/>
    <mergeCell ref="EP396:EQ396"/>
    <mergeCell ref="EP397:EQ397"/>
    <mergeCell ref="EP398:EQ398"/>
    <mergeCell ref="EP399:EQ399"/>
    <mergeCell ref="EP314:EQ314"/>
    <mergeCell ref="EP315:EQ315"/>
    <mergeCell ref="EP316:EQ316"/>
    <mergeCell ref="EP318:EQ318"/>
    <mergeCell ref="EP319:EQ319"/>
    <mergeCell ref="EP321:EQ321"/>
    <mergeCell ref="EP323:EQ323"/>
    <mergeCell ref="EP324:EQ324"/>
    <mergeCell ref="EP325:EQ325"/>
    <mergeCell ref="EP326:EQ326"/>
    <mergeCell ref="EP327:EQ327"/>
    <mergeCell ref="EP329:EQ329"/>
    <mergeCell ref="EP330:EQ330"/>
    <mergeCell ref="EP331:EQ331"/>
    <mergeCell ref="EP332:EQ332"/>
    <mergeCell ref="EP334:EQ334"/>
    <mergeCell ref="EP335:EQ335"/>
    <mergeCell ref="EP336:EQ336"/>
    <mergeCell ref="EP338:EQ338"/>
    <mergeCell ref="EP339:EQ339"/>
    <mergeCell ref="EP341:EQ341"/>
    <mergeCell ref="EP342:EQ342"/>
    <mergeCell ref="EP343:EQ343"/>
    <mergeCell ref="EP345:EQ345"/>
    <mergeCell ref="EP346:EQ346"/>
    <mergeCell ref="EP348:EQ348"/>
    <mergeCell ref="EP349:EQ349"/>
    <mergeCell ref="EP350:EQ350"/>
    <mergeCell ref="EP352:EQ352"/>
    <mergeCell ref="EP353:EQ353"/>
    <mergeCell ref="EP355:EQ355"/>
    <mergeCell ref="EP356:EQ356"/>
    <mergeCell ref="EP357:EQ357"/>
    <mergeCell ref="ET2:EU2"/>
    <mergeCell ref="ET3:EU3"/>
    <mergeCell ref="ET4:EU4"/>
    <mergeCell ref="ET5:EU5"/>
    <mergeCell ref="ET7:EU7"/>
    <mergeCell ref="ET9:EU9"/>
    <mergeCell ref="ET10:EU10"/>
    <mergeCell ref="ET11:EU11"/>
    <mergeCell ref="ET16:EU16"/>
    <mergeCell ref="ET37:EU37"/>
    <mergeCell ref="ET43:EU43"/>
    <mergeCell ref="ET44:EU44"/>
    <mergeCell ref="ET45:EU45"/>
    <mergeCell ref="ET46:EU46"/>
    <mergeCell ref="ET47:EU47"/>
    <mergeCell ref="ET48:EU48"/>
    <mergeCell ref="ET50:EU50"/>
    <mergeCell ref="ET51:EU51"/>
    <mergeCell ref="ET52:EU52"/>
    <mergeCell ref="ET53:EU53"/>
    <mergeCell ref="ET61:EU61"/>
    <mergeCell ref="ET62:EU62"/>
    <mergeCell ref="ET63:EU63"/>
    <mergeCell ref="ET64:EU64"/>
    <mergeCell ref="ET65:EU65"/>
    <mergeCell ref="ET67:EU67"/>
    <mergeCell ref="ET68:EU68"/>
    <mergeCell ref="ET69:EU69"/>
    <mergeCell ref="ET70:EU70"/>
    <mergeCell ref="ET71:EU71"/>
    <mergeCell ref="ET72:EU72"/>
    <mergeCell ref="ET73:EU73"/>
    <mergeCell ref="ET74:EU74"/>
    <mergeCell ref="ET94:EU94"/>
    <mergeCell ref="ET95:EU95"/>
    <mergeCell ref="ET96:EU96"/>
    <mergeCell ref="ET97:EU97"/>
    <mergeCell ref="ET99:EU99"/>
    <mergeCell ref="ET100:EU100"/>
    <mergeCell ref="ET101:EU101"/>
    <mergeCell ref="ET102:EU102"/>
    <mergeCell ref="ET103:EU103"/>
    <mergeCell ref="ET105:EU105"/>
    <mergeCell ref="ET106:EU106"/>
    <mergeCell ref="ET107:EU107"/>
    <mergeCell ref="ET108:EU108"/>
    <mergeCell ref="ET109:EU109"/>
    <mergeCell ref="ET110:EU110"/>
    <mergeCell ref="ET111:EU111"/>
    <mergeCell ref="ET113:EU113"/>
    <mergeCell ref="ET114:EU114"/>
    <mergeCell ref="ET122:EU122"/>
    <mergeCell ref="ET124:EU124"/>
    <mergeCell ref="ET125:EU125"/>
    <mergeCell ref="ET133:EU133"/>
    <mergeCell ref="ET135:EU135"/>
    <mergeCell ref="ET136:EU136"/>
    <mergeCell ref="ET137:EU137"/>
    <mergeCell ref="ET138:EU138"/>
    <mergeCell ref="ET140:EU140"/>
    <mergeCell ref="ET141:EU141"/>
    <mergeCell ref="ET142:EU142"/>
    <mergeCell ref="ET144:EU144"/>
    <mergeCell ref="ET145:EU145"/>
    <mergeCell ref="ET147:EU147"/>
    <mergeCell ref="ET148:EU148"/>
    <mergeCell ref="ET149:EU149"/>
    <mergeCell ref="ET151:EU151"/>
    <mergeCell ref="ET153:EU153"/>
    <mergeCell ref="ET154:EU154"/>
    <mergeCell ref="ET155:EU155"/>
    <mergeCell ref="ET157:EU157"/>
    <mergeCell ref="ET159:EU159"/>
    <mergeCell ref="ET160:EU160"/>
    <mergeCell ref="ET161:EU161"/>
    <mergeCell ref="ET163:EU163"/>
    <mergeCell ref="ET165:EU165"/>
    <mergeCell ref="ET166:EU166"/>
    <mergeCell ref="ET167:EU167"/>
    <mergeCell ref="ET168:EU168"/>
    <mergeCell ref="ET169:EU169"/>
    <mergeCell ref="ET172:EU172"/>
    <mergeCell ref="ET176:EU176"/>
    <mergeCell ref="ET177:EU177"/>
    <mergeCell ref="ET178:EU178"/>
    <mergeCell ref="ET179:EU179"/>
    <mergeCell ref="ET181:EU181"/>
    <mergeCell ref="ET182:EU182"/>
    <mergeCell ref="ET183:EU183"/>
    <mergeCell ref="ET190:EU190"/>
    <mergeCell ref="ET191:EU191"/>
    <mergeCell ref="ET192:EU192"/>
    <mergeCell ref="ET198:EU198"/>
    <mergeCell ref="ET199:EU199"/>
    <mergeCell ref="ET200:EU200"/>
    <mergeCell ref="ET206:EU206"/>
    <mergeCell ref="ET207:EU207"/>
    <mergeCell ref="ET208:EU208"/>
    <mergeCell ref="ET211:EU211"/>
    <mergeCell ref="ET310:EU310"/>
    <mergeCell ref="ET212:EU212"/>
    <mergeCell ref="ET213:EU213"/>
    <mergeCell ref="ET214:EU214"/>
    <mergeCell ref="ET221:EU221"/>
    <mergeCell ref="ET222:EU222"/>
    <mergeCell ref="ET223:EU223"/>
    <mergeCell ref="ET224:EU224"/>
    <mergeCell ref="ET225:EU225"/>
    <mergeCell ref="ET226:EU226"/>
    <mergeCell ref="ET227:EU227"/>
    <mergeCell ref="ET228:EU228"/>
    <mergeCell ref="ET229:EU229"/>
    <mergeCell ref="ET230:EU230"/>
    <mergeCell ref="ET231:EU231"/>
    <mergeCell ref="ET232:EU232"/>
    <mergeCell ref="ET234:EU234"/>
    <mergeCell ref="ET235:EU235"/>
    <mergeCell ref="ET236:EU236"/>
    <mergeCell ref="ET237:EU237"/>
    <mergeCell ref="ET238:EU238"/>
    <mergeCell ref="ET239:EU239"/>
    <mergeCell ref="ET240:EU240"/>
    <mergeCell ref="ET241:EU241"/>
    <mergeCell ref="ET242:EU242"/>
    <mergeCell ref="ET243:EU243"/>
    <mergeCell ref="ET244:EU244"/>
    <mergeCell ref="ET246:EU246"/>
    <mergeCell ref="ET247:EU247"/>
    <mergeCell ref="ET248:EU248"/>
    <mergeCell ref="ET249:EU249"/>
    <mergeCell ref="ET250:EU250"/>
    <mergeCell ref="ET251:EU251"/>
    <mergeCell ref="ET252:EU252"/>
    <mergeCell ref="ET307:EU307"/>
    <mergeCell ref="ET314:EU314"/>
    <mergeCell ref="ET315:EU315"/>
    <mergeCell ref="ET316:EU316"/>
    <mergeCell ref="ET318:EU318"/>
    <mergeCell ref="ET319:EU319"/>
    <mergeCell ref="ET321:EU321"/>
    <mergeCell ref="ET323:EU323"/>
    <mergeCell ref="ET324:EU324"/>
    <mergeCell ref="ET325:EU325"/>
    <mergeCell ref="ET326:EU326"/>
    <mergeCell ref="ET327:EU327"/>
    <mergeCell ref="ET329:EU329"/>
    <mergeCell ref="ET330:EU330"/>
    <mergeCell ref="ET331:EU331"/>
    <mergeCell ref="ET332:EU332"/>
    <mergeCell ref="ET334:EU334"/>
    <mergeCell ref="ET335:EU335"/>
    <mergeCell ref="ET336:EU336"/>
    <mergeCell ref="ET338:EU338"/>
    <mergeCell ref="ET339:EU339"/>
    <mergeCell ref="ET341:EU341"/>
    <mergeCell ref="ET342:EU342"/>
    <mergeCell ref="ET343:EU343"/>
    <mergeCell ref="ET345:EU345"/>
    <mergeCell ref="ET346:EU346"/>
    <mergeCell ref="ET348:EU348"/>
    <mergeCell ref="ET349:EU349"/>
    <mergeCell ref="ET350:EU350"/>
    <mergeCell ref="ET352:EU352"/>
    <mergeCell ref="ET353:EU353"/>
    <mergeCell ref="ET355:EU355"/>
    <mergeCell ref="ET356:EU356"/>
    <mergeCell ref="ET254:EU254"/>
    <mergeCell ref="ET255:EU255"/>
    <mergeCell ref="ET256:EU256"/>
    <mergeCell ref="ET257:EU257"/>
    <mergeCell ref="ET259:EU259"/>
    <mergeCell ref="ET261:EU261"/>
    <mergeCell ref="ET262:EU262"/>
    <mergeCell ref="ET263:EU263"/>
    <mergeCell ref="ET265:EU265"/>
    <mergeCell ref="ET268:EU268"/>
    <mergeCell ref="ET269:EU269"/>
    <mergeCell ref="ET270:EU270"/>
    <mergeCell ref="ET271:EU271"/>
    <mergeCell ref="ET277:EU277"/>
    <mergeCell ref="ET278:EU278"/>
    <mergeCell ref="ET279:EU279"/>
    <mergeCell ref="ET288:EU288"/>
    <mergeCell ref="ET291:EU291"/>
    <mergeCell ref="ET292:EU292"/>
    <mergeCell ref="ET293:EU293"/>
    <mergeCell ref="ET294:EU294"/>
    <mergeCell ref="ET295:EU295"/>
    <mergeCell ref="ET296:EU296"/>
    <mergeCell ref="ET297:EU297"/>
    <mergeCell ref="ET298:EU298"/>
    <mergeCell ref="ET299:EU299"/>
    <mergeCell ref="ET301:EU301"/>
    <mergeCell ref="ET302:EU302"/>
    <mergeCell ref="ET303:EU303"/>
    <mergeCell ref="ET304:EU304"/>
    <mergeCell ref="ET306:EU306"/>
    <mergeCell ref="ET309:EU309"/>
    <mergeCell ref="FT265:FT266"/>
    <mergeCell ref="FT268:FT275"/>
    <mergeCell ref="ET357:EU357"/>
    <mergeCell ref="ET359:EU359"/>
    <mergeCell ref="ET360:EU360"/>
    <mergeCell ref="ET362:EU362"/>
    <mergeCell ref="ET363:EU363"/>
    <mergeCell ref="ET364:EU364"/>
    <mergeCell ref="ET365:EU365"/>
    <mergeCell ref="ET366:EU366"/>
    <mergeCell ref="ET367:EU367"/>
    <mergeCell ref="ET369:EU369"/>
    <mergeCell ref="ET370:EU370"/>
    <mergeCell ref="ET371:EU371"/>
    <mergeCell ref="ET372:EU372"/>
    <mergeCell ref="ET374:EU374"/>
    <mergeCell ref="ET375:EU375"/>
    <mergeCell ref="ET376:EU376"/>
    <mergeCell ref="ET378:EU378"/>
    <mergeCell ref="ET379:EU379"/>
    <mergeCell ref="ET380:EU380"/>
    <mergeCell ref="ET387:EU387"/>
    <mergeCell ref="ET388:EU388"/>
    <mergeCell ref="ET389:EU389"/>
    <mergeCell ref="ET396:EU396"/>
    <mergeCell ref="ET397:EU397"/>
    <mergeCell ref="ET398:EU398"/>
    <mergeCell ref="ET399:EU399"/>
    <mergeCell ref="FV9:FV14"/>
    <mergeCell ref="FV16:FV22"/>
    <mergeCell ref="FV37:FV41"/>
    <mergeCell ref="FV43:FV54"/>
    <mergeCell ref="FV61:FV65"/>
    <mergeCell ref="FV94:FV97"/>
    <mergeCell ref="FV99:FV103"/>
    <mergeCell ref="FV105:FV109"/>
    <mergeCell ref="FV113:FV120"/>
    <mergeCell ref="FV124:FV131"/>
    <mergeCell ref="FV135:FV138"/>
    <mergeCell ref="FV140:FV145"/>
    <mergeCell ref="FV147:FV151"/>
    <mergeCell ref="FV153:FV157"/>
    <mergeCell ref="FV159:FV163"/>
    <mergeCell ref="FV165:FV169"/>
    <mergeCell ref="FV171:FV179"/>
    <mergeCell ref="FV181:FV187"/>
    <mergeCell ref="FV190:FV196"/>
    <mergeCell ref="FV198:FV204"/>
    <mergeCell ref="FV208:FV209"/>
    <mergeCell ref="FV265:FV266"/>
    <mergeCell ref="FV268:FV275"/>
    <mergeCell ref="FV323:FV327"/>
    <mergeCell ref="FV329:FV332"/>
    <mergeCell ref="FV334:FV338"/>
    <mergeCell ref="FV341:FV346"/>
    <mergeCell ref="FV348:FV353"/>
    <mergeCell ref="FV355:FV360"/>
    <mergeCell ref="FV362:FV367"/>
    <mergeCell ref="FV369:FV372"/>
    <mergeCell ref="FV374:FV376"/>
    <mergeCell ref="FV378:FV385"/>
    <mergeCell ref="FV387:FV394"/>
    <mergeCell ref="FV396:FV405"/>
    <mergeCell ref="ET313:EU313"/>
    <mergeCell ref="FX30:FX34"/>
    <mergeCell ref="FY30:FY34"/>
    <mergeCell ref="FY387:FY394"/>
    <mergeCell ref="FY396:FY405"/>
    <mergeCell ref="EZ358:FA358"/>
    <mergeCell ref="FY9:FY14"/>
    <mergeCell ref="FY16:FY22"/>
    <mergeCell ref="FY37:FY41"/>
    <mergeCell ref="FY43:FY54"/>
    <mergeCell ref="FY61:FY65"/>
    <mergeCell ref="FY94:FY97"/>
    <mergeCell ref="FY99:FY103"/>
    <mergeCell ref="FY105:FY109"/>
    <mergeCell ref="FY113:FY120"/>
    <mergeCell ref="FY124:FY131"/>
    <mergeCell ref="FY135:FY138"/>
    <mergeCell ref="FY140:FY145"/>
    <mergeCell ref="FY147:FY151"/>
    <mergeCell ref="FY153:FY157"/>
    <mergeCell ref="FY159:FY163"/>
    <mergeCell ref="FY165:FY169"/>
    <mergeCell ref="FY171:FY179"/>
    <mergeCell ref="FY181:FY187"/>
    <mergeCell ref="FY190:FY196"/>
    <mergeCell ref="FY198:FY204"/>
    <mergeCell ref="FY208:FY209"/>
    <mergeCell ref="FY265:FY266"/>
    <mergeCell ref="FY268:FY275"/>
    <mergeCell ref="FY323:FY327"/>
    <mergeCell ref="FY329:FY332"/>
    <mergeCell ref="FY334:FY338"/>
    <mergeCell ref="FY341:FY346"/>
    <mergeCell ref="FY348:FY353"/>
    <mergeCell ref="FY355:FY360"/>
    <mergeCell ref="FY362:FY367"/>
    <mergeCell ref="FY369:FY372"/>
    <mergeCell ref="FY374:FY376"/>
    <mergeCell ref="FY378:FY385"/>
    <mergeCell ref="FS378:FS385"/>
    <mergeCell ref="FS387:FS394"/>
    <mergeCell ref="FS396:FS405"/>
    <mergeCell ref="FT387:FT394"/>
    <mergeCell ref="FT396:FT405"/>
    <mergeCell ref="FT9:FT14"/>
    <mergeCell ref="FT16:FT22"/>
    <mergeCell ref="FT37:FT41"/>
    <mergeCell ref="FT43:FT54"/>
    <mergeCell ref="FT61:FT65"/>
    <mergeCell ref="FT94:FT97"/>
    <mergeCell ref="FT99:FT103"/>
    <mergeCell ref="FT105:FT109"/>
    <mergeCell ref="FT113:FT120"/>
    <mergeCell ref="FT124:FT131"/>
    <mergeCell ref="FT135:FT138"/>
    <mergeCell ref="FT140:FT145"/>
    <mergeCell ref="FT147:FT151"/>
    <mergeCell ref="FT153:FT157"/>
    <mergeCell ref="FT159:FT163"/>
    <mergeCell ref="FT165:FT169"/>
    <mergeCell ref="FT171:FT179"/>
    <mergeCell ref="FT181:FT187"/>
    <mergeCell ref="FT190:FT196"/>
    <mergeCell ref="FT198:FT204"/>
    <mergeCell ref="FT208:FT209"/>
    <mergeCell ref="FD2:FE2"/>
    <mergeCell ref="FD3:FE3"/>
    <mergeCell ref="FD4:FE4"/>
    <mergeCell ref="FD5:FE5"/>
    <mergeCell ref="FD7:FE7"/>
    <mergeCell ref="FD9:FE9"/>
    <mergeCell ref="FD10:FE10"/>
    <mergeCell ref="FD11:FE11"/>
    <mergeCell ref="FD16:FE16"/>
    <mergeCell ref="FD37:FE37"/>
    <mergeCell ref="FD43:FE43"/>
    <mergeCell ref="FD44:FE44"/>
    <mergeCell ref="FD45:FE45"/>
    <mergeCell ref="FD46:FE46"/>
    <mergeCell ref="FD47:FE47"/>
    <mergeCell ref="FD48:FE48"/>
    <mergeCell ref="FD50:FE50"/>
    <mergeCell ref="FD51:FE51"/>
    <mergeCell ref="FD52:FE52"/>
    <mergeCell ref="FD53:FE53"/>
    <mergeCell ref="FD61:FE61"/>
    <mergeCell ref="FD62:FE62"/>
    <mergeCell ref="FD63:FE63"/>
    <mergeCell ref="FD64:FE64"/>
    <mergeCell ref="FD65:FE65"/>
    <mergeCell ref="FD67:FE67"/>
    <mergeCell ref="FD68:FE68"/>
    <mergeCell ref="FD69:FE69"/>
    <mergeCell ref="FD70:FE70"/>
    <mergeCell ref="FD71:FE71"/>
    <mergeCell ref="FD72:FE72"/>
    <mergeCell ref="FD73:FE73"/>
    <mergeCell ref="FD74:FE74"/>
    <mergeCell ref="FD94:FE94"/>
    <mergeCell ref="FD95:FE95"/>
    <mergeCell ref="FD96:FE96"/>
    <mergeCell ref="FD97:FE97"/>
    <mergeCell ref="FD99:FE99"/>
    <mergeCell ref="FD100:FE100"/>
    <mergeCell ref="FD101:FE101"/>
    <mergeCell ref="FD102:FE102"/>
    <mergeCell ref="FD103:FE103"/>
    <mergeCell ref="FD105:FE105"/>
    <mergeCell ref="FD106:FE106"/>
    <mergeCell ref="FD107:FE107"/>
    <mergeCell ref="FD108:FE108"/>
    <mergeCell ref="FD109:FE109"/>
    <mergeCell ref="FD110:FE110"/>
    <mergeCell ref="FD111:FE111"/>
    <mergeCell ref="FD113:FE113"/>
    <mergeCell ref="FD114:FE114"/>
    <mergeCell ref="FD122:FE122"/>
    <mergeCell ref="FD124:FE124"/>
    <mergeCell ref="FD125:FE125"/>
    <mergeCell ref="FD133:FE133"/>
    <mergeCell ref="FD135:FE135"/>
    <mergeCell ref="FD136:FE136"/>
    <mergeCell ref="FD137:FE137"/>
    <mergeCell ref="FD138:FE138"/>
    <mergeCell ref="FD140:FE140"/>
    <mergeCell ref="FD141:FE141"/>
    <mergeCell ref="FD142:FE142"/>
    <mergeCell ref="FD144:FE144"/>
    <mergeCell ref="FD145:FE145"/>
    <mergeCell ref="FD147:FE147"/>
    <mergeCell ref="FD148:FE148"/>
    <mergeCell ref="FD149:FE149"/>
    <mergeCell ref="FD151:FE151"/>
    <mergeCell ref="FD153:FE153"/>
    <mergeCell ref="FD154:FE154"/>
    <mergeCell ref="FD155:FE155"/>
    <mergeCell ref="FD157:FE157"/>
    <mergeCell ref="FD159:FE159"/>
    <mergeCell ref="FD160:FE160"/>
    <mergeCell ref="FD161:FE161"/>
    <mergeCell ref="FD163:FE163"/>
    <mergeCell ref="FD165:FE165"/>
    <mergeCell ref="FD166:FE166"/>
    <mergeCell ref="FD167:FE167"/>
    <mergeCell ref="FD168:FE168"/>
    <mergeCell ref="FD169:FE169"/>
    <mergeCell ref="FD172:FE172"/>
    <mergeCell ref="FD176:FE176"/>
    <mergeCell ref="FD177:FE177"/>
    <mergeCell ref="FD178:FE178"/>
    <mergeCell ref="FD179:FE179"/>
    <mergeCell ref="FD181:FE181"/>
    <mergeCell ref="FD182:FE182"/>
    <mergeCell ref="FD183:FE183"/>
    <mergeCell ref="FD190:FE190"/>
    <mergeCell ref="FD191:FE191"/>
    <mergeCell ref="FD192:FE192"/>
    <mergeCell ref="FD198:FE198"/>
    <mergeCell ref="FD199:FE199"/>
    <mergeCell ref="FD200:FE200"/>
    <mergeCell ref="FD206:FE206"/>
    <mergeCell ref="FD207:FE207"/>
    <mergeCell ref="FD208:FE208"/>
    <mergeCell ref="FD211:FE211"/>
    <mergeCell ref="FD310:FE310"/>
    <mergeCell ref="FD212:FE212"/>
    <mergeCell ref="FD213:FE213"/>
    <mergeCell ref="FD214:FE214"/>
    <mergeCell ref="FD221:FE221"/>
    <mergeCell ref="FD222:FE222"/>
    <mergeCell ref="FD223:FE223"/>
    <mergeCell ref="FD224:FE224"/>
    <mergeCell ref="FD225:FE225"/>
    <mergeCell ref="FD226:FE226"/>
    <mergeCell ref="FD227:FE227"/>
    <mergeCell ref="FD228:FE228"/>
    <mergeCell ref="FD229:FE229"/>
    <mergeCell ref="FD230:FE230"/>
    <mergeCell ref="FD231:FE231"/>
    <mergeCell ref="FD232:FE232"/>
    <mergeCell ref="FD234:FE234"/>
    <mergeCell ref="FD235:FE235"/>
    <mergeCell ref="FD236:FE236"/>
    <mergeCell ref="FD237:FE237"/>
    <mergeCell ref="FD238:FE238"/>
    <mergeCell ref="FD239:FE239"/>
    <mergeCell ref="FD240:FE240"/>
    <mergeCell ref="FD241:FE241"/>
    <mergeCell ref="FD242:FE242"/>
    <mergeCell ref="FD243:FE243"/>
    <mergeCell ref="FD244:FE244"/>
    <mergeCell ref="FD246:FE246"/>
    <mergeCell ref="FD247:FE247"/>
    <mergeCell ref="FD248:FE248"/>
    <mergeCell ref="FD249:FE249"/>
    <mergeCell ref="FD250:FE250"/>
    <mergeCell ref="FD251:FE251"/>
    <mergeCell ref="FD252:FE252"/>
    <mergeCell ref="FD307:FE307"/>
    <mergeCell ref="FD314:FE314"/>
    <mergeCell ref="FD315:FE315"/>
    <mergeCell ref="FD316:FE316"/>
    <mergeCell ref="FD318:FE318"/>
    <mergeCell ref="FD319:FE319"/>
    <mergeCell ref="FD321:FE321"/>
    <mergeCell ref="FD323:FE323"/>
    <mergeCell ref="FD324:FE324"/>
    <mergeCell ref="FD325:FE325"/>
    <mergeCell ref="FD326:FE326"/>
    <mergeCell ref="FD327:FE327"/>
    <mergeCell ref="FD329:FE329"/>
    <mergeCell ref="FD330:FE330"/>
    <mergeCell ref="FD331:FE331"/>
    <mergeCell ref="FD332:FE332"/>
    <mergeCell ref="FD334:FE334"/>
    <mergeCell ref="FD335:FE335"/>
    <mergeCell ref="FD336:FE336"/>
    <mergeCell ref="FD338:FE338"/>
    <mergeCell ref="FD339:FE339"/>
    <mergeCell ref="FD341:FE341"/>
    <mergeCell ref="FD342:FE342"/>
    <mergeCell ref="FD343:FE343"/>
    <mergeCell ref="FD345:FE345"/>
    <mergeCell ref="FD346:FE346"/>
    <mergeCell ref="FD348:FE348"/>
    <mergeCell ref="FD349:FE349"/>
    <mergeCell ref="FD350:FE350"/>
    <mergeCell ref="FD352:FE352"/>
    <mergeCell ref="FD353:FE353"/>
    <mergeCell ref="FD355:FE355"/>
    <mergeCell ref="FD356:FE356"/>
    <mergeCell ref="FD254:FE254"/>
    <mergeCell ref="FD255:FE255"/>
    <mergeCell ref="FD256:FE256"/>
    <mergeCell ref="FD257:FE257"/>
    <mergeCell ref="FD259:FE259"/>
    <mergeCell ref="FD261:FE261"/>
    <mergeCell ref="FD262:FE262"/>
    <mergeCell ref="FD263:FE263"/>
    <mergeCell ref="FD265:FE265"/>
    <mergeCell ref="FD268:FE268"/>
    <mergeCell ref="FD269:FE269"/>
    <mergeCell ref="FD270:FE270"/>
    <mergeCell ref="FD271:FE271"/>
    <mergeCell ref="FD277:FE277"/>
    <mergeCell ref="FD278:FE278"/>
    <mergeCell ref="FD279:FE279"/>
    <mergeCell ref="FD288:FE288"/>
    <mergeCell ref="FD291:FE291"/>
    <mergeCell ref="FD292:FE292"/>
    <mergeCell ref="FD293:FE293"/>
    <mergeCell ref="FD294:FE294"/>
    <mergeCell ref="FD295:FE295"/>
    <mergeCell ref="FD296:FE296"/>
    <mergeCell ref="FD297:FE297"/>
    <mergeCell ref="FD298:FE298"/>
    <mergeCell ref="FD299:FE299"/>
    <mergeCell ref="FD301:FE301"/>
    <mergeCell ref="FD302:FE302"/>
    <mergeCell ref="FD303:FE303"/>
    <mergeCell ref="FD304:FE304"/>
    <mergeCell ref="FD306:FE306"/>
    <mergeCell ref="FD309:FE309"/>
    <mergeCell ref="FD357:FE357"/>
    <mergeCell ref="FD358:FE358"/>
    <mergeCell ref="FD359:FE359"/>
    <mergeCell ref="FD360:FE360"/>
    <mergeCell ref="FD362:FE362"/>
    <mergeCell ref="FD363:FE363"/>
    <mergeCell ref="FD364:FE364"/>
    <mergeCell ref="FD365:FE365"/>
    <mergeCell ref="FD366:FE366"/>
    <mergeCell ref="FD367:FE367"/>
    <mergeCell ref="FD369:FE369"/>
    <mergeCell ref="FD370:FE370"/>
    <mergeCell ref="FD371:FE371"/>
    <mergeCell ref="FD372:FE372"/>
    <mergeCell ref="FD374:FE374"/>
    <mergeCell ref="FD375:FE375"/>
    <mergeCell ref="FD376:FE376"/>
    <mergeCell ref="FD378:FE378"/>
    <mergeCell ref="FD379:FE379"/>
    <mergeCell ref="FD380:FE380"/>
    <mergeCell ref="FD387:FE387"/>
    <mergeCell ref="FD388:FE388"/>
    <mergeCell ref="FD389:FE389"/>
    <mergeCell ref="FD396:FE396"/>
    <mergeCell ref="FD397:FE397"/>
    <mergeCell ref="FD398:FE398"/>
    <mergeCell ref="FD399:FE399"/>
    <mergeCell ref="GA9:GA14"/>
    <mergeCell ref="GA16:GA22"/>
    <mergeCell ref="GA30:GA34"/>
    <mergeCell ref="GA37:GA41"/>
    <mergeCell ref="GA43:GA54"/>
    <mergeCell ref="GA61:GA65"/>
    <mergeCell ref="GA94:GA97"/>
    <mergeCell ref="GA99:GA103"/>
    <mergeCell ref="GA105:GA109"/>
    <mergeCell ref="GA113:GA120"/>
    <mergeCell ref="GA124:GA131"/>
    <mergeCell ref="GA135:GA138"/>
    <mergeCell ref="GA140:GA145"/>
    <mergeCell ref="GA147:GA151"/>
    <mergeCell ref="GA153:GA157"/>
    <mergeCell ref="GA159:GA163"/>
    <mergeCell ref="GA165:GA169"/>
    <mergeCell ref="GA171:GA179"/>
    <mergeCell ref="GA181:GA187"/>
    <mergeCell ref="GA190:GA196"/>
    <mergeCell ref="GA198:GA204"/>
    <mergeCell ref="GA208:GA209"/>
    <mergeCell ref="GA265:GA266"/>
    <mergeCell ref="GA268:GA275"/>
    <mergeCell ref="GA323:GA327"/>
    <mergeCell ref="GA329:GA332"/>
    <mergeCell ref="GA334:GA338"/>
    <mergeCell ref="GA341:GA346"/>
    <mergeCell ref="GA348:GA353"/>
    <mergeCell ref="GA355:GA360"/>
    <mergeCell ref="GA362:GA367"/>
    <mergeCell ref="GA369:GA372"/>
    <mergeCell ref="GA374:GA376"/>
    <mergeCell ref="GA378:GA385"/>
    <mergeCell ref="GA387:GA394"/>
    <mergeCell ref="GA396:GA405"/>
    <mergeCell ref="FD313:FE313"/>
    <mergeCell ref="FF2:FG2"/>
    <mergeCell ref="FF3:FG3"/>
    <mergeCell ref="FF4:FG4"/>
    <mergeCell ref="FF5:FG5"/>
    <mergeCell ref="FF7:FG7"/>
    <mergeCell ref="FF9:FG9"/>
    <mergeCell ref="FF10:FG10"/>
    <mergeCell ref="FF11:FG11"/>
    <mergeCell ref="FF16:FG16"/>
    <mergeCell ref="FF37:FG37"/>
    <mergeCell ref="FF43:FG43"/>
    <mergeCell ref="FF44:FG44"/>
    <mergeCell ref="FF45:FG45"/>
    <mergeCell ref="FF46:FG46"/>
    <mergeCell ref="FF47:FG47"/>
    <mergeCell ref="FF48:FG48"/>
    <mergeCell ref="FF50:FG50"/>
    <mergeCell ref="FF51:FG51"/>
    <mergeCell ref="FF52:FG52"/>
    <mergeCell ref="FF53:FG53"/>
    <mergeCell ref="FF61:FG61"/>
    <mergeCell ref="FF62:FG62"/>
    <mergeCell ref="FF63:FG63"/>
    <mergeCell ref="FF64:FG64"/>
    <mergeCell ref="FF65:FG65"/>
    <mergeCell ref="FF67:FG67"/>
    <mergeCell ref="FF68:FG68"/>
    <mergeCell ref="FF69:FG69"/>
    <mergeCell ref="FF70:FG70"/>
    <mergeCell ref="FF71:FG71"/>
    <mergeCell ref="FF72:FG72"/>
    <mergeCell ref="FF73:FG73"/>
    <mergeCell ref="FF74:FG74"/>
    <mergeCell ref="FF94:FG94"/>
    <mergeCell ref="FF95:FG95"/>
    <mergeCell ref="FF96:FG96"/>
    <mergeCell ref="FF97:FG97"/>
    <mergeCell ref="FF99:FG99"/>
    <mergeCell ref="FF100:FG100"/>
    <mergeCell ref="FF101:FG101"/>
    <mergeCell ref="FF102:FG102"/>
    <mergeCell ref="FF103:FG103"/>
    <mergeCell ref="FF105:FG105"/>
    <mergeCell ref="FF106:FG106"/>
    <mergeCell ref="FF107:FG107"/>
    <mergeCell ref="FF108:FG108"/>
    <mergeCell ref="FF109:FG109"/>
    <mergeCell ref="FF110:FG110"/>
    <mergeCell ref="FF111:FG111"/>
    <mergeCell ref="FF113:FG113"/>
    <mergeCell ref="FF114:FG114"/>
    <mergeCell ref="FF122:FG122"/>
    <mergeCell ref="FF124:FG124"/>
    <mergeCell ref="FF125:FG125"/>
    <mergeCell ref="FF133:FG133"/>
    <mergeCell ref="FF135:FG135"/>
    <mergeCell ref="FF136:FG136"/>
    <mergeCell ref="FF137:FG137"/>
    <mergeCell ref="FF138:FG138"/>
    <mergeCell ref="FF140:FG140"/>
    <mergeCell ref="FF141:FG141"/>
    <mergeCell ref="FF142:FG142"/>
    <mergeCell ref="FF144:FG144"/>
    <mergeCell ref="FF145:FG145"/>
    <mergeCell ref="FF147:FG147"/>
    <mergeCell ref="FF148:FG148"/>
    <mergeCell ref="FF149:FG149"/>
    <mergeCell ref="FF151:FG151"/>
    <mergeCell ref="FF153:FG153"/>
    <mergeCell ref="FF154:FG154"/>
    <mergeCell ref="FF155:FG155"/>
    <mergeCell ref="FF157:FG157"/>
    <mergeCell ref="FF159:FG159"/>
    <mergeCell ref="FF160:FG160"/>
    <mergeCell ref="FF161:FG161"/>
    <mergeCell ref="FF163:FG163"/>
    <mergeCell ref="FF165:FG165"/>
    <mergeCell ref="FF166:FG166"/>
    <mergeCell ref="FF167:FG167"/>
    <mergeCell ref="FF168:FG168"/>
    <mergeCell ref="FF169:FG169"/>
    <mergeCell ref="FF172:FG172"/>
    <mergeCell ref="FF176:FG176"/>
    <mergeCell ref="FF177:FG177"/>
    <mergeCell ref="FF178:FG178"/>
    <mergeCell ref="FF179:FG179"/>
    <mergeCell ref="FF181:FG181"/>
    <mergeCell ref="FF182:FG182"/>
    <mergeCell ref="FF183:FG183"/>
    <mergeCell ref="FF190:FG190"/>
    <mergeCell ref="FF191:FG191"/>
    <mergeCell ref="FF192:FG192"/>
    <mergeCell ref="FF198:FG198"/>
    <mergeCell ref="FF199:FG199"/>
    <mergeCell ref="FF200:FG200"/>
    <mergeCell ref="FF206:FG206"/>
    <mergeCell ref="FF207:FG207"/>
    <mergeCell ref="FF208:FG208"/>
    <mergeCell ref="FF211:FG211"/>
    <mergeCell ref="FF310:FG310"/>
    <mergeCell ref="FF212:FG212"/>
    <mergeCell ref="FF213:FG213"/>
    <mergeCell ref="FF214:FG214"/>
    <mergeCell ref="FF221:FG221"/>
    <mergeCell ref="FF222:FG222"/>
    <mergeCell ref="FF223:FG223"/>
    <mergeCell ref="FF224:FG224"/>
    <mergeCell ref="FF225:FG225"/>
    <mergeCell ref="FF226:FG226"/>
    <mergeCell ref="FF227:FG227"/>
    <mergeCell ref="FF228:FG228"/>
    <mergeCell ref="FF229:FG229"/>
    <mergeCell ref="FF230:FG230"/>
    <mergeCell ref="FF231:FG231"/>
    <mergeCell ref="FF232:FG232"/>
    <mergeCell ref="FF234:FG234"/>
    <mergeCell ref="FF235:FG235"/>
    <mergeCell ref="FF236:FG236"/>
    <mergeCell ref="FF237:FG237"/>
    <mergeCell ref="FF238:FG238"/>
    <mergeCell ref="FF239:FG239"/>
    <mergeCell ref="FF240:FG240"/>
    <mergeCell ref="FF241:FG241"/>
    <mergeCell ref="FF242:FG242"/>
    <mergeCell ref="FF243:FG243"/>
    <mergeCell ref="FF244:FG244"/>
    <mergeCell ref="FF246:FG246"/>
    <mergeCell ref="FF247:FG247"/>
    <mergeCell ref="FF248:FG248"/>
    <mergeCell ref="FF249:FG249"/>
    <mergeCell ref="FF250:FG250"/>
    <mergeCell ref="FF251:FG251"/>
    <mergeCell ref="FF252:FG252"/>
    <mergeCell ref="FF307:FG307"/>
    <mergeCell ref="FF314:FG314"/>
    <mergeCell ref="FF315:FG315"/>
    <mergeCell ref="FF316:FG316"/>
    <mergeCell ref="FF318:FG318"/>
    <mergeCell ref="FF319:FG319"/>
    <mergeCell ref="FF321:FG321"/>
    <mergeCell ref="FF323:FG323"/>
    <mergeCell ref="FF324:FG324"/>
    <mergeCell ref="FF325:FG325"/>
    <mergeCell ref="FF326:FG326"/>
    <mergeCell ref="FF327:FG327"/>
    <mergeCell ref="FF329:FG329"/>
    <mergeCell ref="FF330:FG330"/>
    <mergeCell ref="FF331:FG331"/>
    <mergeCell ref="FF332:FG332"/>
    <mergeCell ref="FF334:FG334"/>
    <mergeCell ref="FF335:FG335"/>
    <mergeCell ref="FF336:FG336"/>
    <mergeCell ref="FF338:FG338"/>
    <mergeCell ref="FF339:FG339"/>
    <mergeCell ref="FF341:FG341"/>
    <mergeCell ref="FF342:FG342"/>
    <mergeCell ref="FF343:FG343"/>
    <mergeCell ref="FF345:FG345"/>
    <mergeCell ref="FF346:FG346"/>
    <mergeCell ref="FF348:FG348"/>
    <mergeCell ref="FF349:FG349"/>
    <mergeCell ref="FF350:FG350"/>
    <mergeCell ref="FF352:FG352"/>
    <mergeCell ref="FF353:FG353"/>
    <mergeCell ref="FF355:FG355"/>
    <mergeCell ref="FF356:FG356"/>
    <mergeCell ref="FF254:FG254"/>
    <mergeCell ref="FF255:FG255"/>
    <mergeCell ref="FF256:FG256"/>
    <mergeCell ref="FF257:FG257"/>
    <mergeCell ref="FF259:FG259"/>
    <mergeCell ref="FF261:FG261"/>
    <mergeCell ref="FF262:FG262"/>
    <mergeCell ref="FF263:FG263"/>
    <mergeCell ref="FF265:FG265"/>
    <mergeCell ref="FF268:FG268"/>
    <mergeCell ref="FF269:FG269"/>
    <mergeCell ref="FF270:FG270"/>
    <mergeCell ref="FF271:FG271"/>
    <mergeCell ref="FF277:FG277"/>
    <mergeCell ref="FF278:FG278"/>
    <mergeCell ref="FF279:FG279"/>
    <mergeCell ref="FF288:FG288"/>
    <mergeCell ref="FF291:FG291"/>
    <mergeCell ref="FF292:FG292"/>
    <mergeCell ref="FF293:FG293"/>
    <mergeCell ref="FF294:FG294"/>
    <mergeCell ref="FF295:FG295"/>
    <mergeCell ref="FF296:FG296"/>
    <mergeCell ref="FF297:FG297"/>
    <mergeCell ref="FF298:FG298"/>
    <mergeCell ref="FF299:FG299"/>
    <mergeCell ref="FF301:FG301"/>
    <mergeCell ref="FF302:FG302"/>
    <mergeCell ref="FF303:FG303"/>
    <mergeCell ref="FF304:FG304"/>
    <mergeCell ref="FF306:FG306"/>
    <mergeCell ref="FF309:FG309"/>
    <mergeCell ref="FF357:FG357"/>
    <mergeCell ref="FF358:FG358"/>
    <mergeCell ref="FF359:FG359"/>
    <mergeCell ref="FF360:FG360"/>
    <mergeCell ref="FF362:FG362"/>
    <mergeCell ref="FF363:FG363"/>
    <mergeCell ref="FF364:FG364"/>
    <mergeCell ref="FF365:FG365"/>
    <mergeCell ref="FF366:FG366"/>
    <mergeCell ref="FF367:FG367"/>
    <mergeCell ref="FF369:FG369"/>
    <mergeCell ref="FF370:FG370"/>
    <mergeCell ref="FF371:FG371"/>
    <mergeCell ref="FF372:FG372"/>
    <mergeCell ref="FF374:FG374"/>
    <mergeCell ref="FF375:FG375"/>
    <mergeCell ref="FF376:FG376"/>
    <mergeCell ref="FF378:FG378"/>
    <mergeCell ref="FF379:FG379"/>
    <mergeCell ref="FF380:FG380"/>
    <mergeCell ref="FF387:FG387"/>
    <mergeCell ref="FF388:FG388"/>
    <mergeCell ref="FF389:FG389"/>
    <mergeCell ref="FF396:FG396"/>
    <mergeCell ref="FF397:FG397"/>
    <mergeCell ref="FF398:FG398"/>
    <mergeCell ref="FF399:FG399"/>
    <mergeCell ref="GB9:GB14"/>
    <mergeCell ref="GB16:GB22"/>
    <mergeCell ref="GB30:GB34"/>
    <mergeCell ref="GB37:GB41"/>
    <mergeCell ref="GB43:GB54"/>
    <mergeCell ref="GB61:GB65"/>
    <mergeCell ref="GB94:GB97"/>
    <mergeCell ref="GB99:GB103"/>
    <mergeCell ref="GB105:GB109"/>
    <mergeCell ref="GB113:GB120"/>
    <mergeCell ref="GB124:GB131"/>
    <mergeCell ref="GB135:GB138"/>
    <mergeCell ref="GB140:GB145"/>
    <mergeCell ref="GB147:GB151"/>
    <mergeCell ref="GB153:GB157"/>
    <mergeCell ref="GB159:GB163"/>
    <mergeCell ref="GB165:GB169"/>
    <mergeCell ref="GB171:GB179"/>
    <mergeCell ref="GB181:GB187"/>
    <mergeCell ref="GB190:GB196"/>
    <mergeCell ref="GB198:GB204"/>
    <mergeCell ref="GB208:GB209"/>
    <mergeCell ref="GB265:GB266"/>
    <mergeCell ref="GB268:GB275"/>
    <mergeCell ref="GB323:GB327"/>
    <mergeCell ref="GB329:GB332"/>
    <mergeCell ref="GB334:GB338"/>
    <mergeCell ref="GB341:GB346"/>
    <mergeCell ref="GB348:GB353"/>
    <mergeCell ref="GB355:GB360"/>
    <mergeCell ref="GB362:GB367"/>
    <mergeCell ref="GB369:GB372"/>
    <mergeCell ref="GB374:GB376"/>
    <mergeCell ref="GB378:GB385"/>
    <mergeCell ref="GB387:GB394"/>
    <mergeCell ref="GB396:GB405"/>
    <mergeCell ref="FF313:FG313"/>
    <mergeCell ref="FH2:FI2"/>
    <mergeCell ref="FH3:FI3"/>
    <mergeCell ref="FH4:FI4"/>
    <mergeCell ref="FH5:FI5"/>
    <mergeCell ref="FH7:FI7"/>
    <mergeCell ref="FH9:FI9"/>
    <mergeCell ref="FH10:FI10"/>
    <mergeCell ref="FH11:FI11"/>
    <mergeCell ref="FH16:FI16"/>
    <mergeCell ref="FH37:FI37"/>
    <mergeCell ref="FH43:FI43"/>
    <mergeCell ref="FH44:FI44"/>
    <mergeCell ref="FH45:FI45"/>
    <mergeCell ref="FH46:FI46"/>
    <mergeCell ref="FH47:FI47"/>
    <mergeCell ref="FH48:FI48"/>
    <mergeCell ref="FH50:FI50"/>
    <mergeCell ref="FH51:FI51"/>
    <mergeCell ref="FH52:FI52"/>
    <mergeCell ref="FH53:FI53"/>
    <mergeCell ref="FH61:FI61"/>
    <mergeCell ref="FH62:FI62"/>
    <mergeCell ref="FH63:FI63"/>
    <mergeCell ref="FH64:FI64"/>
    <mergeCell ref="FH65:FI65"/>
    <mergeCell ref="FH67:FI67"/>
    <mergeCell ref="FH68:FI68"/>
    <mergeCell ref="FH69:FI69"/>
    <mergeCell ref="FH70:FI70"/>
    <mergeCell ref="FH71:FI71"/>
    <mergeCell ref="FH72:FI72"/>
    <mergeCell ref="FH73:FI73"/>
    <mergeCell ref="FH74:FI74"/>
    <mergeCell ref="FH94:FI94"/>
    <mergeCell ref="FH95:FI95"/>
    <mergeCell ref="FH96:FI96"/>
    <mergeCell ref="FH97:FI97"/>
    <mergeCell ref="FH99:FI99"/>
    <mergeCell ref="FH100:FI100"/>
    <mergeCell ref="FH101:FI101"/>
    <mergeCell ref="FH102:FI102"/>
    <mergeCell ref="FH103:FI103"/>
    <mergeCell ref="FH105:FI105"/>
    <mergeCell ref="FH106:FI106"/>
    <mergeCell ref="FH107:FI107"/>
    <mergeCell ref="FH108:FI108"/>
    <mergeCell ref="FH109:FI109"/>
    <mergeCell ref="FH110:FI110"/>
    <mergeCell ref="FH111:FI111"/>
    <mergeCell ref="FH113:FI113"/>
    <mergeCell ref="FH114:FI114"/>
    <mergeCell ref="FH122:FI122"/>
    <mergeCell ref="FH124:FI124"/>
    <mergeCell ref="FH125:FI125"/>
    <mergeCell ref="FH133:FI133"/>
    <mergeCell ref="FH135:FI135"/>
    <mergeCell ref="FH136:FI136"/>
    <mergeCell ref="FH137:FI137"/>
    <mergeCell ref="FH138:FI138"/>
    <mergeCell ref="FH140:FI140"/>
    <mergeCell ref="FH141:FI141"/>
    <mergeCell ref="FH142:FI142"/>
    <mergeCell ref="FH144:FI144"/>
    <mergeCell ref="FH145:FI145"/>
    <mergeCell ref="FH147:FI147"/>
    <mergeCell ref="FH148:FI148"/>
    <mergeCell ref="FH149:FI149"/>
    <mergeCell ref="FH151:FI151"/>
    <mergeCell ref="FH153:FI153"/>
    <mergeCell ref="FH154:FI154"/>
    <mergeCell ref="FH155:FI155"/>
    <mergeCell ref="FH157:FI157"/>
    <mergeCell ref="FH159:FI159"/>
    <mergeCell ref="FH160:FI160"/>
    <mergeCell ref="FH161:FI161"/>
    <mergeCell ref="FH163:FI163"/>
    <mergeCell ref="FH165:FI165"/>
    <mergeCell ref="FH166:FI166"/>
    <mergeCell ref="FH167:FI167"/>
    <mergeCell ref="FH168:FI168"/>
    <mergeCell ref="FH169:FI169"/>
    <mergeCell ref="FH172:FI172"/>
    <mergeCell ref="FH176:FI176"/>
    <mergeCell ref="FH177:FI177"/>
    <mergeCell ref="FH178:FI178"/>
    <mergeCell ref="FH179:FI179"/>
    <mergeCell ref="FH181:FI181"/>
    <mergeCell ref="FH182:FI182"/>
    <mergeCell ref="FH183:FI183"/>
    <mergeCell ref="FH190:FI190"/>
    <mergeCell ref="FH191:FI191"/>
    <mergeCell ref="FH192:FI192"/>
    <mergeCell ref="FH198:FI198"/>
    <mergeCell ref="FH199:FI199"/>
    <mergeCell ref="FH200:FI200"/>
    <mergeCell ref="FH206:FI206"/>
    <mergeCell ref="FH207:FI207"/>
    <mergeCell ref="FH208:FI208"/>
    <mergeCell ref="FH211:FI211"/>
    <mergeCell ref="FH310:FI310"/>
    <mergeCell ref="FH212:FI212"/>
    <mergeCell ref="FH213:FI213"/>
    <mergeCell ref="FH214:FI214"/>
    <mergeCell ref="FH221:FI221"/>
    <mergeCell ref="FH222:FI222"/>
    <mergeCell ref="FH223:FI223"/>
    <mergeCell ref="FH224:FI224"/>
    <mergeCell ref="FH225:FI225"/>
    <mergeCell ref="FH226:FI226"/>
    <mergeCell ref="FH227:FI227"/>
    <mergeCell ref="FH228:FI228"/>
    <mergeCell ref="FH229:FI229"/>
    <mergeCell ref="FH230:FI230"/>
    <mergeCell ref="FH231:FI231"/>
    <mergeCell ref="FH232:FI232"/>
    <mergeCell ref="FH234:FI234"/>
    <mergeCell ref="FH235:FI235"/>
    <mergeCell ref="FH236:FI236"/>
    <mergeCell ref="FH237:FI237"/>
    <mergeCell ref="FH238:FI238"/>
    <mergeCell ref="FH239:FI239"/>
    <mergeCell ref="FH240:FI240"/>
    <mergeCell ref="FH241:FI241"/>
    <mergeCell ref="FH242:FI242"/>
    <mergeCell ref="FH243:FI243"/>
    <mergeCell ref="FH244:FI244"/>
    <mergeCell ref="FH246:FI246"/>
    <mergeCell ref="FH247:FI247"/>
    <mergeCell ref="FH248:FI248"/>
    <mergeCell ref="FH249:FI249"/>
    <mergeCell ref="FH250:FI250"/>
    <mergeCell ref="FH251:FI251"/>
    <mergeCell ref="FH252:FI252"/>
    <mergeCell ref="FH307:FI307"/>
    <mergeCell ref="FH314:FI314"/>
    <mergeCell ref="FH315:FI315"/>
    <mergeCell ref="FH316:FI316"/>
    <mergeCell ref="FH318:FI318"/>
    <mergeCell ref="FH319:FI319"/>
    <mergeCell ref="FH321:FI321"/>
    <mergeCell ref="FH323:FI323"/>
    <mergeCell ref="FH324:FI324"/>
    <mergeCell ref="FH325:FI325"/>
    <mergeCell ref="FH326:FI326"/>
    <mergeCell ref="FH327:FI327"/>
    <mergeCell ref="FH329:FI329"/>
    <mergeCell ref="FH330:FI330"/>
    <mergeCell ref="FH331:FI331"/>
    <mergeCell ref="FH332:FI332"/>
    <mergeCell ref="FH334:FI334"/>
    <mergeCell ref="FH335:FI335"/>
    <mergeCell ref="FH336:FI336"/>
    <mergeCell ref="FH338:FI338"/>
    <mergeCell ref="FH339:FI339"/>
    <mergeCell ref="FH341:FI341"/>
    <mergeCell ref="FH342:FI342"/>
    <mergeCell ref="FH343:FI343"/>
    <mergeCell ref="FH345:FI345"/>
    <mergeCell ref="FH346:FI346"/>
    <mergeCell ref="FH348:FI348"/>
    <mergeCell ref="FH349:FI349"/>
    <mergeCell ref="FH350:FI350"/>
    <mergeCell ref="FH352:FI352"/>
    <mergeCell ref="FH353:FI353"/>
    <mergeCell ref="FH355:FI355"/>
    <mergeCell ref="FH356:FI356"/>
    <mergeCell ref="FH254:FI254"/>
    <mergeCell ref="FH255:FI255"/>
    <mergeCell ref="FH256:FI256"/>
    <mergeCell ref="FH257:FI257"/>
    <mergeCell ref="FH259:FI259"/>
    <mergeCell ref="FH261:FI261"/>
    <mergeCell ref="FH262:FI262"/>
    <mergeCell ref="FH263:FI263"/>
    <mergeCell ref="FH265:FI265"/>
    <mergeCell ref="FH268:FI268"/>
    <mergeCell ref="FH269:FI269"/>
    <mergeCell ref="FH270:FI270"/>
    <mergeCell ref="FH271:FI271"/>
    <mergeCell ref="FH277:FI277"/>
    <mergeCell ref="FH278:FI278"/>
    <mergeCell ref="FH279:FI279"/>
    <mergeCell ref="FH288:FI288"/>
    <mergeCell ref="FH291:FI291"/>
    <mergeCell ref="FH292:FI292"/>
    <mergeCell ref="FH293:FI293"/>
    <mergeCell ref="FH294:FI294"/>
    <mergeCell ref="FH295:FI295"/>
    <mergeCell ref="FH296:FI296"/>
    <mergeCell ref="FH297:FI297"/>
    <mergeCell ref="FH298:FI298"/>
    <mergeCell ref="FH299:FI299"/>
    <mergeCell ref="FH301:FI301"/>
    <mergeCell ref="FH302:FI302"/>
    <mergeCell ref="FH303:FI303"/>
    <mergeCell ref="FH304:FI304"/>
    <mergeCell ref="FH306:FI306"/>
    <mergeCell ref="FH309:FI309"/>
    <mergeCell ref="FH357:FI357"/>
    <mergeCell ref="FH358:FI358"/>
    <mergeCell ref="FH359:FI359"/>
    <mergeCell ref="FH360:FI360"/>
    <mergeCell ref="FH362:FI362"/>
    <mergeCell ref="FH363:FI363"/>
    <mergeCell ref="FH364:FI364"/>
    <mergeCell ref="FH365:FI365"/>
    <mergeCell ref="FH366:FI366"/>
    <mergeCell ref="FH367:FI367"/>
    <mergeCell ref="FH369:FI369"/>
    <mergeCell ref="FH370:FI370"/>
    <mergeCell ref="FH371:FI371"/>
    <mergeCell ref="FH372:FI372"/>
    <mergeCell ref="FH374:FI374"/>
    <mergeCell ref="FH375:FI375"/>
    <mergeCell ref="FH376:FI376"/>
    <mergeCell ref="FH378:FI378"/>
    <mergeCell ref="FH379:FI379"/>
    <mergeCell ref="FH380:FI380"/>
    <mergeCell ref="FH387:FI387"/>
    <mergeCell ref="FH388:FI388"/>
    <mergeCell ref="FH389:FI389"/>
    <mergeCell ref="FH396:FI396"/>
    <mergeCell ref="FH397:FI397"/>
    <mergeCell ref="FH398:FI398"/>
    <mergeCell ref="FH399:FI399"/>
    <mergeCell ref="GC9:GC14"/>
    <mergeCell ref="GC16:GC22"/>
    <mergeCell ref="GC30:GC34"/>
    <mergeCell ref="GC37:GC41"/>
    <mergeCell ref="GC43:GC54"/>
    <mergeCell ref="GC61:GC65"/>
    <mergeCell ref="GC94:GC97"/>
    <mergeCell ref="GC99:GC103"/>
    <mergeCell ref="GC105:GC109"/>
    <mergeCell ref="GC113:GC120"/>
    <mergeCell ref="GC124:GC131"/>
    <mergeCell ref="GC135:GC138"/>
    <mergeCell ref="GC140:GC145"/>
    <mergeCell ref="GC147:GC151"/>
    <mergeCell ref="GC153:GC157"/>
    <mergeCell ref="GC159:GC163"/>
    <mergeCell ref="GC165:GC169"/>
    <mergeCell ref="GC171:GC179"/>
    <mergeCell ref="GC181:GC187"/>
    <mergeCell ref="GC190:GC196"/>
    <mergeCell ref="GC198:GC204"/>
    <mergeCell ref="GC208:GC209"/>
    <mergeCell ref="GC265:GC266"/>
    <mergeCell ref="GC268:GC275"/>
    <mergeCell ref="GC323:GC327"/>
    <mergeCell ref="GC329:GC332"/>
    <mergeCell ref="GC334:GC338"/>
    <mergeCell ref="GC341:GC346"/>
    <mergeCell ref="GC348:GC353"/>
    <mergeCell ref="GC355:GC360"/>
    <mergeCell ref="GC362:GC367"/>
    <mergeCell ref="GC369:GC372"/>
    <mergeCell ref="GC374:GC376"/>
    <mergeCell ref="GC378:GC385"/>
    <mergeCell ref="GC387:GC394"/>
    <mergeCell ref="GC396:GC405"/>
    <mergeCell ref="FH313:FI313"/>
    <mergeCell ref="FN2:FO2"/>
    <mergeCell ref="FN3:FO3"/>
    <mergeCell ref="FN4:FO4"/>
    <mergeCell ref="FN5:FO5"/>
    <mergeCell ref="FN7:FO7"/>
    <mergeCell ref="FN9:FO9"/>
    <mergeCell ref="FN10:FO10"/>
    <mergeCell ref="FN11:FO11"/>
    <mergeCell ref="FN16:FO16"/>
    <mergeCell ref="FN37:FO37"/>
    <mergeCell ref="FN43:FO43"/>
    <mergeCell ref="FN44:FO44"/>
    <mergeCell ref="FN45:FO45"/>
    <mergeCell ref="FN46:FO46"/>
    <mergeCell ref="FN47:FO47"/>
    <mergeCell ref="FN48:FO48"/>
    <mergeCell ref="FN50:FO50"/>
    <mergeCell ref="FN51:FO51"/>
    <mergeCell ref="FN52:FO52"/>
    <mergeCell ref="FN53:FO53"/>
    <mergeCell ref="FN61:FO61"/>
    <mergeCell ref="FN62:FO62"/>
    <mergeCell ref="FN63:FO63"/>
    <mergeCell ref="FN64:FO64"/>
    <mergeCell ref="FN65:FO65"/>
    <mergeCell ref="FN67:FO67"/>
    <mergeCell ref="FN68:FO68"/>
    <mergeCell ref="FN69:FO69"/>
    <mergeCell ref="FN70:FO70"/>
    <mergeCell ref="FN71:FO71"/>
    <mergeCell ref="FN72:FO72"/>
    <mergeCell ref="FN73:FO73"/>
    <mergeCell ref="FN74:FO74"/>
    <mergeCell ref="FN94:FO94"/>
    <mergeCell ref="FN95:FO95"/>
    <mergeCell ref="FN96:FO96"/>
    <mergeCell ref="FN97:FO97"/>
    <mergeCell ref="FN99:FO99"/>
    <mergeCell ref="FN100:FO100"/>
    <mergeCell ref="FN101:FO101"/>
    <mergeCell ref="FN102:FO102"/>
    <mergeCell ref="FN103:FO103"/>
    <mergeCell ref="FN105:FO105"/>
    <mergeCell ref="FN106:FO106"/>
    <mergeCell ref="FN107:FO107"/>
    <mergeCell ref="FN108:FO108"/>
    <mergeCell ref="FN109:FO109"/>
    <mergeCell ref="FN110:FO110"/>
    <mergeCell ref="FN111:FO111"/>
    <mergeCell ref="FN113:FO113"/>
    <mergeCell ref="FN114:FO114"/>
    <mergeCell ref="FN122:FO122"/>
    <mergeCell ref="FN124:FO124"/>
    <mergeCell ref="FN125:FO125"/>
    <mergeCell ref="FN133:FO133"/>
    <mergeCell ref="FN135:FO135"/>
    <mergeCell ref="FN136:FO136"/>
    <mergeCell ref="FN137:FO137"/>
    <mergeCell ref="FN138:FO138"/>
    <mergeCell ref="FN140:FO140"/>
    <mergeCell ref="FN141:FO141"/>
    <mergeCell ref="FN142:FO142"/>
    <mergeCell ref="FN144:FO144"/>
    <mergeCell ref="FN145:FO145"/>
    <mergeCell ref="FN147:FO147"/>
    <mergeCell ref="FN148:FO148"/>
    <mergeCell ref="FN149:FO149"/>
    <mergeCell ref="FN151:FO151"/>
    <mergeCell ref="FN153:FO153"/>
    <mergeCell ref="FN154:FO154"/>
    <mergeCell ref="FN155:FO155"/>
    <mergeCell ref="FN157:FO157"/>
    <mergeCell ref="FN159:FO159"/>
    <mergeCell ref="FN160:FO160"/>
    <mergeCell ref="FN161:FO161"/>
    <mergeCell ref="FN163:FO163"/>
    <mergeCell ref="FN165:FO165"/>
    <mergeCell ref="FN166:FO166"/>
    <mergeCell ref="FN167:FO167"/>
    <mergeCell ref="FN168:FO168"/>
    <mergeCell ref="FN169:FO169"/>
    <mergeCell ref="FN172:FO172"/>
    <mergeCell ref="FN176:FO176"/>
    <mergeCell ref="FN177:FO177"/>
    <mergeCell ref="FN178:FO178"/>
    <mergeCell ref="FN179:FO179"/>
    <mergeCell ref="FN181:FO181"/>
    <mergeCell ref="FN182:FO182"/>
    <mergeCell ref="FN183:FO183"/>
    <mergeCell ref="FN190:FO190"/>
    <mergeCell ref="FN191:FO191"/>
    <mergeCell ref="FN192:FO192"/>
    <mergeCell ref="FN198:FO198"/>
    <mergeCell ref="FN199:FO199"/>
    <mergeCell ref="FN200:FO200"/>
    <mergeCell ref="FN206:FO206"/>
    <mergeCell ref="FN207:FO207"/>
    <mergeCell ref="FN208:FO208"/>
    <mergeCell ref="FN211:FO211"/>
    <mergeCell ref="FN212:FO212"/>
    <mergeCell ref="FN213:FO213"/>
    <mergeCell ref="FN214:FO214"/>
    <mergeCell ref="FN221:FO221"/>
    <mergeCell ref="FN222:FO222"/>
    <mergeCell ref="FN223:FO223"/>
    <mergeCell ref="FN224:FO224"/>
    <mergeCell ref="FN225:FO225"/>
    <mergeCell ref="FN226:FO226"/>
    <mergeCell ref="FN227:FO227"/>
    <mergeCell ref="FN228:FO228"/>
    <mergeCell ref="FN229:FO229"/>
    <mergeCell ref="FN230:FO230"/>
    <mergeCell ref="FN231:FO231"/>
    <mergeCell ref="FN232:FO232"/>
    <mergeCell ref="FN234:FO234"/>
    <mergeCell ref="FN235:FO235"/>
    <mergeCell ref="FN236:FO236"/>
    <mergeCell ref="FN237:FO237"/>
    <mergeCell ref="FN238:FO238"/>
    <mergeCell ref="FN239:FO239"/>
    <mergeCell ref="FN240:FO240"/>
    <mergeCell ref="FN241:FO241"/>
    <mergeCell ref="FN242:FO242"/>
    <mergeCell ref="FN243:FO243"/>
    <mergeCell ref="FN244:FO244"/>
    <mergeCell ref="FN246:FO246"/>
    <mergeCell ref="FN247:FO247"/>
    <mergeCell ref="FN248:FO248"/>
    <mergeCell ref="FN249:FO249"/>
    <mergeCell ref="FN250:FO250"/>
    <mergeCell ref="FN251:FO251"/>
    <mergeCell ref="FN252:FO252"/>
    <mergeCell ref="FN362:FO362"/>
    <mergeCell ref="FN363:FO363"/>
    <mergeCell ref="FN364:FO364"/>
    <mergeCell ref="FN365:FO365"/>
    <mergeCell ref="FN366:FO366"/>
    <mergeCell ref="FN367:FO367"/>
    <mergeCell ref="FN369:FO369"/>
    <mergeCell ref="FN370:FO370"/>
    <mergeCell ref="FN371:FO371"/>
    <mergeCell ref="FN372:FO372"/>
    <mergeCell ref="FN374:FO374"/>
    <mergeCell ref="FN375:FO375"/>
    <mergeCell ref="FN376:FO376"/>
    <mergeCell ref="FN254:FO254"/>
    <mergeCell ref="FN255:FO255"/>
    <mergeCell ref="FN256:FO256"/>
    <mergeCell ref="FN257:FO257"/>
    <mergeCell ref="FN259:FO259"/>
    <mergeCell ref="FN261:FO261"/>
    <mergeCell ref="FN262:FO262"/>
    <mergeCell ref="FN263:FO263"/>
    <mergeCell ref="FN265:FO265"/>
    <mergeCell ref="FN268:FO268"/>
    <mergeCell ref="FN269:FO269"/>
    <mergeCell ref="FN270:FO270"/>
    <mergeCell ref="FN271:FO271"/>
    <mergeCell ref="FN277:FO277"/>
    <mergeCell ref="FN278:FO278"/>
    <mergeCell ref="FN279:FO279"/>
    <mergeCell ref="FN288:FO288"/>
    <mergeCell ref="FN291:FO291"/>
    <mergeCell ref="FN292:FO292"/>
    <mergeCell ref="FN293:FO293"/>
    <mergeCell ref="FN294:FO294"/>
    <mergeCell ref="FN295:FO295"/>
    <mergeCell ref="FN296:FO296"/>
    <mergeCell ref="FN297:FO297"/>
    <mergeCell ref="FN298:FO298"/>
    <mergeCell ref="FN299:FO299"/>
    <mergeCell ref="FN301:FO301"/>
    <mergeCell ref="FN302:FO302"/>
    <mergeCell ref="FN303:FO303"/>
    <mergeCell ref="FN304:FO304"/>
    <mergeCell ref="FN306:FO306"/>
    <mergeCell ref="FN309:FO309"/>
    <mergeCell ref="FN310:FO310"/>
    <mergeCell ref="FN307:FO307"/>
    <mergeCell ref="FN359:FO359"/>
    <mergeCell ref="FN378:FO378"/>
    <mergeCell ref="FN379:FO379"/>
    <mergeCell ref="FN380:FO380"/>
    <mergeCell ref="FN387:FO387"/>
    <mergeCell ref="FN388:FO388"/>
    <mergeCell ref="FN389:FO389"/>
    <mergeCell ref="FN396:FO396"/>
    <mergeCell ref="FN397:FO397"/>
    <mergeCell ref="FN398:FO398"/>
    <mergeCell ref="FN399:FO399"/>
    <mergeCell ref="GF9:GF14"/>
    <mergeCell ref="GF16:GF22"/>
    <mergeCell ref="GF30:GF34"/>
    <mergeCell ref="GF37:GF41"/>
    <mergeCell ref="GF43:GF54"/>
    <mergeCell ref="GF61:GF65"/>
    <mergeCell ref="GF94:GF97"/>
    <mergeCell ref="GF99:GF103"/>
    <mergeCell ref="GF105:GF109"/>
    <mergeCell ref="GF113:GF120"/>
    <mergeCell ref="GF124:GF131"/>
    <mergeCell ref="GF135:GF138"/>
    <mergeCell ref="GF140:GF145"/>
    <mergeCell ref="GF147:GF151"/>
    <mergeCell ref="GF153:GF157"/>
    <mergeCell ref="GF159:GF163"/>
    <mergeCell ref="GF165:GF169"/>
    <mergeCell ref="GF171:GF179"/>
    <mergeCell ref="GF181:GF187"/>
    <mergeCell ref="GF190:GF196"/>
    <mergeCell ref="GF198:GF204"/>
    <mergeCell ref="GF208:GF209"/>
    <mergeCell ref="GF265:GF266"/>
    <mergeCell ref="GF268:GF275"/>
    <mergeCell ref="GF323:GF327"/>
    <mergeCell ref="GF329:GF332"/>
    <mergeCell ref="GF341:GF346"/>
    <mergeCell ref="GF348:GF353"/>
    <mergeCell ref="GF355:GF360"/>
    <mergeCell ref="GF362:GF367"/>
    <mergeCell ref="GF369:GF372"/>
    <mergeCell ref="GF374:GF376"/>
    <mergeCell ref="GF378:GF385"/>
    <mergeCell ref="GF387:GF394"/>
    <mergeCell ref="GF396:GF405"/>
    <mergeCell ref="GE211:GE219"/>
    <mergeCell ref="GF211:GF219"/>
    <mergeCell ref="FN335:FO335"/>
    <mergeCell ref="FN336:FO336"/>
    <mergeCell ref="FN338:FO338"/>
    <mergeCell ref="FN339:FO339"/>
    <mergeCell ref="FN341:FO341"/>
    <mergeCell ref="FN342:FO342"/>
    <mergeCell ref="FN343:FO343"/>
    <mergeCell ref="FN345:FO345"/>
    <mergeCell ref="FN346:FO346"/>
    <mergeCell ref="FN348:FO348"/>
    <mergeCell ref="FN349:FO349"/>
    <mergeCell ref="FN350:FO350"/>
    <mergeCell ref="FN352:FO352"/>
    <mergeCell ref="FN353:FO353"/>
    <mergeCell ref="FN355:FO355"/>
    <mergeCell ref="FN356:FO356"/>
    <mergeCell ref="FN360:FO360"/>
  </mergeCells>
  <phoneticPr fontId="33" type="noConversion"/>
  <pageMargins left="0.511811024" right="0.511811024" top="0.78740157499999996" bottom="0.78740157499999996" header="0" footer="0"/>
  <pageSetup paperSize="9" orientation="portrait" r:id="rId1"/>
  <ignoredErrors>
    <ignoredError sqref="DQ285 DG285 DI285 DK285 DM285 DO285 DC287 DE285 DA287 DA285 DC28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H21"/>
  <sheetViews>
    <sheetView workbookViewId="0">
      <selection activeCell="E27" sqref="E27"/>
    </sheetView>
  </sheetViews>
  <sheetFormatPr defaultColWidth="14.44140625" defaultRowHeight="15" customHeight="1" x14ac:dyDescent="0.3"/>
  <cols>
    <col min="1" max="1" width="5.88671875" customWidth="1"/>
  </cols>
  <sheetData>
    <row r="2" spans="2:6" ht="15" customHeight="1" x14ac:dyDescent="0.3">
      <c r="B2" s="165" t="s">
        <v>339</v>
      </c>
    </row>
    <row r="3" spans="2:6" ht="15" customHeight="1" x14ac:dyDescent="0.3">
      <c r="B3" s="165" t="s">
        <v>340</v>
      </c>
    </row>
    <row r="4" spans="2:6" ht="15" customHeight="1" x14ac:dyDescent="0.3">
      <c r="B4" s="166" t="s">
        <v>341</v>
      </c>
      <c r="C4" s="166"/>
      <c r="D4" s="166"/>
    </row>
    <row r="5" spans="2:6" ht="15" customHeight="1" x14ac:dyDescent="0.3">
      <c r="C5" s="165" t="s">
        <v>342</v>
      </c>
    </row>
    <row r="6" spans="2:6" ht="15" customHeight="1" x14ac:dyDescent="0.3">
      <c r="C6" s="165" t="s">
        <v>343</v>
      </c>
    </row>
    <row r="7" spans="2:6" ht="15" customHeight="1" x14ac:dyDescent="0.3">
      <c r="C7" s="165" t="s">
        <v>344</v>
      </c>
    </row>
    <row r="8" spans="2:6" ht="15" customHeight="1" x14ac:dyDescent="0.3">
      <c r="C8" s="165" t="s">
        <v>345</v>
      </c>
    </row>
    <row r="9" spans="2:6" ht="15" customHeight="1" x14ac:dyDescent="0.3">
      <c r="C9" s="166" t="s">
        <v>346</v>
      </c>
      <c r="D9" s="166"/>
      <c r="E9" s="166"/>
      <c r="F9" s="166"/>
    </row>
    <row r="12" spans="2:6" ht="15" customHeight="1" x14ac:dyDescent="0.3">
      <c r="B12" s="165" t="s">
        <v>347</v>
      </c>
    </row>
    <row r="13" spans="2:6" ht="15" customHeight="1" x14ac:dyDescent="0.3">
      <c r="B13" s="165" t="s">
        <v>348</v>
      </c>
    </row>
    <row r="14" spans="2:6" ht="15" customHeight="1" x14ac:dyDescent="0.3">
      <c r="B14" s="165" t="s">
        <v>349</v>
      </c>
    </row>
    <row r="15" spans="2:6" ht="15" customHeight="1" x14ac:dyDescent="0.3">
      <c r="B15" s="165" t="s">
        <v>350</v>
      </c>
    </row>
    <row r="16" spans="2:6" ht="15" customHeight="1" x14ac:dyDescent="0.3">
      <c r="B16" s="165" t="s">
        <v>351</v>
      </c>
    </row>
    <row r="17" spans="2:8" ht="15" customHeight="1" x14ac:dyDescent="0.3">
      <c r="B17" s="166" t="s">
        <v>352</v>
      </c>
      <c r="C17" s="166"/>
      <c r="D17" s="166"/>
      <c r="E17" s="166"/>
      <c r="F17" s="166"/>
    </row>
    <row r="20" spans="2:8" ht="15" customHeight="1" x14ac:dyDescent="0.3">
      <c r="B20" s="165" t="s">
        <v>353</v>
      </c>
    </row>
    <row r="21" spans="2:8" ht="15" customHeight="1" x14ac:dyDescent="0.3">
      <c r="H21" s="165" t="s">
        <v>354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U26"/>
  <sheetViews>
    <sheetView workbookViewId="0"/>
  </sheetViews>
  <sheetFormatPr defaultColWidth="14.44140625" defaultRowHeight="15" customHeight="1" x14ac:dyDescent="0.3"/>
  <cols>
    <col min="1" max="1" width="3.44140625" customWidth="1"/>
    <col min="2" max="2" width="26.44140625" customWidth="1"/>
    <col min="3" max="3" width="18.109375" hidden="1" customWidth="1"/>
    <col min="4" max="9" width="8.44140625" customWidth="1"/>
    <col min="10" max="10" width="29.33203125" customWidth="1"/>
    <col min="12" max="17" width="7.109375" customWidth="1"/>
  </cols>
  <sheetData>
    <row r="1" spans="2:21" ht="15" customHeight="1" x14ac:dyDescent="0.3">
      <c r="B1" s="165" t="s">
        <v>355</v>
      </c>
    </row>
    <row r="2" spans="2:21" ht="15" customHeight="1" x14ac:dyDescent="0.3">
      <c r="D2" s="165"/>
      <c r="E2" s="165"/>
      <c r="F2" s="165"/>
      <c r="G2" s="165"/>
      <c r="H2" s="165"/>
    </row>
    <row r="3" spans="2:21" ht="15" customHeight="1" x14ac:dyDescent="0.3">
      <c r="D3" s="165"/>
      <c r="E3" s="165"/>
      <c r="F3" s="165"/>
      <c r="G3" s="165"/>
      <c r="H3" s="165"/>
    </row>
    <row r="4" spans="2:21" ht="15" customHeight="1" x14ac:dyDescent="0.3">
      <c r="B4" s="165" t="s">
        <v>356</v>
      </c>
      <c r="D4" s="165"/>
      <c r="E4" s="165"/>
      <c r="F4" s="165"/>
      <c r="G4" s="165"/>
      <c r="H4" s="165"/>
    </row>
    <row r="5" spans="2:21" ht="15" customHeight="1" x14ac:dyDescent="0.3">
      <c r="D5" s="165"/>
      <c r="E5" s="165"/>
      <c r="F5" s="165"/>
      <c r="G5" s="165"/>
      <c r="H5" s="165"/>
    </row>
    <row r="6" spans="2:21" ht="15" customHeight="1" x14ac:dyDescent="0.3">
      <c r="B6" s="165" t="s">
        <v>357</v>
      </c>
      <c r="D6" s="165"/>
      <c r="E6" s="165"/>
      <c r="F6" s="165"/>
      <c r="G6" s="165"/>
      <c r="H6" s="165"/>
      <c r="K6" s="165" t="s">
        <v>358</v>
      </c>
      <c r="U6" s="165" t="s">
        <v>359</v>
      </c>
    </row>
    <row r="7" spans="2:21" ht="15" customHeight="1" x14ac:dyDescent="0.3">
      <c r="D7" s="165"/>
      <c r="E7" s="165"/>
      <c r="F7" s="165"/>
      <c r="G7" s="165"/>
      <c r="H7" s="165"/>
    </row>
    <row r="8" spans="2:21" ht="15" customHeight="1" x14ac:dyDescent="0.3">
      <c r="B8" s="165" t="s">
        <v>360</v>
      </c>
      <c r="D8" s="165"/>
      <c r="E8" s="165"/>
      <c r="F8" s="165"/>
      <c r="G8" s="165"/>
      <c r="H8" s="165"/>
      <c r="K8" s="165" t="s">
        <v>361</v>
      </c>
    </row>
    <row r="9" spans="2:21" ht="15" customHeight="1" x14ac:dyDescent="0.3">
      <c r="D9" s="165">
        <v>1784</v>
      </c>
      <c r="E9" s="165">
        <v>2134</v>
      </c>
      <c r="F9" s="165">
        <v>2475</v>
      </c>
      <c r="G9" s="165">
        <v>2499</v>
      </c>
      <c r="H9" s="165">
        <v>2716</v>
      </c>
    </row>
    <row r="10" spans="2:21" ht="15" customHeight="1" x14ac:dyDescent="0.3">
      <c r="B10" s="165" t="s">
        <v>362</v>
      </c>
      <c r="D10" s="165">
        <v>2.25</v>
      </c>
      <c r="E10" s="165">
        <v>2.25</v>
      </c>
      <c r="F10" s="165">
        <v>2.25</v>
      </c>
      <c r="G10" s="165">
        <v>2.25</v>
      </c>
      <c r="H10" s="165">
        <v>2.25</v>
      </c>
    </row>
    <row r="11" spans="2:21" ht="15" customHeight="1" x14ac:dyDescent="0.3">
      <c r="B11" s="167" t="s">
        <v>363</v>
      </c>
    </row>
    <row r="12" spans="2:21" ht="15" customHeight="1" x14ac:dyDescent="0.3">
      <c r="C12" s="165"/>
      <c r="D12" s="165" t="s">
        <v>364</v>
      </c>
      <c r="E12" s="165" t="s">
        <v>365</v>
      </c>
      <c r="F12" s="165" t="s">
        <v>366</v>
      </c>
      <c r="G12" s="168">
        <v>44663</v>
      </c>
      <c r="H12" s="169">
        <v>44877</v>
      </c>
      <c r="I12" s="170" t="s">
        <v>367</v>
      </c>
      <c r="L12" s="165" t="s">
        <v>364</v>
      </c>
      <c r="M12" s="165" t="s">
        <v>365</v>
      </c>
      <c r="N12" s="165" t="s">
        <v>366</v>
      </c>
      <c r="O12" s="168">
        <v>44663</v>
      </c>
      <c r="P12" s="169">
        <v>44877</v>
      </c>
      <c r="Q12" s="170" t="s">
        <v>367</v>
      </c>
    </row>
    <row r="13" spans="2:21" ht="15" customHeight="1" x14ac:dyDescent="0.3">
      <c r="B13" s="165" t="s">
        <v>368</v>
      </c>
      <c r="C13" s="165"/>
      <c r="D13" s="165">
        <v>536</v>
      </c>
      <c r="E13" s="165">
        <v>699</v>
      </c>
      <c r="F13" s="165">
        <v>593</v>
      </c>
      <c r="G13" s="165">
        <v>509</v>
      </c>
      <c r="H13" s="165">
        <v>661</v>
      </c>
      <c r="K13" s="165" t="s">
        <v>368</v>
      </c>
      <c r="L13" s="165">
        <v>536</v>
      </c>
      <c r="M13" s="165">
        <v>699</v>
      </c>
      <c r="N13" s="165">
        <v>593</v>
      </c>
      <c r="O13" s="165">
        <v>509</v>
      </c>
      <c r="P13" s="165">
        <v>661</v>
      </c>
    </row>
    <row r="14" spans="2:21" ht="15" customHeight="1" x14ac:dyDescent="0.3">
      <c r="B14" s="171" t="s">
        <v>369</v>
      </c>
      <c r="C14" s="172" t="s">
        <v>370</v>
      </c>
      <c r="D14" s="172">
        <f t="shared" ref="D14:H14" si="0">D9/D10</f>
        <v>792.88888888888891</v>
      </c>
      <c r="E14" s="172">
        <f t="shared" si="0"/>
        <v>948.44444444444446</v>
      </c>
      <c r="F14" s="172">
        <f t="shared" si="0"/>
        <v>1100</v>
      </c>
      <c r="G14" s="172">
        <f t="shared" si="0"/>
        <v>1110.6666666666667</v>
      </c>
      <c r="H14" s="172">
        <f t="shared" si="0"/>
        <v>1207.1111111111111</v>
      </c>
    </row>
    <row r="15" spans="2:21" ht="15" customHeight="1" x14ac:dyDescent="0.3">
      <c r="B15" s="165" t="s">
        <v>371</v>
      </c>
      <c r="C15" s="172"/>
      <c r="D15" s="172">
        <f t="shared" ref="D15:H15" si="1">SUM(D13:D14)</f>
        <v>1328.8888888888889</v>
      </c>
      <c r="E15" s="172">
        <f t="shared" si="1"/>
        <v>1647.4444444444443</v>
      </c>
      <c r="F15" s="172">
        <f t="shared" si="1"/>
        <v>1693</v>
      </c>
      <c r="G15" s="172">
        <f t="shared" si="1"/>
        <v>1619.6666666666667</v>
      </c>
      <c r="H15" s="172">
        <f t="shared" si="1"/>
        <v>1868.1111111111111</v>
      </c>
    </row>
    <row r="16" spans="2:21" ht="15" customHeight="1" x14ac:dyDescent="0.3">
      <c r="L16" s="165" t="s">
        <v>364</v>
      </c>
      <c r="M16" s="165" t="s">
        <v>365</v>
      </c>
      <c r="N16" s="165" t="s">
        <v>366</v>
      </c>
      <c r="O16" s="168">
        <v>44663</v>
      </c>
      <c r="P16" s="169">
        <v>44877</v>
      </c>
      <c r="Q16" s="170" t="s">
        <v>367</v>
      </c>
    </row>
    <row r="17" spans="2:17" ht="15" customHeight="1" x14ac:dyDescent="0.3">
      <c r="B17" s="167" t="s">
        <v>372</v>
      </c>
      <c r="K17" s="171" t="s">
        <v>373</v>
      </c>
      <c r="L17" s="165">
        <v>1784</v>
      </c>
      <c r="M17" s="165">
        <v>2134</v>
      </c>
      <c r="N17" s="165">
        <v>2475</v>
      </c>
      <c r="O17" s="165">
        <v>2499</v>
      </c>
      <c r="P17" s="165">
        <v>2716</v>
      </c>
    </row>
    <row r="18" spans="2:17" ht="15" customHeight="1" x14ac:dyDescent="0.3">
      <c r="C18" s="165"/>
      <c r="D18" s="165" t="s">
        <v>364</v>
      </c>
      <c r="E18" s="165" t="s">
        <v>365</v>
      </c>
      <c r="F18" s="165" t="s">
        <v>366</v>
      </c>
      <c r="G18" s="168">
        <v>44663</v>
      </c>
      <c r="H18" s="169">
        <v>44877</v>
      </c>
      <c r="I18" s="170" t="s">
        <v>367</v>
      </c>
    </row>
    <row r="19" spans="2:17" ht="15" customHeight="1" x14ac:dyDescent="0.3">
      <c r="B19" s="165" t="s">
        <v>374</v>
      </c>
      <c r="C19" s="165"/>
      <c r="D19" s="165">
        <v>120</v>
      </c>
      <c r="E19" s="165">
        <v>130</v>
      </c>
      <c r="F19" s="165">
        <v>90</v>
      </c>
      <c r="G19" s="165">
        <v>80</v>
      </c>
    </row>
    <row r="20" spans="2:17" ht="15" customHeight="1" x14ac:dyDescent="0.3">
      <c r="B20" s="165" t="s">
        <v>220</v>
      </c>
      <c r="C20" s="172" t="s">
        <v>370</v>
      </c>
      <c r="D20" s="172"/>
      <c r="E20" s="172"/>
      <c r="F20" s="172"/>
      <c r="G20" s="172"/>
      <c r="H20" s="172"/>
      <c r="K20" s="165" t="s">
        <v>374</v>
      </c>
      <c r="L20" s="165"/>
      <c r="M20" s="165">
        <v>120</v>
      </c>
      <c r="N20" s="165">
        <v>130</v>
      </c>
      <c r="O20" s="165">
        <v>90</v>
      </c>
      <c r="P20" s="165">
        <v>80</v>
      </c>
    </row>
    <row r="21" spans="2:17" ht="15" customHeight="1" x14ac:dyDescent="0.3">
      <c r="B21" s="165" t="s">
        <v>375</v>
      </c>
      <c r="C21" s="172"/>
      <c r="D21" s="172"/>
      <c r="E21" s="172"/>
      <c r="F21" s="172"/>
      <c r="G21" s="172"/>
      <c r="H21" s="172"/>
      <c r="K21" s="165" t="s">
        <v>220</v>
      </c>
      <c r="L21" s="172" t="s">
        <v>370</v>
      </c>
      <c r="M21" s="172"/>
      <c r="N21" s="172"/>
      <c r="O21" s="172"/>
      <c r="P21" s="172"/>
      <c r="Q21" s="172"/>
    </row>
    <row r="22" spans="2:17" ht="15" customHeight="1" x14ac:dyDescent="0.3">
      <c r="B22" s="165" t="s">
        <v>376</v>
      </c>
      <c r="K22" s="165" t="s">
        <v>375</v>
      </c>
      <c r="L22" s="172"/>
      <c r="M22" s="172"/>
      <c r="N22" s="172"/>
      <c r="O22" s="172"/>
      <c r="P22" s="172"/>
      <c r="Q22" s="172"/>
    </row>
    <row r="23" spans="2:17" ht="15" customHeight="1" x14ac:dyDescent="0.3">
      <c r="B23" s="165" t="s">
        <v>377</v>
      </c>
      <c r="K23" s="165" t="s">
        <v>376</v>
      </c>
    </row>
    <row r="24" spans="2:17" ht="15" customHeight="1" x14ac:dyDescent="0.3">
      <c r="B24" s="165" t="s">
        <v>378</v>
      </c>
      <c r="K24" s="165" t="s">
        <v>377</v>
      </c>
    </row>
    <row r="25" spans="2:17" ht="15" customHeight="1" x14ac:dyDescent="0.3">
      <c r="K25" s="165" t="s">
        <v>378</v>
      </c>
    </row>
    <row r="26" spans="2:17" ht="15" customHeight="1" x14ac:dyDescent="0.3">
      <c r="B26" s="165" t="s">
        <v>379</v>
      </c>
    </row>
  </sheetData>
  <hyperlinks>
    <hyperlink ref="B14" r:id="rId1" xr:uid="{00000000-0004-0000-0200-000000000000}"/>
    <hyperlink ref="K17" r:id="rId2" xr:uid="{00000000-0004-0000-0200-000001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Painel SAC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Marcella Cervigne</dc:creator>
  <cp:lastModifiedBy>TROCAUSER</cp:lastModifiedBy>
  <dcterms:created xsi:type="dcterms:W3CDTF">2020-08-20T19:14:50Z</dcterms:created>
  <dcterms:modified xsi:type="dcterms:W3CDTF">2025-07-04T21:36:40Z</dcterms:modified>
</cp:coreProperties>
</file>